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rcomedservvirtualessalud-my.sharepoint.com/personal/rmorales_sercomed_cl/Documents/00. WorkForce/001. Reportes Servicios/06. Reporte Bupa Seguros/2026/"/>
    </mc:Choice>
  </mc:AlternateContent>
  <xr:revisionPtr revIDLastSave="97" documentId="8_{FF25A38C-3954-4AFA-9621-2C93035EDBF5}" xr6:coauthVersionLast="47" xr6:coauthVersionMax="47" xr10:uidLastSave="{5F0D3F0C-CF43-4A38-B7DC-EF2A94A398F1}"/>
  <bookViews>
    <workbookView xWindow="-108" yWindow="-108" windowWidth="23256" windowHeight="12456" tabRatio="751" activeTab="2" xr2:uid="{00000000-000D-0000-FFFF-FFFF00000000}"/>
  </bookViews>
  <sheets>
    <sheet name="BDD" sheetId="4" r:id="rId1"/>
    <sheet name="BUPA Seguros" sheetId="20" r:id="rId2"/>
    <sheet name="Mapa Calor" sheetId="18" r:id="rId3"/>
  </sheets>
  <externalReferences>
    <externalReference r:id="rId4"/>
  </externalReferences>
  <definedNames>
    <definedName name="_xlnm._FilterDatabase" localSheetId="0" hidden="1">BDD!#REF!</definedName>
    <definedName name="Agrupación">[1]Parámetros!$C$5:$C$6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0" l="1"/>
  <c r="M11" i="20"/>
  <c r="M10" i="20"/>
  <c r="O10" i="20" s="1"/>
  <c r="M9" i="20"/>
  <c r="M8" i="20"/>
  <c r="M7" i="20"/>
  <c r="M6" i="20"/>
  <c r="M5" i="20"/>
  <c r="R36" i="20"/>
  <c r="Q36" i="20"/>
  <c r="P36" i="20"/>
  <c r="N36" i="20"/>
  <c r="M35" i="20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O264" i="4" s="1"/>
  <c r="M265" i="4"/>
  <c r="O265" i="4" s="1"/>
  <c r="M266" i="4"/>
  <c r="O266" i="4" s="1"/>
  <c r="M267" i="4"/>
  <c r="O267" i="4" s="1"/>
  <c r="M268" i="4"/>
  <c r="O268" i="4" s="1"/>
  <c r="M269" i="4"/>
  <c r="O269" i="4" s="1"/>
  <c r="M270" i="4"/>
  <c r="O270" i="4" s="1"/>
  <c r="M271" i="4"/>
  <c r="O271" i="4" s="1"/>
  <c r="M272" i="4"/>
  <c r="O272" i="4" s="1"/>
  <c r="M273" i="4"/>
  <c r="O273" i="4" s="1"/>
  <c r="M274" i="4"/>
  <c r="O274" i="4" s="1"/>
  <c r="M275" i="4"/>
  <c r="O275" i="4" s="1"/>
  <c r="M276" i="4"/>
  <c r="O276" i="4" s="1"/>
  <c r="M277" i="4"/>
  <c r="O277" i="4" s="1"/>
  <c r="M278" i="4"/>
  <c r="O278" i="4" s="1"/>
  <c r="M279" i="4"/>
  <c r="O279" i="4" s="1"/>
  <c r="M280" i="4"/>
  <c r="O280" i="4" s="1"/>
  <c r="M281" i="4"/>
  <c r="O281" i="4" s="1"/>
  <c r="M282" i="4"/>
  <c r="O282" i="4" s="1"/>
  <c r="M283" i="4"/>
  <c r="O283" i="4" s="1"/>
  <c r="M284" i="4"/>
  <c r="O284" i="4" s="1"/>
  <c r="M285" i="4"/>
  <c r="O285" i="4" s="1"/>
  <c r="M286" i="4"/>
  <c r="O286" i="4" s="1"/>
  <c r="M287" i="4"/>
  <c r="O287" i="4" s="1"/>
  <c r="M288" i="4"/>
  <c r="O288" i="4" s="1"/>
  <c r="M289" i="4"/>
  <c r="O289" i="4" s="1"/>
  <c r="M290" i="4"/>
  <c r="O290" i="4" s="1"/>
  <c r="M291" i="4"/>
  <c r="O291" i="4" s="1"/>
  <c r="M292" i="4"/>
  <c r="O292" i="4" s="1"/>
  <c r="M293" i="4"/>
  <c r="O293" i="4" s="1"/>
  <c r="M294" i="4"/>
  <c r="O294" i="4" s="1"/>
  <c r="M295" i="4"/>
  <c r="O295" i="4" s="1"/>
  <c r="M296" i="4"/>
  <c r="O296" i="4" s="1"/>
  <c r="M297" i="4"/>
  <c r="O297" i="4" s="1"/>
  <c r="M298" i="4"/>
  <c r="O298" i="4" s="1"/>
  <c r="M299" i="4"/>
  <c r="O299" i="4" s="1"/>
  <c r="M300" i="4"/>
  <c r="O300" i="4" s="1"/>
  <c r="M301" i="4"/>
  <c r="O301" i="4" s="1"/>
  <c r="M302" i="4"/>
  <c r="O302" i="4" s="1"/>
  <c r="M303" i="4"/>
  <c r="O303" i="4" s="1"/>
  <c r="M304" i="4"/>
  <c r="O304" i="4" s="1"/>
  <c r="M305" i="4"/>
  <c r="O305" i="4" s="1"/>
  <c r="M306" i="4"/>
  <c r="O306" i="4" s="1"/>
  <c r="M307" i="4"/>
  <c r="O307" i="4" s="1"/>
  <c r="M308" i="4"/>
  <c r="O308" i="4" s="1"/>
  <c r="M309" i="4"/>
  <c r="O309" i="4" s="1"/>
  <c r="M310" i="4"/>
  <c r="O310" i="4" s="1"/>
  <c r="M311" i="4"/>
  <c r="O311" i="4" s="1"/>
  <c r="M312" i="4"/>
  <c r="O312" i="4" s="1"/>
  <c r="M313" i="4"/>
  <c r="O313" i="4" s="1"/>
  <c r="M314" i="4"/>
  <c r="O314" i="4" s="1"/>
  <c r="M315" i="4"/>
  <c r="O315" i="4" s="1"/>
  <c r="M316" i="4"/>
  <c r="O316" i="4" s="1"/>
  <c r="M317" i="4"/>
  <c r="O317" i="4" s="1"/>
  <c r="M318" i="4"/>
  <c r="O318" i="4" s="1"/>
  <c r="M319" i="4"/>
  <c r="O319" i="4" s="1"/>
  <c r="M320" i="4"/>
  <c r="O320" i="4" s="1"/>
  <c r="M321" i="4"/>
  <c r="O321" i="4" s="1"/>
  <c r="M322" i="4"/>
  <c r="O322" i="4" s="1"/>
  <c r="M323" i="4"/>
  <c r="O323" i="4" s="1"/>
  <c r="M324" i="4"/>
  <c r="O324" i="4" s="1"/>
  <c r="M325" i="4"/>
  <c r="O325" i="4" s="1"/>
  <c r="M326" i="4"/>
  <c r="O326" i="4" s="1"/>
  <c r="M327" i="4"/>
  <c r="O327" i="4" s="1"/>
  <c r="M328" i="4"/>
  <c r="O328" i="4" s="1"/>
  <c r="M329" i="4"/>
  <c r="O329" i="4" s="1"/>
  <c r="M330" i="4"/>
  <c r="O330" i="4" s="1"/>
  <c r="M331" i="4"/>
  <c r="O331" i="4" s="1"/>
  <c r="M332" i="4"/>
  <c r="O332" i="4" s="1"/>
  <c r="M333" i="4"/>
  <c r="O333" i="4" s="1"/>
  <c r="M334" i="4"/>
  <c r="O334" i="4" s="1"/>
  <c r="M335" i="4"/>
  <c r="O335" i="4" s="1"/>
  <c r="M336" i="4"/>
  <c r="O336" i="4" s="1"/>
  <c r="M337" i="4"/>
  <c r="O337" i="4" s="1"/>
  <c r="M338" i="4"/>
  <c r="O338" i="4" s="1"/>
  <c r="M339" i="4"/>
  <c r="O339" i="4" s="1"/>
  <c r="M340" i="4"/>
  <c r="O340" i="4" s="1"/>
  <c r="M341" i="4"/>
  <c r="O341" i="4" s="1"/>
  <c r="M342" i="4"/>
  <c r="O342" i="4" s="1"/>
  <c r="M343" i="4"/>
  <c r="O343" i="4" s="1"/>
  <c r="M344" i="4"/>
  <c r="O344" i="4" s="1"/>
  <c r="M345" i="4"/>
  <c r="O345" i="4" s="1"/>
  <c r="M346" i="4"/>
  <c r="O346" i="4" s="1"/>
  <c r="M347" i="4"/>
  <c r="O347" i="4" s="1"/>
  <c r="M348" i="4"/>
  <c r="O348" i="4" s="1"/>
  <c r="M349" i="4"/>
  <c r="O349" i="4" s="1"/>
  <c r="M350" i="4"/>
  <c r="O350" i="4" s="1"/>
  <c r="M351" i="4"/>
  <c r="O351" i="4" s="1"/>
  <c r="M352" i="4"/>
  <c r="O352" i="4" s="1"/>
  <c r="M353" i="4"/>
  <c r="O353" i="4" s="1"/>
  <c r="M354" i="4"/>
  <c r="O354" i="4" s="1"/>
  <c r="M355" i="4"/>
  <c r="O355" i="4" s="1"/>
  <c r="M356" i="4"/>
  <c r="O356" i="4" s="1"/>
  <c r="M357" i="4"/>
  <c r="O357" i="4" s="1"/>
  <c r="M358" i="4"/>
  <c r="O358" i="4" s="1"/>
  <c r="M359" i="4"/>
  <c r="O359" i="4" s="1"/>
  <c r="M360" i="4"/>
  <c r="O360" i="4" s="1"/>
  <c r="M361" i="4"/>
  <c r="O361" i="4" s="1"/>
  <c r="M362" i="4"/>
  <c r="O362" i="4" s="1"/>
  <c r="M363" i="4"/>
  <c r="O363" i="4" s="1"/>
  <c r="M364" i="4"/>
  <c r="O364" i="4" s="1"/>
  <c r="M365" i="4"/>
  <c r="O365" i="4" s="1"/>
  <c r="M366" i="4"/>
  <c r="O366" i="4" s="1"/>
  <c r="M367" i="4"/>
  <c r="O367" i="4" s="1"/>
  <c r="M368" i="4"/>
  <c r="O368" i="4" s="1"/>
  <c r="M369" i="4"/>
  <c r="O369" i="4" s="1"/>
  <c r="M370" i="4"/>
  <c r="O370" i="4" s="1"/>
  <c r="M371" i="4"/>
  <c r="O371" i="4" s="1"/>
  <c r="M372" i="4"/>
  <c r="O372" i="4" s="1"/>
  <c r="M373" i="4"/>
  <c r="O373" i="4" s="1"/>
  <c r="M374" i="4"/>
  <c r="O374" i="4" s="1"/>
  <c r="M375" i="4"/>
  <c r="O375" i="4" s="1"/>
  <c r="M376" i="4"/>
  <c r="O376" i="4" s="1"/>
  <c r="M377" i="4"/>
  <c r="O377" i="4" s="1"/>
  <c r="M378" i="4"/>
  <c r="O378" i="4" s="1"/>
  <c r="M379" i="4"/>
  <c r="O379" i="4" s="1"/>
  <c r="M380" i="4"/>
  <c r="O380" i="4" s="1"/>
  <c r="M381" i="4"/>
  <c r="O381" i="4" s="1"/>
  <c r="M382" i="4"/>
  <c r="O382" i="4" s="1"/>
  <c r="M383" i="4"/>
  <c r="O383" i="4" s="1"/>
  <c r="M384" i="4"/>
  <c r="O384" i="4" s="1"/>
  <c r="M385" i="4"/>
  <c r="O385" i="4" s="1"/>
  <c r="M386" i="4"/>
  <c r="O386" i="4" s="1"/>
  <c r="M387" i="4"/>
  <c r="O387" i="4" s="1"/>
  <c r="M388" i="4"/>
  <c r="O388" i="4" s="1"/>
  <c r="M389" i="4"/>
  <c r="O389" i="4" s="1"/>
  <c r="M390" i="4"/>
  <c r="O390" i="4" s="1"/>
  <c r="M391" i="4"/>
  <c r="O391" i="4" s="1"/>
  <c r="M392" i="4"/>
  <c r="O392" i="4" s="1"/>
  <c r="M393" i="4"/>
  <c r="O393" i="4" s="1"/>
  <c r="M394" i="4"/>
  <c r="O394" i="4" s="1"/>
  <c r="M395" i="4"/>
  <c r="O395" i="4" s="1"/>
  <c r="M396" i="4"/>
  <c r="O396" i="4" s="1"/>
  <c r="M397" i="4"/>
  <c r="O397" i="4" s="1"/>
  <c r="M398" i="4"/>
  <c r="O398" i="4" s="1"/>
  <c r="M399" i="4"/>
  <c r="O399" i="4" s="1"/>
  <c r="M400" i="4"/>
  <c r="O400" i="4" s="1"/>
  <c r="M401" i="4"/>
  <c r="O401" i="4" s="1"/>
  <c r="M402" i="4"/>
  <c r="O402" i="4" s="1"/>
  <c r="M403" i="4"/>
  <c r="O403" i="4" s="1"/>
  <c r="M404" i="4"/>
  <c r="O404" i="4" s="1"/>
  <c r="M405" i="4"/>
  <c r="O405" i="4" s="1"/>
  <c r="M406" i="4"/>
  <c r="O406" i="4" s="1"/>
  <c r="M407" i="4"/>
  <c r="O407" i="4" s="1"/>
  <c r="M408" i="4"/>
  <c r="O408" i="4" s="1"/>
  <c r="M409" i="4"/>
  <c r="O409" i="4" s="1"/>
  <c r="M410" i="4"/>
  <c r="O410" i="4" s="1"/>
  <c r="M411" i="4"/>
  <c r="O411" i="4" s="1"/>
  <c r="M412" i="4"/>
  <c r="O412" i="4" s="1"/>
  <c r="M413" i="4"/>
  <c r="O413" i="4" s="1"/>
  <c r="M414" i="4"/>
  <c r="O414" i="4" s="1"/>
  <c r="M415" i="4"/>
  <c r="O415" i="4" s="1"/>
  <c r="M416" i="4"/>
  <c r="O416" i="4" s="1"/>
  <c r="M417" i="4"/>
  <c r="O417" i="4" s="1"/>
  <c r="M418" i="4"/>
  <c r="O418" i="4" s="1"/>
  <c r="M419" i="4"/>
  <c r="O419" i="4" s="1"/>
  <c r="M420" i="4"/>
  <c r="O420" i="4" s="1"/>
  <c r="M421" i="4"/>
  <c r="O421" i="4" s="1"/>
  <c r="M422" i="4"/>
  <c r="O422" i="4" s="1"/>
  <c r="M423" i="4"/>
  <c r="O423" i="4" s="1"/>
  <c r="M424" i="4"/>
  <c r="O424" i="4" s="1"/>
  <c r="M425" i="4"/>
  <c r="O425" i="4" s="1"/>
  <c r="M426" i="4"/>
  <c r="O426" i="4" s="1"/>
  <c r="M427" i="4"/>
  <c r="O427" i="4" s="1"/>
  <c r="M428" i="4"/>
  <c r="O428" i="4" s="1"/>
  <c r="M429" i="4"/>
  <c r="O429" i="4" s="1"/>
  <c r="M430" i="4"/>
  <c r="O430" i="4" s="1"/>
  <c r="M431" i="4"/>
  <c r="O431" i="4" s="1"/>
  <c r="M432" i="4"/>
  <c r="O432" i="4" s="1"/>
  <c r="M433" i="4"/>
  <c r="O433" i="4" s="1"/>
  <c r="M434" i="4"/>
  <c r="O434" i="4" s="1"/>
  <c r="M435" i="4"/>
  <c r="O435" i="4" s="1"/>
  <c r="M436" i="4"/>
  <c r="O436" i="4" s="1"/>
  <c r="M437" i="4"/>
  <c r="M438" i="4"/>
  <c r="M439" i="4"/>
  <c r="O439" i="4" s="1"/>
  <c r="M440" i="4"/>
  <c r="O440" i="4" s="1"/>
  <c r="M441" i="4"/>
  <c r="O441" i="4" s="1"/>
  <c r="M442" i="4"/>
  <c r="O442" i="4" s="1"/>
  <c r="M443" i="4"/>
  <c r="O443" i="4" s="1"/>
  <c r="M444" i="4"/>
  <c r="O444" i="4" s="1"/>
  <c r="M445" i="4"/>
  <c r="O445" i="4" s="1"/>
  <c r="M446" i="4"/>
  <c r="O446" i="4" s="1"/>
  <c r="M447" i="4"/>
  <c r="O447" i="4" s="1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437" i="4"/>
  <c r="O438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C3" i="18"/>
  <c r="K11" i="4"/>
  <c r="K12" i="4"/>
  <c r="K13" i="4"/>
  <c r="K14" i="4"/>
  <c r="K15" i="4"/>
  <c r="K16" i="4"/>
  <c r="K17" i="4"/>
  <c r="L11" i="4"/>
  <c r="L12" i="4"/>
  <c r="L13" i="4"/>
  <c r="L14" i="4"/>
  <c r="L15" i="4"/>
  <c r="L16" i="4"/>
  <c r="L17" i="4"/>
  <c r="M11" i="4"/>
  <c r="O11" i="4" s="1"/>
  <c r="M12" i="4"/>
  <c r="O12" i="4" s="1"/>
  <c r="M13" i="4"/>
  <c r="O13" i="4" s="1"/>
  <c r="M14" i="4"/>
  <c r="O14" i="4" s="1"/>
  <c r="M15" i="4"/>
  <c r="O15" i="4" s="1"/>
  <c r="M16" i="4"/>
  <c r="O16" i="4" s="1"/>
  <c r="M17" i="4"/>
  <c r="O17" i="4" s="1"/>
  <c r="P11" i="4"/>
  <c r="P12" i="4"/>
  <c r="P13" i="4"/>
  <c r="P14" i="4"/>
  <c r="P15" i="4"/>
  <c r="P16" i="4"/>
  <c r="P17" i="4"/>
  <c r="Q11" i="4"/>
  <c r="Q12" i="4"/>
  <c r="Q13" i="4"/>
  <c r="Q14" i="4"/>
  <c r="Q15" i="4"/>
  <c r="Q16" i="4"/>
  <c r="Q17" i="4"/>
  <c r="R11" i="4"/>
  <c r="R12" i="4"/>
  <c r="R13" i="4"/>
  <c r="R14" i="4"/>
  <c r="R15" i="4"/>
  <c r="R16" i="4"/>
  <c r="R17" i="4"/>
  <c r="B4" i="18" a="1"/>
  <c r="K10" i="4"/>
  <c r="L10" i="4"/>
  <c r="M10" i="4"/>
  <c r="O10" i="4" s="1"/>
  <c r="P10" i="4"/>
  <c r="Q10" i="4"/>
  <c r="R10" i="4"/>
  <c r="K9" i="4"/>
  <c r="L9" i="4"/>
  <c r="M9" i="4"/>
  <c r="O9" i="4" s="1"/>
  <c r="P9" i="4"/>
  <c r="Q9" i="4"/>
  <c r="R9" i="4"/>
  <c r="E6" i="20"/>
  <c r="G6" i="20" s="1"/>
  <c r="D6" i="20"/>
  <c r="H6" i="20" s="1"/>
  <c r="C21" i="18" l="1"/>
  <c r="C19" i="18"/>
  <c r="C15" i="18"/>
  <c r="C23" i="18"/>
  <c r="C14" i="18"/>
  <c r="C18" i="18"/>
  <c r="C13" i="18"/>
  <c r="C17" i="18"/>
  <c r="C16" i="18"/>
  <c r="C22" i="18"/>
  <c r="C5" i="18"/>
  <c r="C9" i="18"/>
  <c r="C20" i="18"/>
  <c r="AB32" i="20"/>
  <c r="AB31" i="20"/>
  <c r="AB30" i="20"/>
  <c r="AB29" i="20"/>
  <c r="AB8" i="20"/>
  <c r="AB7" i="20"/>
  <c r="B7" i="20"/>
  <c r="AB6" i="20"/>
  <c r="L6" i="20"/>
  <c r="L7" i="20" s="1"/>
  <c r="L8" i="20" s="1"/>
  <c r="I6" i="20"/>
  <c r="AB5" i="20"/>
  <c r="E7" i="20" l="1"/>
  <c r="G7" i="20" s="1"/>
  <c r="D7" i="20"/>
  <c r="H7" i="20" s="1"/>
  <c r="L9" i="20"/>
  <c r="B8" i="20"/>
  <c r="P3" i="4"/>
  <c r="P4" i="4"/>
  <c r="P5" i="4"/>
  <c r="P6" i="4"/>
  <c r="P7" i="4"/>
  <c r="P8" i="4"/>
  <c r="C2" i="18"/>
  <c r="D3" i="18"/>
  <c r="E3" i="18" l="1"/>
  <c r="D17" i="18"/>
  <c r="D19" i="18"/>
  <c r="D9" i="18"/>
  <c r="D20" i="18"/>
  <c r="D23" i="18"/>
  <c r="D13" i="18"/>
  <c r="D21" i="18"/>
  <c r="D12" i="18"/>
  <c r="D15" i="18"/>
  <c r="D8" i="18"/>
  <c r="D22" i="18"/>
  <c r="D10" i="18"/>
  <c r="D16" i="18"/>
  <c r="D7" i="18"/>
  <c r="D11" i="18"/>
  <c r="D14" i="18"/>
  <c r="D6" i="18"/>
  <c r="D18" i="18"/>
  <c r="E2" i="18"/>
  <c r="D2" i="18"/>
  <c r="E8" i="20"/>
  <c r="G8" i="20" s="1"/>
  <c r="D8" i="20"/>
  <c r="H8" i="20" s="1"/>
  <c r="AS5" i="20" a="1"/>
  <c r="AS4" i="20" a="1"/>
  <c r="B9" i="20"/>
  <c r="L10" i="20"/>
  <c r="I7" i="20"/>
  <c r="F3" i="18" l="1"/>
  <c r="E22" i="18"/>
  <c r="E18" i="18"/>
  <c r="E10" i="18"/>
  <c r="E6" i="18"/>
  <c r="E20" i="18"/>
  <c r="E16" i="18"/>
  <c r="E23" i="18"/>
  <c r="E9" i="18"/>
  <c r="E13" i="18"/>
  <c r="E15" i="18"/>
  <c r="E14" i="18"/>
  <c r="E7" i="18"/>
  <c r="E12" i="18"/>
  <c r="E21" i="18"/>
  <c r="E17" i="18"/>
  <c r="E19" i="18"/>
  <c r="E11" i="18"/>
  <c r="E8" i="18"/>
  <c r="E9" i="20"/>
  <c r="G9" i="20" s="1"/>
  <c r="D9" i="20"/>
  <c r="H9" i="20" s="1"/>
  <c r="I8" i="20"/>
  <c r="AB25" i="20"/>
  <c r="AB17" i="20"/>
  <c r="AB24" i="20"/>
  <c r="AB16" i="20"/>
  <c r="AB18" i="20"/>
  <c r="AB19" i="20"/>
  <c r="AB26" i="20"/>
  <c r="AB23" i="20"/>
  <c r="AB22" i="20"/>
  <c r="AB15" i="20"/>
  <c r="AB21" i="20"/>
  <c r="AB28" i="20"/>
  <c r="AB20" i="20"/>
  <c r="AB27" i="20"/>
  <c r="B10" i="20"/>
  <c r="L11" i="20"/>
  <c r="G3" i="18" l="1"/>
  <c r="F20" i="18"/>
  <c r="F11" i="18"/>
  <c r="F13" i="18"/>
  <c r="F9" i="18"/>
  <c r="F16" i="18"/>
  <c r="F15" i="18"/>
  <c r="F18" i="18"/>
  <c r="F6" i="18"/>
  <c r="F10" i="18"/>
  <c r="F23" i="18"/>
  <c r="F7" i="18"/>
  <c r="F22" i="18"/>
  <c r="F19" i="18"/>
  <c r="F21" i="18"/>
  <c r="F12" i="18"/>
  <c r="F17" i="18"/>
  <c r="F8" i="18"/>
  <c r="F14" i="18"/>
  <c r="F2" i="18"/>
  <c r="I9" i="20"/>
  <c r="E10" i="20"/>
  <c r="G10" i="20" s="1"/>
  <c r="D10" i="20"/>
  <c r="H10" i="20" s="1"/>
  <c r="L12" i="20"/>
  <c r="B11" i="20"/>
  <c r="H3" i="18" l="1"/>
  <c r="G11" i="18"/>
  <c r="G6" i="18"/>
  <c r="G20" i="18"/>
  <c r="G15" i="18"/>
  <c r="G5" i="18"/>
  <c r="G14" i="18"/>
  <c r="G7" i="18"/>
  <c r="G13" i="18"/>
  <c r="G18" i="18"/>
  <c r="G8" i="18"/>
  <c r="G10" i="18"/>
  <c r="G21" i="18"/>
  <c r="G17" i="18"/>
  <c r="G16" i="18"/>
  <c r="G9" i="18"/>
  <c r="G12" i="18"/>
  <c r="G23" i="18"/>
  <c r="G19" i="18"/>
  <c r="G22" i="18"/>
  <c r="G4" i="18"/>
  <c r="G2" i="18"/>
  <c r="E11" i="20"/>
  <c r="G11" i="20" s="1"/>
  <c r="D11" i="20"/>
  <c r="H11" i="20" s="1"/>
  <c r="I10" i="20"/>
  <c r="L13" i="20"/>
  <c r="B12" i="20"/>
  <c r="I3" i="18" l="1"/>
  <c r="H12" i="18"/>
  <c r="H23" i="18"/>
  <c r="H16" i="18"/>
  <c r="H22" i="18"/>
  <c r="H5" i="18"/>
  <c r="H18" i="18"/>
  <c r="H20" i="18"/>
  <c r="H6" i="18"/>
  <c r="H7" i="18"/>
  <c r="H17" i="18"/>
  <c r="H9" i="18"/>
  <c r="H8" i="18"/>
  <c r="H15" i="18"/>
  <c r="H14" i="18"/>
  <c r="H13" i="18"/>
  <c r="H10" i="18"/>
  <c r="H4" i="18"/>
  <c r="H11" i="18"/>
  <c r="H19" i="18"/>
  <c r="H21" i="18"/>
  <c r="H2" i="18"/>
  <c r="I11" i="20"/>
  <c r="E12" i="20"/>
  <c r="G12" i="20" s="1"/>
  <c r="D12" i="20"/>
  <c r="H12" i="20" s="1"/>
  <c r="B13" i="20"/>
  <c r="L14" i="20"/>
  <c r="J3" i="18" l="1"/>
  <c r="I8" i="18"/>
  <c r="I9" i="18"/>
  <c r="I13" i="18"/>
  <c r="I14" i="18"/>
  <c r="I21" i="18"/>
  <c r="I23" i="18"/>
  <c r="I20" i="18"/>
  <c r="I16" i="18"/>
  <c r="I6" i="18"/>
  <c r="I12" i="18"/>
  <c r="I11" i="18"/>
  <c r="I10" i="18"/>
  <c r="I18" i="18"/>
  <c r="I15" i="18"/>
  <c r="I7" i="18"/>
  <c r="I19" i="18"/>
  <c r="I4" i="18"/>
  <c r="I5" i="18"/>
  <c r="I22" i="18"/>
  <c r="I17" i="18"/>
  <c r="I2" i="18"/>
  <c r="I12" i="20"/>
  <c r="E13" i="20"/>
  <c r="G13" i="20" s="1"/>
  <c r="D13" i="20"/>
  <c r="H13" i="20" s="1"/>
  <c r="L15" i="20"/>
  <c r="B14" i="20"/>
  <c r="K3" i="18" l="1"/>
  <c r="J18" i="18"/>
  <c r="J11" i="18"/>
  <c r="J7" i="18"/>
  <c r="J12" i="18"/>
  <c r="J10" i="18"/>
  <c r="J8" i="18"/>
  <c r="J23" i="18"/>
  <c r="J13" i="18"/>
  <c r="J14" i="18"/>
  <c r="J21" i="18"/>
  <c r="J19" i="18"/>
  <c r="J16" i="18"/>
  <c r="J9" i="18"/>
  <c r="J15" i="18"/>
  <c r="J5" i="18"/>
  <c r="J20" i="18"/>
  <c r="J4" i="18"/>
  <c r="J17" i="18"/>
  <c r="J6" i="18"/>
  <c r="J22" i="18"/>
  <c r="J2" i="18"/>
  <c r="E14" i="20"/>
  <c r="G14" i="20" s="1"/>
  <c r="D14" i="20"/>
  <c r="H14" i="20" s="1"/>
  <c r="I13" i="20"/>
  <c r="B15" i="20"/>
  <c r="L16" i="20"/>
  <c r="L3" i="18" l="1"/>
  <c r="K17" i="18"/>
  <c r="K18" i="18"/>
  <c r="K7" i="18"/>
  <c r="K12" i="18"/>
  <c r="K16" i="18"/>
  <c r="K19" i="18"/>
  <c r="K9" i="18"/>
  <c r="K23" i="18"/>
  <c r="K6" i="18"/>
  <c r="K10" i="18"/>
  <c r="K15" i="18"/>
  <c r="K4" i="18"/>
  <c r="K22" i="18"/>
  <c r="K5" i="18"/>
  <c r="K8" i="18"/>
  <c r="K14" i="18"/>
  <c r="K20" i="18"/>
  <c r="K13" i="18"/>
  <c r="K21" i="18"/>
  <c r="K11" i="18"/>
  <c r="K2" i="18"/>
  <c r="E15" i="20"/>
  <c r="G15" i="20" s="1"/>
  <c r="D15" i="20"/>
  <c r="H15" i="20" s="1"/>
  <c r="I14" i="20"/>
  <c r="L17" i="20"/>
  <c r="B16" i="20"/>
  <c r="M3" i="18" l="1"/>
  <c r="L5" i="18"/>
  <c r="L10" i="18"/>
  <c r="L16" i="18"/>
  <c r="L22" i="18"/>
  <c r="L8" i="18"/>
  <c r="L20" i="18"/>
  <c r="L14" i="18"/>
  <c r="L21" i="18"/>
  <c r="L15" i="18"/>
  <c r="L7" i="18"/>
  <c r="L9" i="18"/>
  <c r="L17" i="18"/>
  <c r="L23" i="18"/>
  <c r="L11" i="18"/>
  <c r="L18" i="18"/>
  <c r="L13" i="18"/>
  <c r="L19" i="18"/>
  <c r="L4" i="18"/>
  <c r="L6" i="18"/>
  <c r="L12" i="18"/>
  <c r="L2" i="18"/>
  <c r="E16" i="20"/>
  <c r="G16" i="20" s="1"/>
  <c r="D16" i="20"/>
  <c r="H16" i="20" s="1"/>
  <c r="I15" i="20"/>
  <c r="L18" i="20"/>
  <c r="B17" i="20"/>
  <c r="N3" i="18" l="1"/>
  <c r="M22" i="18"/>
  <c r="M5" i="18"/>
  <c r="M21" i="18"/>
  <c r="M15" i="18"/>
  <c r="M12" i="18"/>
  <c r="M6" i="18"/>
  <c r="M19" i="18"/>
  <c r="M17" i="18"/>
  <c r="M18" i="18"/>
  <c r="M8" i="18"/>
  <c r="M14" i="18"/>
  <c r="M9" i="18"/>
  <c r="M13" i="18"/>
  <c r="M7" i="18"/>
  <c r="M23" i="18"/>
  <c r="M16" i="18"/>
  <c r="M20" i="18"/>
  <c r="M4" i="18"/>
  <c r="M11" i="18"/>
  <c r="M10" i="18"/>
  <c r="M2" i="18"/>
  <c r="E17" i="20"/>
  <c r="G17" i="20" s="1"/>
  <c r="D17" i="20"/>
  <c r="H17" i="20" s="1"/>
  <c r="I16" i="20"/>
  <c r="B18" i="20"/>
  <c r="L19" i="20"/>
  <c r="O3" i="18" l="1"/>
  <c r="N9" i="18"/>
  <c r="N6" i="18"/>
  <c r="N7" i="18"/>
  <c r="N16" i="18"/>
  <c r="N13" i="18"/>
  <c r="N21" i="18"/>
  <c r="N17" i="18"/>
  <c r="N20" i="18"/>
  <c r="N11" i="18"/>
  <c r="N5" i="18"/>
  <c r="N18" i="18"/>
  <c r="N4" i="18"/>
  <c r="N8" i="18"/>
  <c r="N10" i="18"/>
  <c r="N22" i="18"/>
  <c r="N19" i="18"/>
  <c r="N12" i="18"/>
  <c r="N23" i="18"/>
  <c r="N15" i="18"/>
  <c r="N14" i="18"/>
  <c r="N2" i="18"/>
  <c r="E18" i="20"/>
  <c r="G18" i="20" s="1"/>
  <c r="D18" i="20"/>
  <c r="H18" i="20" s="1"/>
  <c r="I17" i="20"/>
  <c r="L20" i="20"/>
  <c r="B19" i="20"/>
  <c r="P3" i="18" l="1"/>
  <c r="O19" i="18"/>
  <c r="O21" i="18"/>
  <c r="O7" i="18"/>
  <c r="O10" i="18"/>
  <c r="O22" i="18"/>
  <c r="O5" i="18"/>
  <c r="O15" i="18"/>
  <c r="O13" i="18"/>
  <c r="O9" i="18"/>
  <c r="O18" i="18"/>
  <c r="O12" i="18"/>
  <c r="O4" i="18"/>
  <c r="O17" i="18"/>
  <c r="O6" i="18"/>
  <c r="O14" i="18"/>
  <c r="O16" i="18"/>
  <c r="O23" i="18"/>
  <c r="O11" i="18"/>
  <c r="O8" i="18"/>
  <c r="O20" i="18"/>
  <c r="O2" i="18"/>
  <c r="E19" i="20"/>
  <c r="G19" i="20" s="1"/>
  <c r="D19" i="20"/>
  <c r="H19" i="20" s="1"/>
  <c r="I18" i="20"/>
  <c r="B20" i="20"/>
  <c r="L21" i="20"/>
  <c r="Q3" i="18" l="1"/>
  <c r="P12" i="18"/>
  <c r="P9" i="18"/>
  <c r="P6" i="18"/>
  <c r="P23" i="18"/>
  <c r="P5" i="18"/>
  <c r="P11" i="18"/>
  <c r="P15" i="18"/>
  <c r="P20" i="18"/>
  <c r="P8" i="18"/>
  <c r="P13" i="18"/>
  <c r="P19" i="18"/>
  <c r="P21" i="18"/>
  <c r="P17" i="18"/>
  <c r="P16" i="18"/>
  <c r="P14" i="18"/>
  <c r="P18" i="18"/>
  <c r="P4" i="18"/>
  <c r="P7" i="18"/>
  <c r="P10" i="18"/>
  <c r="P22" i="18"/>
  <c r="P2" i="18"/>
  <c r="E20" i="20"/>
  <c r="G20" i="20" s="1"/>
  <c r="D20" i="20"/>
  <c r="H20" i="20" s="1"/>
  <c r="I19" i="20"/>
  <c r="L22" i="20"/>
  <c r="B21" i="20"/>
  <c r="R3" i="18" l="1"/>
  <c r="Q15" i="18"/>
  <c r="Q5" i="18"/>
  <c r="Q22" i="18"/>
  <c r="Q12" i="18"/>
  <c r="Q19" i="18"/>
  <c r="Q7" i="18"/>
  <c r="Q9" i="18"/>
  <c r="Q10" i="18"/>
  <c r="Q18" i="18"/>
  <c r="Q17" i="18"/>
  <c r="Q6" i="18"/>
  <c r="Q11" i="18"/>
  <c r="Q23" i="18"/>
  <c r="Q14" i="18"/>
  <c r="Q13" i="18"/>
  <c r="Q4" i="18"/>
  <c r="Q20" i="18"/>
  <c r="Q16" i="18"/>
  <c r="Q8" i="18"/>
  <c r="Q21" i="18"/>
  <c r="Q2" i="18"/>
  <c r="E21" i="20"/>
  <c r="G21" i="20" s="1"/>
  <c r="D21" i="20"/>
  <c r="H21" i="20" s="1"/>
  <c r="B22" i="20"/>
  <c r="L23" i="20"/>
  <c r="I20" i="20"/>
  <c r="S3" i="18" l="1"/>
  <c r="R20" i="18"/>
  <c r="R7" i="18"/>
  <c r="R11" i="18"/>
  <c r="R16" i="18"/>
  <c r="R10" i="18"/>
  <c r="R21" i="18"/>
  <c r="R6" i="18"/>
  <c r="R18" i="18"/>
  <c r="R15" i="18"/>
  <c r="R19" i="18"/>
  <c r="R17" i="18"/>
  <c r="R22" i="18"/>
  <c r="R23" i="18"/>
  <c r="R9" i="18"/>
  <c r="R12" i="18"/>
  <c r="R8" i="18"/>
  <c r="R13" i="18"/>
  <c r="R14" i="18"/>
  <c r="R5" i="18"/>
  <c r="R4" i="18"/>
  <c r="R2" i="18"/>
  <c r="I21" i="20"/>
  <c r="E22" i="20"/>
  <c r="G22" i="20" s="1"/>
  <c r="D22" i="20"/>
  <c r="H22" i="20" s="1"/>
  <c r="B23" i="20"/>
  <c r="L24" i="20"/>
  <c r="T3" i="18" l="1"/>
  <c r="S13" i="18"/>
  <c r="S11" i="18"/>
  <c r="S19" i="18"/>
  <c r="S14" i="18"/>
  <c r="S8" i="18"/>
  <c r="S9" i="18"/>
  <c r="S23" i="18"/>
  <c r="S18" i="18"/>
  <c r="S21" i="18"/>
  <c r="S10" i="18"/>
  <c r="S7" i="18"/>
  <c r="S6" i="18"/>
  <c r="S12" i="18"/>
  <c r="S5" i="18"/>
  <c r="S22" i="18"/>
  <c r="S16" i="18"/>
  <c r="S15" i="18"/>
  <c r="S20" i="18"/>
  <c r="S17" i="18"/>
  <c r="S4" i="18"/>
  <c r="S2" i="18"/>
  <c r="I22" i="20"/>
  <c r="L25" i="20"/>
  <c r="B24" i="20"/>
  <c r="U3" i="18" l="1"/>
  <c r="T23" i="18"/>
  <c r="T18" i="18"/>
  <c r="T13" i="18"/>
  <c r="T22" i="18"/>
  <c r="T8" i="18"/>
  <c r="T14" i="18"/>
  <c r="T5" i="18"/>
  <c r="T12" i="18"/>
  <c r="T10" i="18"/>
  <c r="T15" i="18"/>
  <c r="T17" i="18"/>
  <c r="T20" i="18"/>
  <c r="T21" i="18"/>
  <c r="T9" i="18"/>
  <c r="T11" i="18"/>
  <c r="T4" i="18"/>
  <c r="T7" i="18"/>
  <c r="T19" i="18"/>
  <c r="T16" i="18"/>
  <c r="T6" i="18"/>
  <c r="T2" i="18"/>
  <c r="B25" i="20"/>
  <c r="L26" i="20"/>
  <c r="V3" i="18" l="1"/>
  <c r="U11" i="18"/>
  <c r="U9" i="18"/>
  <c r="U15" i="18"/>
  <c r="U20" i="18"/>
  <c r="U16" i="18"/>
  <c r="U22" i="18"/>
  <c r="U6" i="18"/>
  <c r="U10" i="18"/>
  <c r="U14" i="18"/>
  <c r="U19" i="18"/>
  <c r="U7" i="18"/>
  <c r="U23" i="18"/>
  <c r="U21" i="18"/>
  <c r="U17" i="18"/>
  <c r="U8" i="18"/>
  <c r="U12" i="18"/>
  <c r="U5" i="18"/>
  <c r="U18" i="18"/>
  <c r="U13" i="18"/>
  <c r="U4" i="18"/>
  <c r="U2" i="18"/>
  <c r="L27" i="20"/>
  <c r="B26" i="20"/>
  <c r="W3" i="18" l="1"/>
  <c r="V22" i="18"/>
  <c r="V19" i="18"/>
  <c r="V14" i="18"/>
  <c r="V6" i="18"/>
  <c r="V7" i="18"/>
  <c r="V5" i="18"/>
  <c r="V18" i="18"/>
  <c r="V16" i="18"/>
  <c r="V11" i="18"/>
  <c r="V21" i="18"/>
  <c r="V4" i="18"/>
  <c r="V13" i="18"/>
  <c r="V9" i="18"/>
  <c r="V17" i="18"/>
  <c r="V8" i="18"/>
  <c r="V15" i="18"/>
  <c r="V10" i="18"/>
  <c r="V20" i="18"/>
  <c r="V12" i="18"/>
  <c r="V23" i="18"/>
  <c r="V2" i="18"/>
  <c r="B27" i="20"/>
  <c r="L28" i="20"/>
  <c r="X3" i="18" l="1"/>
  <c r="W7" i="18"/>
  <c r="W6" i="18"/>
  <c r="W18" i="18"/>
  <c r="W16" i="18"/>
  <c r="W5" i="18"/>
  <c r="W22" i="18"/>
  <c r="W23" i="18"/>
  <c r="W12" i="18"/>
  <c r="W11" i="18"/>
  <c r="W21" i="18"/>
  <c r="W8" i="18"/>
  <c r="W4" i="18"/>
  <c r="W19" i="18"/>
  <c r="W15" i="18"/>
  <c r="W10" i="18"/>
  <c r="W13" i="18"/>
  <c r="W14" i="18"/>
  <c r="W9" i="18"/>
  <c r="W20" i="18"/>
  <c r="W17" i="18"/>
  <c r="W2" i="18"/>
  <c r="L29" i="20"/>
  <c r="B28" i="20"/>
  <c r="Y3" i="18" l="1"/>
  <c r="X17" i="18"/>
  <c r="X14" i="18"/>
  <c r="X5" i="18"/>
  <c r="X16" i="18"/>
  <c r="X7" i="18"/>
  <c r="X6" i="18"/>
  <c r="X12" i="18"/>
  <c r="X11" i="18"/>
  <c r="X23" i="18"/>
  <c r="X9" i="18"/>
  <c r="X15" i="18"/>
  <c r="X20" i="18"/>
  <c r="X10" i="18"/>
  <c r="X18" i="18"/>
  <c r="X19" i="18"/>
  <c r="X22" i="18"/>
  <c r="X13" i="18"/>
  <c r="X4" i="18"/>
  <c r="X21" i="18"/>
  <c r="X8" i="18"/>
  <c r="X2" i="18"/>
  <c r="B29" i="20"/>
  <c r="L30" i="20"/>
  <c r="Z3" i="18" l="1"/>
  <c r="Y19" i="18"/>
  <c r="Y6" i="18"/>
  <c r="Y18" i="18"/>
  <c r="Y7" i="18"/>
  <c r="Y15" i="18"/>
  <c r="Y13" i="18"/>
  <c r="Y20" i="18"/>
  <c r="Y17" i="18"/>
  <c r="Y21" i="18"/>
  <c r="Y23" i="18"/>
  <c r="Y9" i="18"/>
  <c r="Y14" i="18"/>
  <c r="Y12" i="18"/>
  <c r="Y4" i="18"/>
  <c r="Y22" i="18"/>
  <c r="Y8" i="18"/>
  <c r="Y5" i="18"/>
  <c r="Y11" i="18"/>
  <c r="Y10" i="18"/>
  <c r="Y16" i="18"/>
  <c r="Y2" i="18"/>
  <c r="L31" i="20"/>
  <c r="B30" i="20"/>
  <c r="AA3" i="18" l="1"/>
  <c r="Z17" i="18"/>
  <c r="Z22" i="18"/>
  <c r="Z12" i="18"/>
  <c r="Z15" i="18"/>
  <c r="Z21" i="18"/>
  <c r="Z7" i="18"/>
  <c r="Z8" i="18"/>
  <c r="Z19" i="18"/>
  <c r="Z6" i="18"/>
  <c r="Z20" i="18"/>
  <c r="Z14" i="18"/>
  <c r="Z23" i="18"/>
  <c r="Z9" i="18"/>
  <c r="Z18" i="18"/>
  <c r="Z4" i="18"/>
  <c r="Z10" i="18"/>
  <c r="Z13" i="18"/>
  <c r="Z16" i="18"/>
  <c r="Z11" i="18"/>
  <c r="Z5" i="18"/>
  <c r="Z2" i="18"/>
  <c r="B31" i="20"/>
  <c r="L32" i="20"/>
  <c r="AB3" i="18" l="1"/>
  <c r="AA9" i="18"/>
  <c r="AA11" i="18"/>
  <c r="AA8" i="18"/>
  <c r="AA17" i="18"/>
  <c r="AA12" i="18"/>
  <c r="AA7" i="18"/>
  <c r="AA18" i="18"/>
  <c r="AA22" i="18"/>
  <c r="AA19" i="18"/>
  <c r="AA13" i="18"/>
  <c r="AA14" i="18"/>
  <c r="AA6" i="18"/>
  <c r="AA15" i="18"/>
  <c r="AA5" i="18"/>
  <c r="AA21" i="18"/>
  <c r="AA10" i="18"/>
  <c r="AA23" i="18"/>
  <c r="AA16" i="18"/>
  <c r="AA4" i="18"/>
  <c r="AA20" i="18"/>
  <c r="AA2" i="18"/>
  <c r="E31" i="20"/>
  <c r="G31" i="20" s="1"/>
  <c r="D31" i="20"/>
  <c r="H31" i="20" s="1"/>
  <c r="L33" i="20"/>
  <c r="B32" i="20"/>
  <c r="AC3" i="18" l="1"/>
  <c r="AB19" i="18"/>
  <c r="AB10" i="18"/>
  <c r="AB5" i="18"/>
  <c r="AB17" i="18"/>
  <c r="AB13" i="18"/>
  <c r="AB8" i="18"/>
  <c r="AB20" i="18"/>
  <c r="AB23" i="18"/>
  <c r="AB6" i="18"/>
  <c r="AB12" i="18"/>
  <c r="AB21" i="18"/>
  <c r="AB16" i="18"/>
  <c r="AB18" i="18"/>
  <c r="AB4" i="18"/>
  <c r="AB14" i="18"/>
  <c r="AB11" i="18"/>
  <c r="AB22" i="18"/>
  <c r="AB9" i="18"/>
  <c r="AB15" i="18"/>
  <c r="AB7" i="18"/>
  <c r="AB2" i="18"/>
  <c r="E32" i="20"/>
  <c r="G32" i="20" s="1"/>
  <c r="D32" i="20"/>
  <c r="H32" i="20" s="1"/>
  <c r="I31" i="20"/>
  <c r="B33" i="20"/>
  <c r="L34" i="20"/>
  <c r="AD3" i="18" l="1"/>
  <c r="AC10" i="18"/>
  <c r="AC13" i="18"/>
  <c r="AC22" i="18"/>
  <c r="AC11" i="18"/>
  <c r="AC6" i="18"/>
  <c r="AC21" i="18"/>
  <c r="AC5" i="18"/>
  <c r="AC19" i="18"/>
  <c r="AC9" i="18"/>
  <c r="AC8" i="18"/>
  <c r="AC17" i="18"/>
  <c r="AC20" i="18"/>
  <c r="AC14" i="18"/>
  <c r="AC7" i="18"/>
  <c r="AC15" i="18"/>
  <c r="AC12" i="18"/>
  <c r="AC18" i="18"/>
  <c r="AC16" i="18"/>
  <c r="AC23" i="18"/>
  <c r="AC4" i="18"/>
  <c r="AC2" i="18"/>
  <c r="E33" i="20"/>
  <c r="G33" i="20" s="1"/>
  <c r="D33" i="20"/>
  <c r="H33" i="20" s="1"/>
  <c r="I32" i="20"/>
  <c r="L35" i="20"/>
  <c r="B34" i="20"/>
  <c r="AE3" i="18" l="1"/>
  <c r="AD9" i="18"/>
  <c r="AD11" i="18"/>
  <c r="AD7" i="18"/>
  <c r="AD20" i="18"/>
  <c r="AD6" i="18"/>
  <c r="AD10" i="18"/>
  <c r="AD15" i="18"/>
  <c r="AD5" i="18"/>
  <c r="AD23" i="18"/>
  <c r="AD21" i="18"/>
  <c r="AD19" i="18"/>
  <c r="AD17" i="18"/>
  <c r="AD8" i="18"/>
  <c r="AD18" i="18"/>
  <c r="AD13" i="18"/>
  <c r="AD12" i="18"/>
  <c r="AD22" i="18"/>
  <c r="AD14" i="18"/>
  <c r="AD16" i="18"/>
  <c r="AD4" i="18"/>
  <c r="AD2" i="18"/>
  <c r="E34" i="20"/>
  <c r="G34" i="20" s="1"/>
  <c r="D34" i="20"/>
  <c r="H34" i="20" s="1"/>
  <c r="B35" i="20"/>
  <c r="I33" i="20"/>
  <c r="AF3" i="18" l="1"/>
  <c r="AE5" i="18"/>
  <c r="AE20" i="18"/>
  <c r="AE15" i="18"/>
  <c r="AE6" i="18"/>
  <c r="AE11" i="18"/>
  <c r="AE7" i="18"/>
  <c r="AE13" i="18"/>
  <c r="AE16" i="18"/>
  <c r="AE18" i="18"/>
  <c r="AE22" i="18"/>
  <c r="AE12" i="18"/>
  <c r="AE8" i="18"/>
  <c r="AE23" i="18"/>
  <c r="AE21" i="18"/>
  <c r="AE17" i="18"/>
  <c r="AE4" i="18"/>
  <c r="AE10" i="18"/>
  <c r="AE14" i="18"/>
  <c r="AE9" i="18"/>
  <c r="AE19" i="18"/>
  <c r="AE2" i="18"/>
  <c r="E35" i="20"/>
  <c r="G35" i="20" s="1"/>
  <c r="D35" i="20"/>
  <c r="H35" i="20" s="1"/>
  <c r="I34" i="20"/>
  <c r="B36" i="20"/>
  <c r="AG3" i="18" l="1"/>
  <c r="AF18" i="18"/>
  <c r="AF21" i="18"/>
  <c r="AF12" i="18"/>
  <c r="AF6" i="18"/>
  <c r="AF16" i="18"/>
  <c r="AF7" i="18"/>
  <c r="AF13" i="18"/>
  <c r="AF17" i="18"/>
  <c r="AF5" i="18"/>
  <c r="AF4" i="18"/>
  <c r="AF11" i="18"/>
  <c r="AF10" i="18"/>
  <c r="AF8" i="18"/>
  <c r="AF22" i="18"/>
  <c r="AF14" i="18"/>
  <c r="AF9" i="18"/>
  <c r="AF19" i="18"/>
  <c r="AF15" i="18"/>
  <c r="AF23" i="18"/>
  <c r="AF20" i="18"/>
  <c r="AF2" i="18"/>
  <c r="E36" i="20"/>
  <c r="G36" i="20" s="1"/>
  <c r="D36" i="20"/>
  <c r="H36" i="20" s="1"/>
  <c r="I35" i="20"/>
  <c r="B37" i="20"/>
  <c r="AG2" i="18" l="1"/>
  <c r="AG16" i="18"/>
  <c r="AG11" i="18"/>
  <c r="AG21" i="18"/>
  <c r="AG14" i="18"/>
  <c r="AG23" i="18"/>
  <c r="AG10" i="18"/>
  <c r="AG13" i="18"/>
  <c r="AG7" i="18"/>
  <c r="AG17" i="18"/>
  <c r="AG6" i="18"/>
  <c r="AG22" i="18"/>
  <c r="AG19" i="18"/>
  <c r="AG20" i="18"/>
  <c r="AG9" i="18"/>
  <c r="AG18" i="18"/>
  <c r="AG15" i="18"/>
  <c r="AG8" i="18"/>
  <c r="AG12" i="18"/>
  <c r="D37" i="20"/>
  <c r="H37" i="20" s="1"/>
  <c r="E37" i="20"/>
  <c r="G37" i="20" s="1"/>
  <c r="I36" i="20"/>
  <c r="B38" i="20"/>
  <c r="D38" i="20" l="1"/>
  <c r="H38" i="20" s="1"/>
  <c r="E38" i="20"/>
  <c r="G38" i="20" s="1"/>
  <c r="I37" i="20"/>
  <c r="B39" i="20"/>
  <c r="I38" i="20" l="1"/>
  <c r="E39" i="20"/>
  <c r="G39" i="20" s="1"/>
  <c r="D39" i="20"/>
  <c r="H39" i="20" s="1"/>
  <c r="B40" i="20"/>
  <c r="E40" i="20" l="1"/>
  <c r="G40" i="20" s="1"/>
  <c r="D40" i="20"/>
  <c r="H40" i="20" s="1"/>
  <c r="I39" i="20"/>
  <c r="B41" i="20"/>
  <c r="E41" i="20" l="1"/>
  <c r="G41" i="20" s="1"/>
  <c r="D41" i="20"/>
  <c r="H41" i="20" s="1"/>
  <c r="I40" i="20"/>
  <c r="B42" i="20"/>
  <c r="E42" i="20" l="1"/>
  <c r="G42" i="20" s="1"/>
  <c r="D42" i="20"/>
  <c r="H42" i="20" s="1"/>
  <c r="I41" i="20"/>
  <c r="B43" i="20"/>
  <c r="E43" i="20" l="1"/>
  <c r="G43" i="20" s="1"/>
  <c r="D43" i="20"/>
  <c r="H43" i="20" s="1"/>
  <c r="I42" i="20"/>
  <c r="AB14" i="20"/>
  <c r="B44" i="20"/>
  <c r="K8" i="4"/>
  <c r="L8" i="4"/>
  <c r="M8" i="4"/>
  <c r="O8" i="4" s="1"/>
  <c r="Q8" i="4"/>
  <c r="D5" i="18" s="1"/>
  <c r="R8" i="4"/>
  <c r="C12" i="18" l="1"/>
  <c r="F5" i="18"/>
  <c r="D30" i="20"/>
  <c r="H30" i="20" s="1"/>
  <c r="E30" i="20"/>
  <c r="E27" i="20"/>
  <c r="D27" i="20"/>
  <c r="H27" i="20" s="1"/>
  <c r="E44" i="20"/>
  <c r="G44" i="20" s="1"/>
  <c r="D44" i="20"/>
  <c r="H44" i="20" s="1"/>
  <c r="I43" i="20"/>
  <c r="AB13" i="20"/>
  <c r="B45" i="20"/>
  <c r="K7" i="4"/>
  <c r="L7" i="4"/>
  <c r="M7" i="4"/>
  <c r="O7" i="4" s="1"/>
  <c r="Q7" i="4"/>
  <c r="AG5" i="18" s="1"/>
  <c r="R7" i="4"/>
  <c r="C11" i="18" l="1"/>
  <c r="E5" i="18"/>
  <c r="D29" i="20"/>
  <c r="H29" i="20" s="1"/>
  <c r="E29" i="20"/>
  <c r="G30" i="20"/>
  <c r="I30" i="20"/>
  <c r="AB12" i="20"/>
  <c r="G27" i="20"/>
  <c r="I27" i="20"/>
  <c r="I44" i="20"/>
  <c r="E45" i="20"/>
  <c r="G45" i="20" s="1"/>
  <c r="D45" i="20"/>
  <c r="H45" i="20" s="1"/>
  <c r="B46" i="20"/>
  <c r="M6" i="4"/>
  <c r="M5" i="4"/>
  <c r="M4" i="4"/>
  <c r="M3" i="4"/>
  <c r="G29" i="20" l="1"/>
  <c r="I29" i="20"/>
  <c r="E46" i="20"/>
  <c r="G46" i="20" s="1"/>
  <c r="D46" i="20"/>
  <c r="H46" i="20" s="1"/>
  <c r="I45" i="20"/>
  <c r="B47" i="20"/>
  <c r="R3" i="4"/>
  <c r="R4" i="4"/>
  <c r="R5" i="4"/>
  <c r="R6" i="4"/>
  <c r="E47" i="20" l="1"/>
  <c r="G47" i="20" s="1"/>
  <c r="D47" i="20"/>
  <c r="H47" i="20" s="1"/>
  <c r="I46" i="20"/>
  <c r="B48" i="20"/>
  <c r="K3" i="4"/>
  <c r="K4" i="4"/>
  <c r="K5" i="4"/>
  <c r="K6" i="4"/>
  <c r="L3" i="4"/>
  <c r="L4" i="4"/>
  <c r="L5" i="4"/>
  <c r="L6" i="4"/>
  <c r="O3" i="4"/>
  <c r="O4" i="4"/>
  <c r="O5" i="4"/>
  <c r="O6" i="4"/>
  <c r="Q3" i="4"/>
  <c r="Q4" i="4"/>
  <c r="C7" i="18" s="1"/>
  <c r="Q5" i="4"/>
  <c r="C8" i="18" s="1"/>
  <c r="Q6" i="4"/>
  <c r="C10" i="18" s="1"/>
  <c r="AG4" i="18" l="1"/>
  <c r="C4" i="18"/>
  <c r="D4" i="18"/>
  <c r="E4" i="18"/>
  <c r="C6" i="18"/>
  <c r="F4" i="18"/>
  <c r="E28" i="20"/>
  <c r="D28" i="20"/>
  <c r="H28" i="20" s="1"/>
  <c r="E24" i="20"/>
  <c r="D24" i="20"/>
  <c r="H24" i="20" s="1"/>
  <c r="E23" i="20"/>
  <c r="D23" i="20"/>
  <c r="H23" i="20" s="1"/>
  <c r="E26" i="20"/>
  <c r="D26" i="20"/>
  <c r="H26" i="20" s="1"/>
  <c r="D25" i="20"/>
  <c r="H25" i="20" s="1"/>
  <c r="E25" i="20"/>
  <c r="E48" i="20"/>
  <c r="G48" i="20" s="1"/>
  <c r="D48" i="20"/>
  <c r="H48" i="20" s="1"/>
  <c r="AB10" i="20"/>
  <c r="Q35" i="20"/>
  <c r="P32" i="20"/>
  <c r="P29" i="20"/>
  <c r="P26" i="20"/>
  <c r="P23" i="20"/>
  <c r="P20" i="20"/>
  <c r="P17" i="20"/>
  <c r="Q14" i="20"/>
  <c r="N9" i="20"/>
  <c r="Q6" i="20"/>
  <c r="N11" i="20"/>
  <c r="Q21" i="20"/>
  <c r="P24" i="20"/>
  <c r="N7" i="20"/>
  <c r="O7" i="20" s="1"/>
  <c r="N30" i="20"/>
  <c r="P35" i="20"/>
  <c r="N32" i="20"/>
  <c r="N29" i="20"/>
  <c r="N26" i="20"/>
  <c r="N23" i="20"/>
  <c r="N20" i="20"/>
  <c r="N17" i="20"/>
  <c r="P14" i="20"/>
  <c r="Q11" i="20"/>
  <c r="P6" i="20"/>
  <c r="Q8" i="20"/>
  <c r="Q34" i="20"/>
  <c r="Q31" i="20"/>
  <c r="Q25" i="20"/>
  <c r="Q19" i="20"/>
  <c r="P8" i="20"/>
  <c r="P21" i="20"/>
  <c r="N5" i="20"/>
  <c r="O5" i="20" s="1"/>
  <c r="N27" i="20"/>
  <c r="P12" i="20"/>
  <c r="Q32" i="20"/>
  <c r="Q17" i="20"/>
  <c r="N35" i="20"/>
  <c r="N14" i="20"/>
  <c r="P11" i="20"/>
  <c r="N6" i="20"/>
  <c r="O6" i="20" s="1"/>
  <c r="Q28" i="20"/>
  <c r="Q22" i="20"/>
  <c r="P27" i="20"/>
  <c r="N18" i="20"/>
  <c r="N15" i="20"/>
  <c r="Q26" i="20"/>
  <c r="P34" i="20"/>
  <c r="P31" i="20"/>
  <c r="P28" i="20"/>
  <c r="P25" i="20"/>
  <c r="P22" i="20"/>
  <c r="P19" i="20"/>
  <c r="Q16" i="20"/>
  <c r="Q13" i="20"/>
  <c r="Q33" i="20"/>
  <c r="N13" i="20"/>
  <c r="Q7" i="20"/>
  <c r="Q5" i="20"/>
  <c r="Q30" i="20"/>
  <c r="Q27" i="20"/>
  <c r="Q18" i="20"/>
  <c r="P7" i="20"/>
  <c r="N33" i="20"/>
  <c r="P18" i="20"/>
  <c r="Q15" i="20"/>
  <c r="N21" i="20"/>
  <c r="P15" i="20"/>
  <c r="Q9" i="20"/>
  <c r="Q23" i="20"/>
  <c r="Q20" i="20"/>
  <c r="P9" i="20"/>
  <c r="N34" i="20"/>
  <c r="N31" i="20"/>
  <c r="N28" i="20"/>
  <c r="N25" i="20"/>
  <c r="N22" i="20"/>
  <c r="N19" i="20"/>
  <c r="P16" i="20"/>
  <c r="P13" i="20"/>
  <c r="N16" i="20"/>
  <c r="P33" i="20"/>
  <c r="Q24" i="20"/>
  <c r="P5" i="20"/>
  <c r="P30" i="20"/>
  <c r="Q12" i="20"/>
  <c r="N24" i="20"/>
  <c r="N12" i="20"/>
  <c r="Q29" i="20"/>
  <c r="AB11" i="20"/>
  <c r="AB9" i="20"/>
  <c r="AS7" i="20" a="1"/>
  <c r="AR7" i="20" s="1"/>
  <c r="AS8" i="20" a="1"/>
  <c r="AR8" i="20" s="1"/>
  <c r="AS9" i="20" a="1"/>
  <c r="AR9" i="20" s="1"/>
  <c r="AS10" i="20" a="1"/>
  <c r="AR10" i="20" s="1"/>
  <c r="AS11" i="20" a="1"/>
  <c r="AR11" i="20" s="1"/>
  <c r="AS12" i="20" a="1"/>
  <c r="AR12" i="20" s="1"/>
  <c r="I47" i="20"/>
  <c r="B49" i="20"/>
  <c r="G28" i="20" l="1"/>
  <c r="I28" i="20"/>
  <c r="U10" i="20"/>
  <c r="T18" i="20"/>
  <c r="R14" i="20"/>
  <c r="S14" i="20" s="1"/>
  <c r="T30" i="20"/>
  <c r="R24" i="20"/>
  <c r="S24" i="20" s="1"/>
  <c r="R6" i="20"/>
  <c r="S6" i="20" s="1"/>
  <c r="R32" i="20"/>
  <c r="S32" i="20" s="1"/>
  <c r="U30" i="20"/>
  <c r="R8" i="20"/>
  <c r="S8" i="20" s="1"/>
  <c r="U9" i="20"/>
  <c r="G26" i="20"/>
  <c r="I26" i="20"/>
  <c r="G23" i="20"/>
  <c r="I23" i="20"/>
  <c r="G25" i="20"/>
  <c r="I25" i="20"/>
  <c r="U18" i="20"/>
  <c r="G24" i="20"/>
  <c r="I24" i="20"/>
  <c r="E49" i="20"/>
  <c r="G49" i="20" s="1"/>
  <c r="D49" i="20"/>
  <c r="H49" i="20" s="1"/>
  <c r="T9" i="20"/>
  <c r="R27" i="20"/>
  <c r="S27" i="20" s="1"/>
  <c r="T31" i="20"/>
  <c r="R31" i="20"/>
  <c r="S31" i="20" s="1"/>
  <c r="T28" i="20"/>
  <c r="T8" i="20"/>
  <c r="R25" i="20"/>
  <c r="S25" i="20" s="1"/>
  <c r="R28" i="20"/>
  <c r="S28" i="20" s="1"/>
  <c r="U23" i="20"/>
  <c r="T34" i="20"/>
  <c r="U26" i="20"/>
  <c r="T12" i="20"/>
  <c r="U16" i="20"/>
  <c r="U11" i="20"/>
  <c r="U35" i="20"/>
  <c r="T23" i="20"/>
  <c r="T26" i="20"/>
  <c r="R22" i="20"/>
  <c r="S22" i="20" s="1"/>
  <c r="T16" i="20"/>
  <c r="R15" i="20"/>
  <c r="S15" i="20" s="1"/>
  <c r="U17" i="20"/>
  <c r="U19" i="20"/>
  <c r="U20" i="20"/>
  <c r="U25" i="20"/>
  <c r="R30" i="20"/>
  <c r="S30" i="20" s="1"/>
  <c r="T29" i="20"/>
  <c r="R29" i="20"/>
  <c r="S29" i="20" s="1"/>
  <c r="T25" i="20"/>
  <c r="U22" i="20"/>
  <c r="U5" i="20"/>
  <c r="T24" i="20"/>
  <c r="U34" i="20"/>
  <c r="R34" i="20"/>
  <c r="S34" i="20" s="1"/>
  <c r="T27" i="20"/>
  <c r="U28" i="20"/>
  <c r="R35" i="20"/>
  <c r="S35" i="20" s="1"/>
  <c r="U7" i="20"/>
  <c r="R7" i="20"/>
  <c r="S7" i="20" s="1"/>
  <c r="U29" i="20"/>
  <c r="T33" i="20"/>
  <c r="R33" i="20"/>
  <c r="S33" i="20" s="1"/>
  <c r="U33" i="20"/>
  <c r="U31" i="20"/>
  <c r="U6" i="20"/>
  <c r="U24" i="20"/>
  <c r="U32" i="20"/>
  <c r="T5" i="20"/>
  <c r="T32" i="20"/>
  <c r="T11" i="20"/>
  <c r="T10" i="20"/>
  <c r="R10" i="20"/>
  <c r="S10" i="20" s="1"/>
  <c r="T35" i="20"/>
  <c r="R16" i="20"/>
  <c r="S16" i="20" s="1"/>
  <c r="T7" i="20"/>
  <c r="U14" i="20"/>
  <c r="T13" i="20"/>
  <c r="R13" i="20"/>
  <c r="S13" i="20" s="1"/>
  <c r="T17" i="20"/>
  <c r="R17" i="20"/>
  <c r="S17" i="20" s="1"/>
  <c r="R11" i="20"/>
  <c r="S11" i="20" s="1"/>
  <c r="U13" i="20"/>
  <c r="U15" i="20"/>
  <c r="R18" i="20"/>
  <c r="S18" i="20" s="1"/>
  <c r="R5" i="20"/>
  <c r="T20" i="20"/>
  <c r="R20" i="20"/>
  <c r="S20" i="20" s="1"/>
  <c r="T6" i="20"/>
  <c r="T21" i="20"/>
  <c r="R21" i="20"/>
  <c r="S21" i="20" s="1"/>
  <c r="U27" i="20"/>
  <c r="U21" i="20"/>
  <c r="R23" i="20"/>
  <c r="S23" i="20" s="1"/>
  <c r="R9" i="20"/>
  <c r="S9" i="20" s="1"/>
  <c r="U12" i="20"/>
  <c r="R12" i="20"/>
  <c r="S12" i="20" s="1"/>
  <c r="T19" i="20"/>
  <c r="R19" i="20"/>
  <c r="S19" i="20" s="1"/>
  <c r="T15" i="20"/>
  <c r="T22" i="20"/>
  <c r="U8" i="20"/>
  <c r="R26" i="20"/>
  <c r="S26" i="20" s="1"/>
  <c r="T14" i="20"/>
  <c r="I48" i="20"/>
  <c r="B50" i="20"/>
  <c r="S36" i="20" l="1"/>
  <c r="E50" i="20"/>
  <c r="G50" i="20" s="1"/>
  <c r="D50" i="20"/>
  <c r="H50" i="20" s="1"/>
  <c r="I49" i="20"/>
  <c r="U36" i="20"/>
  <c r="T36" i="20"/>
  <c r="S5" i="20"/>
  <c r="B51" i="20"/>
  <c r="E51" i="20" l="1"/>
  <c r="G51" i="20" s="1"/>
  <c r="D51" i="20"/>
  <c r="H51" i="20" s="1"/>
  <c r="B52" i="20"/>
  <c r="I50" i="20"/>
  <c r="E52" i="20" l="1"/>
  <c r="G52" i="20" s="1"/>
  <c r="D52" i="20"/>
  <c r="H52" i="20" s="1"/>
  <c r="I51" i="20"/>
  <c r="B53" i="20"/>
  <c r="I52" i="20" l="1"/>
  <c r="E53" i="20"/>
  <c r="G53" i="20" s="1"/>
  <c r="D53" i="20"/>
  <c r="H53" i="20" s="1"/>
  <c r="B54" i="20"/>
  <c r="E54" i="20" l="1"/>
  <c r="G54" i="20" s="1"/>
  <c r="D54" i="20"/>
  <c r="H54" i="20" s="1"/>
  <c r="B55" i="20"/>
  <c r="I53" i="20"/>
  <c r="E55" i="20" l="1"/>
  <c r="G55" i="20" s="1"/>
  <c r="D55" i="20"/>
  <c r="H55" i="20" s="1"/>
  <c r="I54" i="20"/>
  <c r="B56" i="20"/>
  <c r="I55" i="20" l="1"/>
  <c r="E56" i="20"/>
  <c r="G56" i="20" s="1"/>
  <c r="D56" i="20"/>
  <c r="H56" i="20" s="1"/>
  <c r="B57" i="20"/>
  <c r="E57" i="20" l="1"/>
  <c r="G57" i="20" s="1"/>
  <c r="D57" i="20"/>
  <c r="H57" i="20" s="1"/>
  <c r="I56" i="20"/>
  <c r="B58" i="20"/>
  <c r="E58" i="20" l="1"/>
  <c r="G58" i="20" s="1"/>
  <c r="D58" i="20"/>
  <c r="H58" i="20" s="1"/>
  <c r="I57" i="20"/>
  <c r="B59" i="20"/>
  <c r="E59" i="20" l="1"/>
  <c r="G59" i="20" s="1"/>
  <c r="D59" i="20"/>
  <c r="H59" i="20" s="1"/>
  <c r="B60" i="20"/>
  <c r="I58" i="20"/>
  <c r="E60" i="20" l="1"/>
  <c r="G60" i="20" s="1"/>
  <c r="D60" i="20"/>
  <c r="H60" i="20" s="1"/>
  <c r="I59" i="20"/>
  <c r="B61" i="20"/>
  <c r="D61" i="20" l="1"/>
  <c r="H61" i="20" s="1"/>
  <c r="E61" i="20"/>
  <c r="G61" i="20" s="1"/>
  <c r="I60" i="20"/>
  <c r="B62" i="20"/>
  <c r="D62" i="20" l="1"/>
  <c r="H62" i="20" s="1"/>
  <c r="E62" i="20"/>
  <c r="G62" i="20" s="1"/>
  <c r="I61" i="20"/>
  <c r="B63" i="20"/>
  <c r="E63" i="20" l="1"/>
  <c r="G63" i="20" s="1"/>
  <c r="D63" i="20"/>
  <c r="H63" i="20" s="1"/>
  <c r="I62" i="20"/>
  <c r="B64" i="20"/>
  <c r="E64" i="20" l="1"/>
  <c r="G64" i="20" s="1"/>
  <c r="D64" i="20"/>
  <c r="H64" i="20" s="1"/>
  <c r="I63" i="20"/>
  <c r="B65" i="20"/>
  <c r="E65" i="20" l="1"/>
  <c r="G65" i="20" s="1"/>
  <c r="D65" i="20"/>
  <c r="H65" i="20" s="1"/>
  <c r="I64" i="20"/>
  <c r="B66" i="20"/>
  <c r="E66" i="20" l="1"/>
  <c r="G66" i="20" s="1"/>
  <c r="D66" i="20"/>
  <c r="H66" i="20" s="1"/>
  <c r="I65" i="20"/>
  <c r="B67" i="20"/>
  <c r="E67" i="20" l="1"/>
  <c r="G67" i="20" s="1"/>
  <c r="D67" i="20"/>
  <c r="H67" i="20" s="1"/>
  <c r="I66" i="20"/>
  <c r="B68" i="20"/>
  <c r="I67" i="20" l="1"/>
  <c r="E68" i="20"/>
  <c r="G68" i="20" s="1"/>
  <c r="D68" i="20"/>
  <c r="H68" i="20" s="1"/>
  <c r="B69" i="20"/>
  <c r="D69" i="20" l="1"/>
  <c r="H69" i="20" s="1"/>
  <c r="E69" i="20"/>
  <c r="G69" i="20" s="1"/>
  <c r="I68" i="20"/>
  <c r="B70" i="20"/>
  <c r="D70" i="20" l="1"/>
  <c r="H70" i="20" s="1"/>
  <c r="E70" i="20"/>
  <c r="G70" i="20" s="1"/>
  <c r="I69" i="20"/>
  <c r="B71" i="20"/>
  <c r="E71" i="20" l="1"/>
  <c r="G71" i="20" s="1"/>
  <c r="D71" i="20"/>
  <c r="H71" i="20" s="1"/>
  <c r="I70" i="20"/>
  <c r="B72" i="20"/>
  <c r="I71" i="20" l="1"/>
  <c r="E72" i="20"/>
  <c r="G72" i="20" s="1"/>
  <c r="D72" i="20"/>
  <c r="H72" i="20" s="1"/>
  <c r="B73" i="20"/>
  <c r="I72" i="20" l="1"/>
  <c r="E73" i="20"/>
  <c r="G73" i="20" s="1"/>
  <c r="D73" i="20"/>
  <c r="H73" i="20" s="1"/>
  <c r="B74" i="20"/>
  <c r="E74" i="20" l="1"/>
  <c r="G74" i="20" s="1"/>
  <c r="D74" i="20"/>
  <c r="H74" i="20" s="1"/>
  <c r="B75" i="20"/>
  <c r="I73" i="20"/>
  <c r="E75" i="20" l="1"/>
  <c r="G75" i="20" s="1"/>
  <c r="D75" i="20"/>
  <c r="H75" i="20" s="1"/>
  <c r="I74" i="20"/>
  <c r="B76" i="20"/>
  <c r="E76" i="20" l="1"/>
  <c r="G76" i="20" s="1"/>
  <c r="D76" i="20"/>
  <c r="H76" i="20" s="1"/>
  <c r="I75" i="20"/>
  <c r="B77" i="20"/>
  <c r="I76" i="20" l="1"/>
  <c r="E77" i="20"/>
  <c r="G77" i="20" s="1"/>
  <c r="D77" i="20"/>
  <c r="H77" i="20" s="1"/>
  <c r="B78" i="20"/>
  <c r="E78" i="20" l="1"/>
  <c r="G78" i="20" s="1"/>
  <c r="D78" i="20"/>
  <c r="H78" i="20" s="1"/>
  <c r="B79" i="20"/>
  <c r="I77" i="20"/>
  <c r="E79" i="20" l="1"/>
  <c r="G79" i="20" s="1"/>
  <c r="D79" i="20"/>
  <c r="H79" i="20" s="1"/>
  <c r="I78" i="20"/>
  <c r="B80" i="20"/>
  <c r="I79" i="20" l="1"/>
  <c r="E80" i="20"/>
  <c r="G80" i="20" s="1"/>
  <c r="D80" i="20"/>
  <c r="H80" i="20" s="1"/>
  <c r="B81" i="20"/>
  <c r="E81" i="20" l="1"/>
  <c r="G81" i="20" s="1"/>
  <c r="D81" i="20"/>
  <c r="H81" i="20" s="1"/>
  <c r="I80" i="20"/>
  <c r="B82" i="20"/>
  <c r="E82" i="20" l="1"/>
  <c r="G82" i="20" s="1"/>
  <c r="D82" i="20"/>
  <c r="H82" i="20" s="1"/>
  <c r="I81" i="20"/>
  <c r="B83" i="20"/>
  <c r="E83" i="20" l="1"/>
  <c r="G83" i="20" s="1"/>
  <c r="D83" i="20"/>
  <c r="H83" i="20" s="1"/>
  <c r="B84" i="20"/>
  <c r="I82" i="20"/>
  <c r="E84" i="20" l="1"/>
  <c r="G84" i="20" s="1"/>
  <c r="D84" i="20"/>
  <c r="H84" i="20" s="1"/>
  <c r="I83" i="20"/>
  <c r="B85" i="20"/>
  <c r="E85" i="20" l="1"/>
  <c r="G85" i="20" s="1"/>
  <c r="D85" i="20"/>
  <c r="H85" i="20" s="1"/>
  <c r="B86" i="20"/>
  <c r="I84" i="20"/>
  <c r="E86" i="20" l="1"/>
  <c r="G86" i="20" s="1"/>
  <c r="D86" i="20"/>
  <c r="H86" i="20" s="1"/>
  <c r="B87" i="20"/>
  <c r="I85" i="20"/>
  <c r="E87" i="20" l="1"/>
  <c r="G87" i="20" s="1"/>
  <c r="D87" i="20"/>
  <c r="H87" i="20" s="1"/>
  <c r="I86" i="20"/>
  <c r="B88" i="20"/>
  <c r="I87" i="20" l="1"/>
  <c r="E88" i="20"/>
  <c r="G88" i="20" s="1"/>
  <c r="D88" i="20"/>
  <c r="H88" i="20" s="1"/>
  <c r="B89" i="20"/>
  <c r="I88" i="20" l="1"/>
  <c r="E89" i="20"/>
  <c r="G89" i="20" s="1"/>
  <c r="D89" i="20"/>
  <c r="H89" i="20" s="1"/>
  <c r="B90" i="20"/>
  <c r="I89" i="20" l="1"/>
  <c r="E90" i="20"/>
  <c r="G90" i="20" s="1"/>
  <c r="D90" i="20"/>
  <c r="H90" i="20" s="1"/>
  <c r="B91" i="20"/>
  <c r="E91" i="20" l="1"/>
  <c r="G91" i="20" s="1"/>
  <c r="D91" i="20"/>
  <c r="H91" i="20" s="1"/>
  <c r="I90" i="20"/>
  <c r="B92" i="20"/>
  <c r="E92" i="20" l="1"/>
  <c r="G92" i="20" s="1"/>
  <c r="D92" i="20"/>
  <c r="H92" i="20" s="1"/>
  <c r="I91" i="20"/>
  <c r="B93" i="20"/>
  <c r="D93" i="20" l="1"/>
  <c r="H93" i="20" s="1"/>
  <c r="E93" i="20"/>
  <c r="G93" i="20" s="1"/>
  <c r="B94" i="20"/>
  <c r="I92" i="20"/>
  <c r="D94" i="20" l="1"/>
  <c r="H94" i="20" s="1"/>
  <c r="E94" i="20"/>
  <c r="G94" i="20" s="1"/>
  <c r="I93" i="20"/>
  <c r="B95" i="20"/>
  <c r="E95" i="20" l="1"/>
  <c r="G95" i="20" s="1"/>
  <c r="D95" i="20"/>
  <c r="H95" i="20" s="1"/>
  <c r="I94" i="20"/>
  <c r="B96" i="20"/>
  <c r="E96" i="20" l="1"/>
  <c r="G96" i="20" s="1"/>
  <c r="D96" i="20"/>
  <c r="H96" i="20" s="1"/>
  <c r="I95" i="20"/>
  <c r="B97" i="20"/>
  <c r="E97" i="20" l="1"/>
  <c r="G97" i="20" s="1"/>
  <c r="D97" i="20"/>
  <c r="H97" i="20" s="1"/>
  <c r="B98" i="20"/>
  <c r="I96" i="20"/>
  <c r="E98" i="20" l="1"/>
  <c r="G98" i="20" s="1"/>
  <c r="D98" i="20"/>
  <c r="H98" i="20" s="1"/>
  <c r="B99" i="20"/>
  <c r="I97" i="20"/>
  <c r="E99" i="20" l="1"/>
  <c r="G99" i="20" s="1"/>
  <c r="D99" i="20"/>
  <c r="H99" i="20" s="1"/>
  <c r="I98" i="20"/>
  <c r="B100" i="20"/>
  <c r="I99" i="20" l="1"/>
  <c r="E100" i="20"/>
  <c r="G100" i="20" s="1"/>
  <c r="D100" i="20"/>
  <c r="H100" i="20" s="1"/>
  <c r="B101" i="20"/>
  <c r="D101" i="20" l="1"/>
  <c r="H101" i="20" s="1"/>
  <c r="E101" i="20"/>
  <c r="G101" i="20" s="1"/>
  <c r="B102" i="20"/>
  <c r="I100" i="20"/>
  <c r="D102" i="20" l="1"/>
  <c r="H102" i="20" s="1"/>
  <c r="E102" i="20"/>
  <c r="G102" i="20" s="1"/>
  <c r="B103" i="20"/>
  <c r="I101" i="20"/>
  <c r="E103" i="20" l="1"/>
  <c r="G103" i="20" s="1"/>
  <c r="D103" i="20"/>
  <c r="H103" i="20" s="1"/>
  <c r="I102" i="20"/>
  <c r="B104" i="20"/>
  <c r="I103" i="20" l="1"/>
  <c r="E104" i="20"/>
  <c r="G104" i="20" s="1"/>
  <c r="D104" i="20"/>
  <c r="H104" i="20" s="1"/>
  <c r="B105" i="20"/>
  <c r="E105" i="20" l="1"/>
  <c r="G105" i="20" s="1"/>
  <c r="D105" i="20"/>
  <c r="H105" i="20" s="1"/>
  <c r="B106" i="20"/>
  <c r="I104" i="20"/>
  <c r="E106" i="20" l="1"/>
  <c r="G106" i="20" s="1"/>
  <c r="D106" i="20"/>
  <c r="H106" i="20" s="1"/>
  <c r="B107" i="20"/>
  <c r="I105" i="20"/>
  <c r="E107" i="20" l="1"/>
  <c r="G107" i="20" s="1"/>
  <c r="D107" i="20"/>
  <c r="H107" i="20" s="1"/>
  <c r="I106" i="20"/>
  <c r="B108" i="20"/>
  <c r="I107" i="20" l="1"/>
  <c r="E108" i="20"/>
  <c r="G108" i="20" s="1"/>
  <c r="D108" i="20"/>
  <c r="H108" i="20" s="1"/>
  <c r="B109" i="20"/>
  <c r="E109" i="20" l="1"/>
  <c r="G109" i="20" s="1"/>
  <c r="D109" i="20"/>
  <c r="H109" i="20" s="1"/>
  <c r="B110" i="20"/>
  <c r="I108" i="20"/>
  <c r="E110" i="20" l="1"/>
  <c r="G110" i="20" s="1"/>
  <c r="D110" i="20"/>
  <c r="H110" i="20" s="1"/>
  <c r="B111" i="20"/>
  <c r="I109" i="20"/>
  <c r="E111" i="20" l="1"/>
  <c r="G111" i="20" s="1"/>
  <c r="D111" i="20"/>
  <c r="H111" i="20" s="1"/>
  <c r="I110" i="20"/>
  <c r="B112" i="20"/>
  <c r="E112" i="20" l="1"/>
  <c r="G112" i="20" s="1"/>
  <c r="D112" i="20"/>
  <c r="H112" i="20" s="1"/>
  <c r="I111" i="20"/>
  <c r="B113" i="20"/>
  <c r="I112" i="20" l="1"/>
  <c r="E113" i="20"/>
  <c r="G113" i="20" s="1"/>
  <c r="D113" i="20"/>
  <c r="H113" i="20" s="1"/>
  <c r="B114" i="20"/>
  <c r="E114" i="20" l="1"/>
  <c r="G114" i="20" s="1"/>
  <c r="D114" i="20"/>
  <c r="H114" i="20" s="1"/>
  <c r="B115" i="20"/>
  <c r="I113" i="20"/>
  <c r="E115" i="20" l="1"/>
  <c r="G115" i="20" s="1"/>
  <c r="D115" i="20"/>
  <c r="H115" i="20" s="1"/>
  <c r="I114" i="20"/>
  <c r="B116" i="20"/>
  <c r="I115" i="20" l="1"/>
  <c r="E116" i="20"/>
  <c r="G116" i="20" s="1"/>
  <c r="D116" i="20"/>
  <c r="H116" i="20" s="1"/>
  <c r="B117" i="20"/>
  <c r="E117" i="20" l="1"/>
  <c r="G117" i="20" s="1"/>
  <c r="D117" i="20"/>
  <c r="H117" i="20" s="1"/>
  <c r="B118" i="20"/>
  <c r="I116" i="20"/>
  <c r="E118" i="20" l="1"/>
  <c r="G118" i="20" s="1"/>
  <c r="D118" i="20"/>
  <c r="H118" i="20" s="1"/>
  <c r="I117" i="20"/>
  <c r="B119" i="20"/>
  <c r="I118" i="20" l="1"/>
  <c r="E119" i="20"/>
  <c r="G119" i="20" s="1"/>
  <c r="D119" i="20"/>
  <c r="H119" i="20" s="1"/>
  <c r="B120" i="20"/>
  <c r="I119" i="20" l="1"/>
  <c r="E120" i="20"/>
  <c r="G120" i="20" s="1"/>
  <c r="D120" i="20"/>
  <c r="H120" i="20" s="1"/>
  <c r="B121" i="20"/>
  <c r="E121" i="20" l="1"/>
  <c r="G121" i="20" s="1"/>
  <c r="D121" i="20"/>
  <c r="H121" i="20" s="1"/>
  <c r="I120" i="20"/>
  <c r="B122" i="20"/>
  <c r="I121" i="20" l="1"/>
  <c r="E122" i="20"/>
  <c r="G122" i="20" s="1"/>
  <c r="D122" i="20"/>
  <c r="H122" i="20" s="1"/>
  <c r="B123" i="20"/>
  <c r="I122" i="20" l="1"/>
  <c r="E123" i="20"/>
  <c r="G123" i="20" s="1"/>
  <c r="D123" i="20"/>
  <c r="H123" i="20" s="1"/>
  <c r="B124" i="20"/>
  <c r="I123" i="20" l="1"/>
  <c r="E124" i="20"/>
  <c r="G124" i="20" s="1"/>
  <c r="D124" i="20"/>
  <c r="H124" i="20" s="1"/>
  <c r="B125" i="20"/>
  <c r="E125" i="20" l="1"/>
  <c r="G125" i="20" s="1"/>
  <c r="D125" i="20"/>
  <c r="H125" i="20" s="1"/>
  <c r="I124" i="20"/>
  <c r="B126" i="20"/>
  <c r="I125" i="20" l="1"/>
  <c r="E126" i="20"/>
  <c r="G126" i="20" s="1"/>
  <c r="D126" i="20"/>
  <c r="H126" i="20" s="1"/>
  <c r="B127" i="20"/>
  <c r="I126" i="20" l="1"/>
  <c r="D127" i="20"/>
  <c r="H127" i="20" s="1"/>
  <c r="E127" i="20"/>
  <c r="G127" i="20" s="1"/>
  <c r="B128" i="20"/>
  <c r="I127" i="20" l="1"/>
  <c r="E128" i="20"/>
  <c r="G128" i="20" s="1"/>
  <c r="D128" i="20"/>
  <c r="H128" i="20" s="1"/>
  <c r="B129" i="20"/>
  <c r="E129" i="20" l="1"/>
  <c r="G129" i="20" s="1"/>
  <c r="D129" i="20"/>
  <c r="H129" i="20" s="1"/>
  <c r="I128" i="20"/>
  <c r="B130" i="20"/>
  <c r="I129" i="20" l="1"/>
  <c r="E130" i="20"/>
  <c r="G130" i="20" s="1"/>
  <c r="D130" i="20"/>
  <c r="H130" i="20" s="1"/>
  <c r="B131" i="20"/>
  <c r="I130" i="20" l="1"/>
  <c r="E131" i="20"/>
  <c r="G131" i="20" s="1"/>
  <c r="D131" i="20"/>
  <c r="H131" i="20" s="1"/>
  <c r="B132" i="20"/>
  <c r="I131" i="20" l="1"/>
  <c r="E132" i="20"/>
  <c r="G132" i="20" s="1"/>
  <c r="D132" i="20"/>
  <c r="H132" i="20" s="1"/>
  <c r="B133" i="20"/>
  <c r="D133" i="20" l="1"/>
  <c r="H133" i="20" s="1"/>
  <c r="E133" i="20"/>
  <c r="G133" i="20" s="1"/>
  <c r="I132" i="20"/>
  <c r="B134" i="20"/>
  <c r="D134" i="20" l="1"/>
  <c r="H134" i="20" s="1"/>
  <c r="E134" i="20"/>
  <c r="G134" i="20" s="1"/>
  <c r="I133" i="20"/>
  <c r="B135" i="20"/>
  <c r="I134" i="20" l="1"/>
  <c r="E135" i="20"/>
  <c r="G135" i="20" s="1"/>
  <c r="D135" i="20"/>
  <c r="H135" i="20" s="1"/>
  <c r="B136" i="20"/>
  <c r="I135" i="20" l="1"/>
  <c r="D136" i="20"/>
  <c r="H136" i="20" s="1"/>
  <c r="E136" i="20"/>
  <c r="G136" i="20" s="1"/>
  <c r="B137" i="20"/>
  <c r="E137" i="20" l="1"/>
  <c r="G137" i="20" s="1"/>
  <c r="D137" i="20"/>
  <c r="H137" i="20" s="1"/>
  <c r="I136" i="20"/>
  <c r="B138" i="20"/>
  <c r="I137" i="20" l="1"/>
  <c r="E138" i="20"/>
  <c r="G138" i="20" s="1"/>
  <c r="D138" i="20"/>
  <c r="H138" i="20" s="1"/>
  <c r="B139" i="20"/>
  <c r="I138" i="20" l="1"/>
  <c r="E139" i="20"/>
  <c r="G139" i="20" s="1"/>
  <c r="D139" i="20"/>
  <c r="H139" i="20" s="1"/>
  <c r="B140" i="20"/>
  <c r="I139" i="20" l="1"/>
  <c r="E140" i="20"/>
  <c r="G140" i="20" s="1"/>
  <c r="D140" i="20"/>
  <c r="H140" i="20" s="1"/>
  <c r="B141" i="20"/>
  <c r="E141" i="20" l="1"/>
  <c r="G141" i="20" s="1"/>
  <c r="D141" i="20"/>
  <c r="H141" i="20" s="1"/>
  <c r="I140" i="20"/>
  <c r="B142" i="20"/>
  <c r="E142" i="20" l="1"/>
  <c r="G142" i="20" s="1"/>
  <c r="D142" i="20"/>
  <c r="H142" i="20" s="1"/>
  <c r="B143" i="20"/>
  <c r="I141" i="20"/>
  <c r="I142" i="20" l="1"/>
  <c r="E143" i="20"/>
  <c r="G143" i="20" s="1"/>
  <c r="D143" i="20"/>
  <c r="H143" i="20" s="1"/>
  <c r="B144" i="20"/>
  <c r="E144" i="20" l="1"/>
  <c r="G144" i="20" s="1"/>
  <c r="D144" i="20"/>
  <c r="H144" i="20" s="1"/>
  <c r="B145" i="20"/>
  <c r="I143" i="20"/>
  <c r="D145" i="20" l="1"/>
  <c r="H145" i="20" s="1"/>
  <c r="E145" i="20"/>
  <c r="G145" i="20" s="1"/>
  <c r="B146" i="20"/>
  <c r="I144" i="20"/>
  <c r="D146" i="20" l="1"/>
  <c r="H146" i="20" s="1"/>
  <c r="E146" i="20"/>
  <c r="G146" i="20" s="1"/>
  <c r="I145" i="20"/>
  <c r="B147" i="20"/>
  <c r="E147" i="20" l="1"/>
  <c r="G147" i="20" s="1"/>
  <c r="D147" i="20"/>
  <c r="H147" i="20" s="1"/>
  <c r="I146" i="20"/>
  <c r="B148" i="20"/>
  <c r="E148" i="20" l="1"/>
  <c r="G148" i="20" s="1"/>
  <c r="D148" i="20"/>
  <c r="H148" i="20" s="1"/>
  <c r="I147" i="20"/>
  <c r="B149" i="20"/>
  <c r="E149" i="20" l="1"/>
  <c r="G149" i="20" s="1"/>
  <c r="D149" i="20"/>
  <c r="H149" i="20" s="1"/>
  <c r="B150" i="20"/>
  <c r="I148" i="20"/>
  <c r="E150" i="20" l="1"/>
  <c r="G150" i="20" s="1"/>
  <c r="D150" i="20"/>
  <c r="H150" i="20" s="1"/>
  <c r="I149" i="20"/>
  <c r="B151" i="20"/>
  <c r="E151" i="20" l="1"/>
  <c r="G151" i="20" s="1"/>
  <c r="D151" i="20"/>
  <c r="H151" i="20" s="1"/>
  <c r="I150" i="20"/>
  <c r="B152" i="20"/>
  <c r="E152" i="20" l="1"/>
  <c r="G152" i="20" s="1"/>
  <c r="D152" i="20"/>
  <c r="H152" i="20" s="1"/>
  <c r="I151" i="20"/>
  <c r="B153" i="20"/>
  <c r="D153" i="20" l="1"/>
  <c r="H153" i="20" s="1"/>
  <c r="E153" i="20"/>
  <c r="G153" i="20" s="1"/>
  <c r="B154" i="20"/>
  <c r="I152" i="20"/>
  <c r="D154" i="20" l="1"/>
  <c r="H154" i="20" s="1"/>
  <c r="E154" i="20"/>
  <c r="G154" i="20" s="1"/>
  <c r="I153" i="20"/>
  <c r="B155" i="20"/>
  <c r="E155" i="20" l="1"/>
  <c r="G155" i="20" s="1"/>
  <c r="D155" i="20"/>
  <c r="H155" i="20" s="1"/>
  <c r="I154" i="20"/>
  <c r="B156" i="20"/>
  <c r="E156" i="20" l="1"/>
  <c r="G156" i="20" s="1"/>
  <c r="D156" i="20"/>
  <c r="H156" i="20" s="1"/>
  <c r="I155" i="20"/>
  <c r="B157" i="20"/>
  <c r="E157" i="20" l="1"/>
  <c r="G157" i="20" s="1"/>
  <c r="D157" i="20"/>
  <c r="H157" i="20" s="1"/>
  <c r="B158" i="20"/>
  <c r="I156" i="20"/>
  <c r="E158" i="20" l="1"/>
  <c r="G158" i="20" s="1"/>
  <c r="D158" i="20"/>
  <c r="H158" i="20" s="1"/>
  <c r="I157" i="20"/>
  <c r="B159" i="20"/>
  <c r="E159" i="20" l="1"/>
  <c r="G159" i="20" s="1"/>
  <c r="D159" i="20"/>
  <c r="H159" i="20" s="1"/>
  <c r="I158" i="20"/>
  <c r="B160" i="20"/>
  <c r="E160" i="20" l="1"/>
  <c r="G160" i="20" s="1"/>
  <c r="D160" i="20"/>
  <c r="H160" i="20" s="1"/>
  <c r="I159" i="20"/>
  <c r="B161" i="20"/>
  <c r="I160" i="20" l="1"/>
  <c r="E161" i="20"/>
  <c r="G161" i="20" s="1"/>
  <c r="D161" i="20"/>
  <c r="H161" i="20" s="1"/>
  <c r="B162" i="20"/>
  <c r="E162" i="20" l="1"/>
  <c r="G162" i="20" s="1"/>
  <c r="D162" i="20"/>
  <c r="H162" i="20" s="1"/>
  <c r="I161" i="20"/>
  <c r="B163" i="20"/>
  <c r="E163" i="20" l="1"/>
  <c r="G163" i="20" s="1"/>
  <c r="D163" i="20"/>
  <c r="H163" i="20" s="1"/>
  <c r="I162" i="20"/>
  <c r="B164" i="20"/>
  <c r="E164" i="20" l="1"/>
  <c r="G164" i="20" s="1"/>
  <c r="D164" i="20"/>
  <c r="H164" i="20" s="1"/>
  <c r="I163" i="20"/>
  <c r="B165" i="20"/>
  <c r="E165" i="20" l="1"/>
  <c r="G165" i="20" s="1"/>
  <c r="D165" i="20"/>
  <c r="H165" i="20" s="1"/>
  <c r="I164" i="20"/>
  <c r="B166" i="20"/>
  <c r="E166" i="20" l="1"/>
  <c r="G166" i="20" s="1"/>
  <c r="D166" i="20"/>
  <c r="H166" i="20" s="1"/>
  <c r="I165" i="20"/>
  <c r="B167" i="20"/>
  <c r="I166" i="20" l="1"/>
  <c r="E167" i="20"/>
  <c r="G167" i="20" s="1"/>
  <c r="D167" i="20"/>
  <c r="H167" i="20" s="1"/>
  <c r="B168" i="20"/>
  <c r="I167" i="20" l="1"/>
  <c r="D168" i="20"/>
  <c r="H168" i="20" s="1"/>
  <c r="E168" i="20"/>
  <c r="G168" i="20" s="1"/>
  <c r="B169" i="20"/>
  <c r="E169" i="20" l="1"/>
  <c r="G169" i="20" s="1"/>
  <c r="D169" i="20"/>
  <c r="H169" i="20" s="1"/>
  <c r="B170" i="20"/>
  <c r="I168" i="20"/>
  <c r="E170" i="20" l="1"/>
  <c r="G170" i="20" s="1"/>
  <c r="D170" i="20"/>
  <c r="H170" i="20" s="1"/>
  <c r="I169" i="20"/>
  <c r="B171" i="20"/>
  <c r="I170" i="20" l="1"/>
  <c r="E171" i="20"/>
  <c r="G171" i="20" s="1"/>
  <c r="D171" i="20"/>
  <c r="H171" i="20" s="1"/>
  <c r="B172" i="20"/>
  <c r="E172" i="20" l="1"/>
  <c r="G172" i="20" s="1"/>
  <c r="D172" i="20"/>
  <c r="H172" i="20" s="1"/>
  <c r="I171" i="20"/>
  <c r="B173" i="20"/>
  <c r="I172" i="20" l="1"/>
  <c r="E173" i="20"/>
  <c r="G173" i="20" s="1"/>
  <c r="D173" i="20"/>
  <c r="H173" i="20" s="1"/>
  <c r="B174" i="20"/>
  <c r="D174" i="20" l="1"/>
  <c r="H174" i="20" s="1"/>
  <c r="E174" i="20"/>
  <c r="G174" i="20" s="1"/>
  <c r="I173" i="20"/>
  <c r="B175" i="20"/>
  <c r="D175" i="20" l="1"/>
  <c r="H175" i="20" s="1"/>
  <c r="E175" i="20"/>
  <c r="G175" i="20" s="1"/>
  <c r="I174" i="20"/>
  <c r="B176" i="20"/>
  <c r="E176" i="20" l="1"/>
  <c r="G176" i="20" s="1"/>
  <c r="D176" i="20"/>
  <c r="H176" i="20" s="1"/>
  <c r="I175" i="20"/>
  <c r="B177" i="20"/>
  <c r="D177" i="20" l="1"/>
  <c r="H177" i="20" s="1"/>
  <c r="E177" i="20"/>
  <c r="G177" i="20" s="1"/>
  <c r="B178" i="20"/>
  <c r="I176" i="20"/>
  <c r="D178" i="20" l="1"/>
  <c r="H178" i="20" s="1"/>
  <c r="E178" i="20"/>
  <c r="G178" i="20" s="1"/>
  <c r="I177" i="20"/>
  <c r="B179" i="20"/>
  <c r="D179" i="20" l="1"/>
  <c r="H179" i="20" s="1"/>
  <c r="E179" i="20"/>
  <c r="G179" i="20" s="1"/>
  <c r="I178" i="20"/>
  <c r="B180" i="20"/>
  <c r="E180" i="20" l="1"/>
  <c r="G180" i="20" s="1"/>
  <c r="D180" i="20"/>
  <c r="H180" i="20" s="1"/>
  <c r="I179" i="20"/>
  <c r="B181" i="20"/>
  <c r="E181" i="20" l="1"/>
  <c r="G181" i="20" s="1"/>
  <c r="D181" i="20"/>
  <c r="H181" i="20" s="1"/>
  <c r="B182" i="20"/>
  <c r="I180" i="20"/>
  <c r="D182" i="20" l="1"/>
  <c r="H182" i="20" s="1"/>
  <c r="E182" i="20"/>
  <c r="G182" i="20" s="1"/>
  <c r="I181" i="20"/>
  <c r="B183" i="20"/>
  <c r="E183" i="20" l="1"/>
  <c r="G183" i="20" s="1"/>
  <c r="D183" i="20"/>
  <c r="H183" i="20" s="1"/>
  <c r="I182" i="20"/>
  <c r="B184" i="20"/>
  <c r="D184" i="20" l="1"/>
  <c r="H184" i="20" s="1"/>
  <c r="E184" i="20"/>
  <c r="G184" i="20" s="1"/>
  <c r="I183" i="20"/>
  <c r="B185" i="20"/>
  <c r="E185" i="20" l="1"/>
  <c r="G185" i="20" s="1"/>
  <c r="D185" i="20"/>
  <c r="H185" i="20" s="1"/>
  <c r="B186" i="20"/>
  <c r="I184" i="20"/>
  <c r="E186" i="20" l="1"/>
  <c r="G186" i="20" s="1"/>
  <c r="D186" i="20"/>
  <c r="H186" i="20" s="1"/>
  <c r="I185" i="20"/>
  <c r="B187" i="20"/>
  <c r="E187" i="20" l="1"/>
  <c r="G187" i="20" s="1"/>
  <c r="D187" i="20"/>
  <c r="H187" i="20" s="1"/>
  <c r="I186" i="20"/>
  <c r="B188" i="20"/>
  <c r="E188" i="20" l="1"/>
  <c r="G188" i="20" s="1"/>
  <c r="D188" i="20"/>
  <c r="H188" i="20" s="1"/>
  <c r="I187" i="20"/>
  <c r="B189" i="20"/>
  <c r="E189" i="20" l="1"/>
  <c r="G189" i="20" s="1"/>
  <c r="D189" i="20"/>
  <c r="H189" i="20" s="1"/>
  <c r="B190" i="20"/>
  <c r="I188" i="20"/>
  <c r="E190" i="20" l="1"/>
  <c r="G190" i="20" s="1"/>
  <c r="D190" i="20"/>
  <c r="H190" i="20" s="1"/>
  <c r="I189" i="20"/>
  <c r="B191" i="20"/>
  <c r="E191" i="20" l="1"/>
  <c r="G191" i="20" s="1"/>
  <c r="D191" i="20"/>
  <c r="H191" i="20" s="1"/>
  <c r="I190" i="20"/>
  <c r="B192" i="20"/>
  <c r="E192" i="20" l="1"/>
  <c r="G192" i="20" s="1"/>
  <c r="D192" i="20"/>
  <c r="H192" i="20" s="1"/>
  <c r="I191" i="20"/>
  <c r="B193" i="20"/>
  <c r="E193" i="20" l="1"/>
  <c r="G193" i="20" s="1"/>
  <c r="D193" i="20"/>
  <c r="H193" i="20" s="1"/>
  <c r="B194" i="20"/>
  <c r="I192" i="20"/>
  <c r="E194" i="20" l="1"/>
  <c r="G194" i="20" s="1"/>
  <c r="D194" i="20"/>
  <c r="H194" i="20" s="1"/>
  <c r="I193" i="20"/>
  <c r="B195" i="20"/>
  <c r="E195" i="20" l="1"/>
  <c r="G195" i="20" s="1"/>
  <c r="D195" i="20"/>
  <c r="H195" i="20" s="1"/>
  <c r="I194" i="20"/>
  <c r="B196" i="20"/>
  <c r="E196" i="20" l="1"/>
  <c r="G196" i="20" s="1"/>
  <c r="D196" i="20"/>
  <c r="H196" i="20" s="1"/>
  <c r="I195" i="20"/>
  <c r="B197" i="20"/>
  <c r="D197" i="20" l="1"/>
  <c r="H197" i="20" s="1"/>
  <c r="E197" i="20"/>
  <c r="G197" i="20" s="1"/>
  <c r="B198" i="20"/>
  <c r="I196" i="20"/>
  <c r="D198" i="20" l="1"/>
  <c r="H198" i="20" s="1"/>
  <c r="E198" i="20"/>
  <c r="G198" i="20" s="1"/>
  <c r="I197" i="20"/>
  <c r="B199" i="20"/>
  <c r="E199" i="20" l="1"/>
  <c r="G199" i="20" s="1"/>
  <c r="D199" i="20"/>
  <c r="H199" i="20" s="1"/>
  <c r="I198" i="20"/>
  <c r="B200" i="20"/>
  <c r="E200" i="20" l="1"/>
  <c r="G200" i="20" s="1"/>
  <c r="D200" i="20"/>
  <c r="H200" i="20" s="1"/>
  <c r="I199" i="20"/>
  <c r="B201" i="20"/>
  <c r="I200" i="20" l="1"/>
  <c r="E201" i="20"/>
  <c r="G201" i="20" s="1"/>
  <c r="D201" i="20"/>
  <c r="H201" i="20" s="1"/>
  <c r="B202" i="20"/>
  <c r="E202" i="20" l="1"/>
  <c r="G202" i="20" s="1"/>
  <c r="D202" i="20"/>
  <c r="H202" i="20" s="1"/>
  <c r="B203" i="20"/>
  <c r="I201" i="20"/>
  <c r="I202" i="20" l="1"/>
  <c r="E203" i="20"/>
  <c r="G203" i="20" s="1"/>
  <c r="D203" i="20"/>
  <c r="H203" i="20" s="1"/>
  <c r="B204" i="20"/>
  <c r="E204" i="20" l="1"/>
  <c r="G204" i="20" s="1"/>
  <c r="D204" i="20"/>
  <c r="H204" i="20" s="1"/>
  <c r="I203" i="20"/>
  <c r="B205" i="20"/>
  <c r="I204" i="20" l="1"/>
  <c r="D205" i="20"/>
  <c r="H205" i="20" s="1"/>
  <c r="E205" i="20"/>
  <c r="G205" i="20" s="1"/>
  <c r="B206" i="20"/>
  <c r="D206" i="20" l="1"/>
  <c r="H206" i="20" s="1"/>
  <c r="E206" i="20"/>
  <c r="G206" i="20" s="1"/>
  <c r="I205" i="20"/>
  <c r="B207" i="20"/>
  <c r="E207" i="20" l="1"/>
  <c r="G207" i="20" s="1"/>
  <c r="D207" i="20"/>
  <c r="H207" i="20" s="1"/>
  <c r="I206" i="20"/>
  <c r="B208" i="20"/>
  <c r="I207" i="20" l="1"/>
  <c r="E208" i="20"/>
  <c r="G208" i="20" s="1"/>
  <c r="D208" i="20"/>
  <c r="H208" i="20" s="1"/>
  <c r="B209" i="20"/>
  <c r="E209" i="20" l="1"/>
  <c r="G209" i="20" s="1"/>
  <c r="D209" i="20"/>
  <c r="H209" i="20" s="1"/>
  <c r="I208" i="20"/>
  <c r="B210" i="20"/>
  <c r="I209" i="20" l="1"/>
  <c r="E210" i="20"/>
  <c r="G210" i="20" s="1"/>
  <c r="D210" i="20"/>
  <c r="H210" i="20" s="1"/>
  <c r="B211" i="20"/>
  <c r="I210" i="20" l="1"/>
  <c r="E211" i="20"/>
  <c r="G211" i="20" s="1"/>
  <c r="D211" i="20"/>
  <c r="H211" i="20" s="1"/>
  <c r="B212" i="20"/>
  <c r="I211" i="20" l="1"/>
  <c r="E212" i="20"/>
  <c r="G212" i="20" s="1"/>
  <c r="D212" i="20"/>
  <c r="H212" i="20" s="1"/>
  <c r="B213" i="20"/>
  <c r="E213" i="20" l="1"/>
  <c r="G213" i="20" s="1"/>
  <c r="D213" i="20"/>
  <c r="H213" i="20" s="1"/>
  <c r="B214" i="20"/>
  <c r="I212" i="20"/>
  <c r="E214" i="20" l="1"/>
  <c r="G214" i="20" s="1"/>
  <c r="D214" i="20"/>
  <c r="H214" i="20" s="1"/>
  <c r="I213" i="20"/>
  <c r="B215" i="20"/>
  <c r="D215" i="20" l="1"/>
  <c r="H215" i="20" s="1"/>
  <c r="E215" i="20"/>
  <c r="G215" i="20" s="1"/>
  <c r="I214" i="20"/>
  <c r="B216" i="20"/>
  <c r="E216" i="20" l="1"/>
  <c r="G216" i="20" s="1"/>
  <c r="D216" i="20"/>
  <c r="H216" i="20" s="1"/>
  <c r="I215" i="20"/>
  <c r="B217" i="20"/>
  <c r="D217" i="20" l="1"/>
  <c r="H217" i="20" s="1"/>
  <c r="E217" i="20"/>
  <c r="G217" i="20" s="1"/>
  <c r="B218" i="20"/>
  <c r="I216" i="20"/>
  <c r="E218" i="20" l="1"/>
  <c r="G218" i="20" s="1"/>
  <c r="D218" i="20"/>
  <c r="H218" i="20" s="1"/>
  <c r="I217" i="20"/>
  <c r="B219" i="20"/>
  <c r="E219" i="20" l="1"/>
  <c r="G219" i="20" s="1"/>
  <c r="D219" i="20"/>
  <c r="H219" i="20" s="1"/>
  <c r="I218" i="20"/>
  <c r="B220" i="20"/>
  <c r="E220" i="20" l="1"/>
  <c r="G220" i="20" s="1"/>
  <c r="D220" i="20"/>
  <c r="H220" i="20" s="1"/>
  <c r="I219" i="20"/>
  <c r="B221" i="20"/>
  <c r="I220" i="20" l="1"/>
  <c r="E221" i="20"/>
  <c r="G221" i="20" s="1"/>
  <c r="D221" i="20"/>
  <c r="H221" i="20" s="1"/>
  <c r="B222" i="20"/>
  <c r="E222" i="20" l="1"/>
  <c r="G222" i="20" s="1"/>
  <c r="D222" i="20"/>
  <c r="H222" i="20" s="1"/>
  <c r="I221" i="20"/>
  <c r="B223" i="20"/>
  <c r="E223" i="20" l="1"/>
  <c r="G223" i="20" s="1"/>
  <c r="D223" i="20"/>
  <c r="H223" i="20" s="1"/>
  <c r="I222" i="20"/>
  <c r="B224" i="20"/>
  <c r="D224" i="20" l="1"/>
  <c r="H224" i="20" s="1"/>
  <c r="E224" i="20"/>
  <c r="G224" i="20" s="1"/>
  <c r="I223" i="20"/>
  <c r="B225" i="20"/>
  <c r="D225" i="20" l="1"/>
  <c r="H225" i="20" s="1"/>
  <c r="E225" i="20"/>
  <c r="G225" i="20" s="1"/>
  <c r="B226" i="20"/>
  <c r="I224" i="20"/>
  <c r="D226" i="20" l="1"/>
  <c r="H226" i="20" s="1"/>
  <c r="E226" i="20"/>
  <c r="G226" i="20" s="1"/>
  <c r="I225" i="20"/>
  <c r="B227" i="20"/>
  <c r="E227" i="20" l="1"/>
  <c r="G227" i="20" s="1"/>
  <c r="D227" i="20"/>
  <c r="H227" i="20" s="1"/>
  <c r="I226" i="20"/>
  <c r="B228" i="20"/>
  <c r="E228" i="20" l="1"/>
  <c r="G228" i="20" s="1"/>
  <c r="D228" i="20"/>
  <c r="H228" i="20" s="1"/>
  <c r="B229" i="20"/>
  <c r="I227" i="20"/>
  <c r="D229" i="20" l="1"/>
  <c r="H229" i="20" s="1"/>
  <c r="E229" i="20"/>
  <c r="G229" i="20" s="1"/>
  <c r="B230" i="20"/>
  <c r="I228" i="20"/>
  <c r="E230" i="20" l="1"/>
  <c r="G230" i="20" s="1"/>
  <c r="D230" i="20"/>
  <c r="H230" i="20" s="1"/>
  <c r="I229" i="20"/>
  <c r="B231" i="20"/>
  <c r="D231" i="20" l="1"/>
  <c r="H231" i="20" s="1"/>
  <c r="E231" i="20"/>
  <c r="G231" i="20" s="1"/>
  <c r="I230" i="20"/>
  <c r="B232" i="20"/>
  <c r="D232" i="20" l="1"/>
  <c r="H232" i="20" s="1"/>
  <c r="E232" i="20"/>
  <c r="G232" i="20" s="1"/>
  <c r="I231" i="20"/>
  <c r="B233" i="20"/>
  <c r="I232" i="20" l="1"/>
  <c r="E233" i="20"/>
  <c r="G233" i="20" s="1"/>
  <c r="D233" i="20"/>
  <c r="H233" i="20" s="1"/>
  <c r="B234" i="20"/>
  <c r="E234" i="20" l="1"/>
  <c r="G234" i="20" s="1"/>
  <c r="D234" i="20"/>
  <c r="H234" i="20" s="1"/>
  <c r="I233" i="20"/>
  <c r="B235" i="20"/>
  <c r="E235" i="20" l="1"/>
  <c r="G235" i="20" s="1"/>
  <c r="D235" i="20"/>
  <c r="H235" i="20" s="1"/>
  <c r="I234" i="20"/>
  <c r="B236" i="20"/>
  <c r="E236" i="20" l="1"/>
  <c r="G236" i="20" s="1"/>
  <c r="D236" i="20"/>
  <c r="H236" i="20" s="1"/>
  <c r="I235" i="20"/>
  <c r="B237" i="20"/>
  <c r="E237" i="20" l="1"/>
  <c r="G237" i="20" s="1"/>
  <c r="D237" i="20"/>
  <c r="H237" i="20" s="1"/>
  <c r="I236" i="20"/>
  <c r="B238" i="20"/>
  <c r="I237" i="20" l="1"/>
  <c r="E238" i="20"/>
  <c r="G238" i="20" s="1"/>
  <c r="D238" i="20"/>
  <c r="H238" i="20" s="1"/>
  <c r="B239" i="20"/>
  <c r="I238" i="20" l="1"/>
  <c r="E239" i="20"/>
  <c r="G239" i="20" s="1"/>
  <c r="D239" i="20"/>
  <c r="H239" i="20" s="1"/>
  <c r="B240" i="20"/>
  <c r="I239" i="20" l="1"/>
  <c r="E240" i="20"/>
  <c r="G240" i="20" s="1"/>
  <c r="D240" i="20"/>
  <c r="H240" i="20" s="1"/>
  <c r="B241" i="20"/>
  <c r="E241" i="20" l="1"/>
  <c r="G241" i="20" s="1"/>
  <c r="D241" i="20"/>
  <c r="H241" i="20" s="1"/>
  <c r="B242" i="20"/>
  <c r="I240" i="20"/>
  <c r="E242" i="20" l="1"/>
  <c r="G242" i="20" s="1"/>
  <c r="D242" i="20"/>
  <c r="H242" i="20" s="1"/>
  <c r="I241" i="20"/>
  <c r="B243" i="20"/>
  <c r="E243" i="20" l="1"/>
  <c r="G243" i="20" s="1"/>
  <c r="D243" i="20"/>
  <c r="H243" i="20" s="1"/>
  <c r="I242" i="20"/>
  <c r="B244" i="20"/>
  <c r="E244" i="20" l="1"/>
  <c r="G244" i="20" s="1"/>
  <c r="D244" i="20"/>
  <c r="H244" i="20" s="1"/>
  <c r="I243" i="20"/>
  <c r="B245" i="20"/>
  <c r="E245" i="20" l="1"/>
  <c r="G245" i="20" s="1"/>
  <c r="D245" i="20"/>
  <c r="H245" i="20" s="1"/>
  <c r="B246" i="20"/>
  <c r="I244" i="20"/>
  <c r="E246" i="20" l="1"/>
  <c r="G246" i="20" s="1"/>
  <c r="D246" i="20"/>
  <c r="H246" i="20" s="1"/>
  <c r="I245" i="20"/>
  <c r="B247" i="20"/>
  <c r="E247" i="20" l="1"/>
  <c r="G247" i="20" s="1"/>
  <c r="D247" i="20"/>
  <c r="H247" i="20" s="1"/>
  <c r="I246" i="20"/>
  <c r="B248" i="20"/>
  <c r="D248" i="20" l="1"/>
  <c r="H248" i="20" s="1"/>
  <c r="E248" i="20"/>
  <c r="G248" i="20" s="1"/>
  <c r="I247" i="20"/>
  <c r="B249" i="20"/>
  <c r="E249" i="20" l="1"/>
  <c r="G249" i="20" s="1"/>
  <c r="D249" i="20"/>
  <c r="H249" i="20" s="1"/>
  <c r="B250" i="20"/>
  <c r="I248" i="20"/>
  <c r="E250" i="20" l="1"/>
  <c r="G250" i="20" s="1"/>
  <c r="D250" i="20"/>
  <c r="H250" i="20" s="1"/>
  <c r="I249" i="20"/>
  <c r="B251" i="20"/>
  <c r="E251" i="20" l="1"/>
  <c r="G251" i="20" s="1"/>
  <c r="D251" i="20"/>
  <c r="H251" i="20" s="1"/>
  <c r="I250" i="20"/>
  <c r="B252" i="20"/>
  <c r="E252" i="20" l="1"/>
  <c r="G252" i="20" s="1"/>
  <c r="D252" i="20"/>
  <c r="H252" i="20" s="1"/>
  <c r="I251" i="20"/>
  <c r="B253" i="20"/>
  <c r="E253" i="20" l="1"/>
  <c r="G253" i="20" s="1"/>
  <c r="D253" i="20"/>
  <c r="H253" i="20" s="1"/>
  <c r="B254" i="20"/>
  <c r="I252" i="20"/>
  <c r="E254" i="20" l="1"/>
  <c r="G254" i="20" s="1"/>
  <c r="D254" i="20"/>
  <c r="H254" i="20" s="1"/>
  <c r="I253" i="20"/>
  <c r="B255" i="20"/>
  <c r="I254" i="20" l="1"/>
  <c r="E255" i="20"/>
  <c r="G255" i="20" s="1"/>
  <c r="D255" i="20"/>
  <c r="H255" i="20" s="1"/>
  <c r="B256" i="20"/>
  <c r="I255" i="20" l="1"/>
  <c r="D256" i="20"/>
  <c r="H256" i="20" s="1"/>
  <c r="E256" i="20"/>
  <c r="G256" i="20" s="1"/>
  <c r="B257" i="20"/>
  <c r="E257" i="20" l="1"/>
  <c r="G257" i="20" s="1"/>
  <c r="D257" i="20"/>
  <c r="H257" i="20" s="1"/>
  <c r="B258" i="20"/>
  <c r="I256" i="20"/>
  <c r="E258" i="20" l="1"/>
  <c r="G258" i="20" s="1"/>
  <c r="D258" i="20"/>
  <c r="H258" i="20" s="1"/>
  <c r="I257" i="20"/>
  <c r="B259" i="20"/>
  <c r="E259" i="20" l="1"/>
  <c r="G259" i="20" s="1"/>
  <c r="D259" i="20"/>
  <c r="H259" i="20" s="1"/>
  <c r="I258" i="20"/>
  <c r="B260" i="20"/>
  <c r="E260" i="20" l="1"/>
  <c r="G260" i="20" s="1"/>
  <c r="D260" i="20"/>
  <c r="H260" i="20" s="1"/>
  <c r="I259" i="20"/>
  <c r="B261" i="20"/>
  <c r="E261" i="20" l="1"/>
  <c r="G261" i="20" s="1"/>
  <c r="D261" i="20"/>
  <c r="H261" i="20" s="1"/>
  <c r="B262" i="20"/>
  <c r="I260" i="20"/>
  <c r="E262" i="20" l="1"/>
  <c r="G262" i="20" s="1"/>
  <c r="D262" i="20"/>
  <c r="H262" i="20" s="1"/>
  <c r="I261" i="20"/>
  <c r="B263" i="20"/>
  <c r="E263" i="20" l="1"/>
  <c r="G263" i="20" s="1"/>
  <c r="D263" i="20"/>
  <c r="H263" i="20" s="1"/>
  <c r="I262" i="20"/>
  <c r="B264" i="20"/>
  <c r="D264" i="20" l="1"/>
  <c r="H264" i="20" s="1"/>
  <c r="E264" i="20"/>
  <c r="G264" i="20" s="1"/>
  <c r="I263" i="20"/>
  <c r="B265" i="20"/>
  <c r="E265" i="20" l="1"/>
  <c r="G265" i="20" s="1"/>
  <c r="D265" i="20"/>
  <c r="H265" i="20" s="1"/>
  <c r="I264" i="20"/>
  <c r="B266" i="20"/>
  <c r="I265" i="20" l="1"/>
  <c r="D266" i="20"/>
  <c r="H266" i="20" s="1"/>
  <c r="E266" i="20"/>
  <c r="G266" i="20" s="1"/>
  <c r="B267" i="20"/>
  <c r="I266" i="20" l="1"/>
  <c r="D267" i="20"/>
  <c r="H267" i="20" s="1"/>
  <c r="E267" i="20"/>
  <c r="G267" i="20" s="1"/>
  <c r="B268" i="20"/>
  <c r="D268" i="20" l="1"/>
  <c r="H268" i="20" s="1"/>
  <c r="E268" i="20"/>
  <c r="G268" i="20" s="1"/>
  <c r="I267" i="20"/>
  <c r="B269" i="20"/>
  <c r="I268" i="20" l="1"/>
  <c r="D269" i="20"/>
  <c r="H269" i="20" s="1"/>
  <c r="E269" i="20"/>
  <c r="G269" i="20" s="1"/>
  <c r="B270" i="20"/>
  <c r="E270" i="20" l="1"/>
  <c r="G270" i="20" s="1"/>
  <c r="D270" i="20"/>
  <c r="H270" i="20" s="1"/>
  <c r="I269" i="20"/>
  <c r="B271" i="20"/>
  <c r="I270" i="20" l="1"/>
  <c r="E271" i="20"/>
  <c r="G271" i="20" s="1"/>
  <c r="D271" i="20"/>
  <c r="H271" i="20" s="1"/>
  <c r="B272" i="20"/>
  <c r="D272" i="20" l="1"/>
  <c r="H272" i="20" s="1"/>
  <c r="E272" i="20"/>
  <c r="G272" i="20" s="1"/>
  <c r="I271" i="20"/>
  <c r="B273" i="20"/>
  <c r="E273" i="20" l="1"/>
  <c r="G273" i="20" s="1"/>
  <c r="D273" i="20"/>
  <c r="H273" i="20" s="1"/>
  <c r="B274" i="20"/>
  <c r="I272" i="20"/>
  <c r="E274" i="20" l="1"/>
  <c r="G274" i="20" s="1"/>
  <c r="D274" i="20"/>
  <c r="H274" i="20" s="1"/>
  <c r="I273" i="20"/>
  <c r="B275" i="20"/>
  <c r="E275" i="20" l="1"/>
  <c r="G275" i="20" s="1"/>
  <c r="D275" i="20"/>
  <c r="H275" i="20" s="1"/>
  <c r="I274" i="20"/>
  <c r="B276" i="20"/>
  <c r="I275" i="20" l="1"/>
  <c r="D276" i="20"/>
  <c r="H276" i="20" s="1"/>
  <c r="E276" i="20"/>
  <c r="G276" i="20" s="1"/>
  <c r="B277" i="20"/>
  <c r="I276" i="20" l="1"/>
  <c r="D277" i="20"/>
  <c r="H277" i="20" s="1"/>
  <c r="E277" i="20"/>
  <c r="G277" i="20" s="1"/>
  <c r="B278" i="20"/>
  <c r="I277" i="20" l="1"/>
  <c r="E278" i="20"/>
  <c r="G278" i="20" s="1"/>
  <c r="D278" i="20"/>
  <c r="H278" i="20" s="1"/>
  <c r="B279" i="20"/>
  <c r="E279" i="20" l="1"/>
  <c r="G279" i="20" s="1"/>
  <c r="D279" i="20"/>
  <c r="H279" i="20" s="1"/>
  <c r="B280" i="20"/>
  <c r="I278" i="20"/>
  <c r="E280" i="20" l="1"/>
  <c r="G280" i="20" s="1"/>
  <c r="D280" i="20"/>
  <c r="H280" i="20" s="1"/>
  <c r="B281" i="20"/>
  <c r="I279" i="20"/>
  <c r="I280" i="20" l="1"/>
  <c r="D281" i="20"/>
  <c r="H281" i="20" s="1"/>
  <c r="E281" i="20"/>
  <c r="G281" i="20" s="1"/>
  <c r="B282" i="20"/>
  <c r="I281" i="20" l="1"/>
  <c r="E282" i="20"/>
  <c r="G282" i="20" s="1"/>
  <c r="D282" i="20"/>
  <c r="H282" i="20" s="1"/>
  <c r="B283" i="20"/>
  <c r="E283" i="20" l="1"/>
  <c r="G283" i="20" s="1"/>
  <c r="D283" i="20"/>
  <c r="H283" i="20" s="1"/>
  <c r="B284" i="20"/>
  <c r="I282" i="20"/>
  <c r="E284" i="20" l="1"/>
  <c r="G284" i="20" s="1"/>
  <c r="D284" i="20"/>
  <c r="H284" i="20" s="1"/>
  <c r="I283" i="20"/>
  <c r="B285" i="20"/>
  <c r="E285" i="20" l="1"/>
  <c r="G285" i="20" s="1"/>
  <c r="D285" i="20"/>
  <c r="H285" i="20" s="1"/>
  <c r="I284" i="20"/>
  <c r="B286" i="20"/>
  <c r="E286" i="20" l="1"/>
  <c r="G286" i="20" s="1"/>
  <c r="D286" i="20"/>
  <c r="H286" i="20" s="1"/>
  <c r="I285" i="20"/>
  <c r="B287" i="20"/>
  <c r="E287" i="20" l="1"/>
  <c r="G287" i="20" s="1"/>
  <c r="D287" i="20"/>
  <c r="H287" i="20" s="1"/>
  <c r="B288" i="20"/>
  <c r="I286" i="20"/>
  <c r="E288" i="20" l="1"/>
  <c r="G288" i="20" s="1"/>
  <c r="D288" i="20"/>
  <c r="H288" i="20" s="1"/>
  <c r="I287" i="20"/>
  <c r="B289" i="20"/>
  <c r="I288" i="20" l="1"/>
  <c r="E289" i="20"/>
  <c r="G289" i="20" s="1"/>
  <c r="D289" i="20"/>
  <c r="H289" i="20" s="1"/>
  <c r="B290" i="20"/>
  <c r="E290" i="20" l="1"/>
  <c r="G290" i="20" s="1"/>
  <c r="D290" i="20"/>
  <c r="H290" i="20" s="1"/>
  <c r="I289" i="20"/>
  <c r="B291" i="20"/>
  <c r="I290" i="20" l="1"/>
  <c r="E291" i="20"/>
  <c r="G291" i="20" s="1"/>
  <c r="D291" i="20"/>
  <c r="H291" i="20" s="1"/>
  <c r="B292" i="20"/>
  <c r="E292" i="20" l="1"/>
  <c r="G292" i="20" s="1"/>
  <c r="D292" i="20"/>
  <c r="H292" i="20" s="1"/>
  <c r="I291" i="20"/>
  <c r="B293" i="20"/>
  <c r="E293" i="20" l="1"/>
  <c r="G293" i="20" s="1"/>
  <c r="D293" i="20"/>
  <c r="H293" i="20" s="1"/>
  <c r="I292" i="20"/>
  <c r="B294" i="20"/>
  <c r="I293" i="20" l="1"/>
  <c r="E294" i="20"/>
  <c r="G294" i="20" s="1"/>
  <c r="D294" i="20"/>
  <c r="H294" i="20" s="1"/>
  <c r="B295" i="20"/>
  <c r="E295" i="20" l="1"/>
  <c r="G295" i="20" s="1"/>
  <c r="D295" i="20"/>
  <c r="H295" i="20" s="1"/>
  <c r="B296" i="20"/>
  <c r="I294" i="20"/>
  <c r="E296" i="20" l="1"/>
  <c r="G296" i="20" s="1"/>
  <c r="D296" i="20"/>
  <c r="H296" i="20" s="1"/>
  <c r="I295" i="20"/>
  <c r="B297" i="20"/>
  <c r="E297" i="20" l="1"/>
  <c r="G297" i="20" s="1"/>
  <c r="D297" i="20"/>
  <c r="H297" i="20" s="1"/>
  <c r="I296" i="20"/>
  <c r="B298" i="20"/>
  <c r="E298" i="20" l="1"/>
  <c r="G298" i="20" s="1"/>
  <c r="D298" i="20"/>
  <c r="H298" i="20" s="1"/>
  <c r="I297" i="20"/>
  <c r="B299" i="20"/>
  <c r="D299" i="20" l="1"/>
  <c r="H299" i="20" s="1"/>
  <c r="E299" i="20"/>
  <c r="G299" i="20" s="1"/>
  <c r="B300" i="20"/>
  <c r="I298" i="20"/>
  <c r="E300" i="20" l="1"/>
  <c r="G300" i="20" s="1"/>
  <c r="D300" i="20"/>
  <c r="H300" i="20" s="1"/>
  <c r="I299" i="20"/>
  <c r="B301" i="20"/>
  <c r="E301" i="20" l="1"/>
  <c r="G301" i="20" s="1"/>
  <c r="D301" i="20"/>
  <c r="H301" i="20" s="1"/>
  <c r="I300" i="20"/>
  <c r="B302" i="20"/>
  <c r="I301" i="20" l="1"/>
  <c r="E302" i="20"/>
  <c r="G302" i="20" s="1"/>
  <c r="D302" i="20"/>
  <c r="H302" i="20" s="1"/>
  <c r="B303" i="20"/>
  <c r="E303" i="20" l="1"/>
  <c r="G303" i="20" s="1"/>
  <c r="D303" i="20"/>
  <c r="H303" i="20" s="1"/>
  <c r="B304" i="20"/>
  <c r="I302" i="20"/>
  <c r="E304" i="20" l="1"/>
  <c r="G304" i="20" s="1"/>
  <c r="D304" i="20"/>
  <c r="H304" i="20" s="1"/>
  <c r="I303" i="20"/>
  <c r="B305" i="20"/>
  <c r="E305" i="20" l="1"/>
  <c r="G305" i="20" s="1"/>
  <c r="D305" i="20"/>
  <c r="H305" i="20" s="1"/>
  <c r="I304" i="20"/>
  <c r="B306" i="20"/>
  <c r="I305" i="20" l="1"/>
  <c r="E306" i="20"/>
  <c r="G306" i="20" s="1"/>
  <c r="D306" i="20"/>
  <c r="H306" i="20" s="1"/>
  <c r="B307" i="20"/>
  <c r="D307" i="20" l="1"/>
  <c r="H307" i="20" s="1"/>
  <c r="E307" i="20"/>
  <c r="G307" i="20" s="1"/>
  <c r="B308" i="20"/>
  <c r="I306" i="20"/>
  <c r="E308" i="20" l="1"/>
  <c r="G308" i="20" s="1"/>
  <c r="D308" i="20"/>
  <c r="H308" i="20" s="1"/>
  <c r="I307" i="20"/>
  <c r="B309" i="20"/>
  <c r="E309" i="20" l="1"/>
  <c r="G309" i="20" s="1"/>
  <c r="D309" i="20"/>
  <c r="H309" i="20" s="1"/>
  <c r="I308" i="20"/>
  <c r="B310" i="20"/>
  <c r="E310" i="20" l="1"/>
  <c r="G310" i="20" s="1"/>
  <c r="D310" i="20"/>
  <c r="H310" i="20" s="1"/>
  <c r="I309" i="20"/>
  <c r="B311" i="20"/>
  <c r="E311" i="20" l="1"/>
  <c r="G311" i="20" s="1"/>
  <c r="D311" i="20"/>
  <c r="H311" i="20" s="1"/>
  <c r="B312" i="20"/>
  <c r="I310" i="20"/>
  <c r="D312" i="20" l="1"/>
  <c r="H312" i="20" s="1"/>
  <c r="E312" i="20"/>
  <c r="G312" i="20" s="1"/>
  <c r="B313" i="20"/>
  <c r="I311" i="20"/>
  <c r="E313" i="20" l="1"/>
  <c r="G313" i="20" s="1"/>
  <c r="D313" i="20"/>
  <c r="H313" i="20" s="1"/>
  <c r="I312" i="20"/>
  <c r="B314" i="20"/>
  <c r="D314" i="20" l="1"/>
  <c r="H314" i="20" s="1"/>
  <c r="E314" i="20"/>
  <c r="G314" i="20" s="1"/>
  <c r="I313" i="20"/>
  <c r="B315" i="20"/>
  <c r="I314" i="20" l="1"/>
  <c r="D315" i="20"/>
  <c r="H315" i="20" s="1"/>
  <c r="E315" i="20"/>
  <c r="G315" i="20" s="1"/>
  <c r="B316" i="20"/>
  <c r="E316" i="20" l="1"/>
  <c r="G316" i="20" s="1"/>
  <c r="D316" i="20"/>
  <c r="H316" i="20" s="1"/>
  <c r="I315" i="20"/>
  <c r="B317" i="20"/>
  <c r="I316" i="20" l="1"/>
  <c r="E317" i="20"/>
  <c r="G317" i="20" s="1"/>
  <c r="D317" i="20"/>
  <c r="H317" i="20" s="1"/>
  <c r="B318" i="20"/>
  <c r="I317" i="20" l="1"/>
  <c r="E318" i="20"/>
  <c r="G318" i="20" s="1"/>
  <c r="D318" i="20"/>
  <c r="H318" i="20" s="1"/>
  <c r="B319" i="20"/>
  <c r="D319" i="20" l="1"/>
  <c r="H319" i="20" s="1"/>
  <c r="E319" i="20"/>
  <c r="G319" i="20" s="1"/>
  <c r="B320" i="20"/>
  <c r="I318" i="20"/>
  <c r="D320" i="20" l="1"/>
  <c r="H320" i="20" s="1"/>
  <c r="E320" i="20"/>
  <c r="G320" i="20" s="1"/>
  <c r="B321" i="20"/>
  <c r="I319" i="20"/>
  <c r="D321" i="20" l="1"/>
  <c r="H321" i="20" s="1"/>
  <c r="E321" i="20"/>
  <c r="G321" i="20" s="1"/>
  <c r="I320" i="20"/>
  <c r="B322" i="20"/>
  <c r="E322" i="20" l="1"/>
  <c r="G322" i="20" s="1"/>
  <c r="D322" i="20"/>
  <c r="H322" i="20" s="1"/>
  <c r="I321" i="20"/>
  <c r="B323" i="20"/>
  <c r="D323" i="20" l="1"/>
  <c r="H323" i="20" s="1"/>
  <c r="E323" i="20"/>
  <c r="G323" i="20" s="1"/>
  <c r="B324" i="20"/>
  <c r="I322" i="20"/>
  <c r="E324" i="20" l="1"/>
  <c r="G324" i="20" s="1"/>
  <c r="D324" i="20"/>
  <c r="H324" i="20" s="1"/>
  <c r="I323" i="20"/>
  <c r="B325" i="20"/>
  <c r="E325" i="20" l="1"/>
  <c r="G325" i="20" s="1"/>
  <c r="D325" i="20"/>
  <c r="H325" i="20" s="1"/>
  <c r="I324" i="20"/>
  <c r="B326" i="20"/>
  <c r="E326" i="20" l="1"/>
  <c r="G326" i="20" s="1"/>
  <c r="D326" i="20"/>
  <c r="H326" i="20" s="1"/>
  <c r="B327" i="20"/>
  <c r="I325" i="20"/>
  <c r="D327" i="20" l="1"/>
  <c r="H327" i="20" s="1"/>
  <c r="E327" i="20"/>
  <c r="G327" i="20" s="1"/>
  <c r="B328" i="20"/>
  <c r="I326" i="20"/>
  <c r="D328" i="20" l="1"/>
  <c r="H328" i="20" s="1"/>
  <c r="E328" i="20"/>
  <c r="G328" i="20" s="1"/>
  <c r="I327" i="20"/>
  <c r="B329" i="20"/>
  <c r="E329" i="20" l="1"/>
  <c r="G329" i="20" s="1"/>
  <c r="D329" i="20"/>
  <c r="H329" i="20" s="1"/>
  <c r="I328" i="20"/>
  <c r="B330" i="20"/>
  <c r="E330" i="20" l="1"/>
  <c r="G330" i="20" s="1"/>
  <c r="D330" i="20"/>
  <c r="H330" i="20" s="1"/>
  <c r="B331" i="20"/>
  <c r="I329" i="20"/>
  <c r="E331" i="20" l="1"/>
  <c r="G331" i="20" s="1"/>
  <c r="D331" i="20"/>
  <c r="H331" i="20" s="1"/>
  <c r="B332" i="20"/>
  <c r="I330" i="20"/>
  <c r="E332" i="20" l="1"/>
  <c r="G332" i="20" s="1"/>
  <c r="D332" i="20"/>
  <c r="H332" i="20" s="1"/>
  <c r="I331" i="20"/>
  <c r="B333" i="20"/>
  <c r="E333" i="20" l="1"/>
  <c r="G333" i="20" s="1"/>
  <c r="D333" i="20"/>
  <c r="H333" i="20" s="1"/>
  <c r="I332" i="20"/>
  <c r="B334" i="20"/>
  <c r="E334" i="20" l="1"/>
  <c r="G334" i="20" s="1"/>
  <c r="D334" i="20"/>
  <c r="H334" i="20" s="1"/>
  <c r="B335" i="20"/>
  <c r="I333" i="20"/>
  <c r="E335" i="20" l="1"/>
  <c r="G335" i="20" s="1"/>
  <c r="D335" i="20"/>
  <c r="H335" i="20" s="1"/>
  <c r="B336" i="20"/>
  <c r="I334" i="20"/>
  <c r="E336" i="20" l="1"/>
  <c r="G336" i="20" s="1"/>
  <c r="D336" i="20"/>
  <c r="H336" i="20" s="1"/>
  <c r="I335" i="20"/>
  <c r="B337" i="20"/>
  <c r="E337" i="20" l="1"/>
  <c r="G337" i="20" s="1"/>
  <c r="D337" i="20"/>
  <c r="H337" i="20" s="1"/>
  <c r="I336" i="20"/>
  <c r="B338" i="20"/>
  <c r="E338" i="20" l="1"/>
  <c r="G338" i="20" s="1"/>
  <c r="D338" i="20"/>
  <c r="H338" i="20" s="1"/>
  <c r="B339" i="20"/>
  <c r="I337" i="20"/>
  <c r="E339" i="20" l="1"/>
  <c r="G339" i="20" s="1"/>
  <c r="D339" i="20"/>
  <c r="H339" i="20" s="1"/>
  <c r="B340" i="20"/>
  <c r="I338" i="20"/>
  <c r="E340" i="20" l="1"/>
  <c r="G340" i="20" s="1"/>
  <c r="D340" i="20"/>
  <c r="H340" i="20" s="1"/>
  <c r="I339" i="20"/>
  <c r="B341" i="20"/>
  <c r="E341" i="20" l="1"/>
  <c r="G341" i="20" s="1"/>
  <c r="D341" i="20"/>
  <c r="H341" i="20" s="1"/>
  <c r="I340" i="20"/>
  <c r="B342" i="20"/>
  <c r="E342" i="20" l="1"/>
  <c r="G342" i="20" s="1"/>
  <c r="D342" i="20"/>
  <c r="H342" i="20" s="1"/>
  <c r="B343" i="20"/>
  <c r="I341" i="20"/>
  <c r="E343" i="20" l="1"/>
  <c r="G343" i="20" s="1"/>
  <c r="D343" i="20"/>
  <c r="H343" i="20" s="1"/>
  <c r="I342" i="20"/>
  <c r="B344" i="20"/>
  <c r="E344" i="20" l="1"/>
  <c r="G344" i="20" s="1"/>
  <c r="D344" i="20"/>
  <c r="H344" i="20" s="1"/>
  <c r="I343" i="20"/>
  <c r="B345" i="20"/>
  <c r="E345" i="20" l="1"/>
  <c r="G345" i="20" s="1"/>
  <c r="D345" i="20"/>
  <c r="H345" i="20" s="1"/>
  <c r="I344" i="20"/>
  <c r="B346" i="20"/>
  <c r="E346" i="20" l="1"/>
  <c r="G346" i="20" s="1"/>
  <c r="D346" i="20"/>
  <c r="H346" i="20" s="1"/>
  <c r="B347" i="20"/>
  <c r="I345" i="20"/>
  <c r="E347" i="20" l="1"/>
  <c r="G347" i="20" s="1"/>
  <c r="D347" i="20"/>
  <c r="H347" i="20" s="1"/>
  <c r="I346" i="20"/>
  <c r="B348" i="20"/>
  <c r="E348" i="20" l="1"/>
  <c r="G348" i="20" s="1"/>
  <c r="D348" i="20"/>
  <c r="H348" i="20" s="1"/>
  <c r="I347" i="20"/>
  <c r="B349" i="20"/>
  <c r="E349" i="20" l="1"/>
  <c r="G349" i="20" s="1"/>
  <c r="D349" i="20"/>
  <c r="H349" i="20" s="1"/>
  <c r="I348" i="20"/>
  <c r="B350" i="20"/>
  <c r="D350" i="20" l="1"/>
  <c r="H350" i="20" s="1"/>
  <c r="E350" i="20"/>
  <c r="G350" i="20" s="1"/>
  <c r="I349" i="20"/>
  <c r="B351" i="20"/>
  <c r="I350" i="20" l="1"/>
  <c r="E351" i="20"/>
  <c r="G351" i="20" s="1"/>
  <c r="D351" i="20"/>
  <c r="H351" i="20" s="1"/>
  <c r="B352" i="20"/>
  <c r="I351" i="20" l="1"/>
  <c r="E352" i="20"/>
  <c r="G352" i="20" s="1"/>
  <c r="D352" i="20"/>
  <c r="H352" i="20" s="1"/>
  <c r="B353" i="20"/>
  <c r="E353" i="20" l="1"/>
  <c r="G353" i="20" s="1"/>
  <c r="D353" i="20"/>
  <c r="H353" i="20" s="1"/>
  <c r="I352" i="20"/>
  <c r="B354" i="20"/>
  <c r="I353" i="20" l="1"/>
  <c r="E354" i="20"/>
  <c r="G354" i="20" s="1"/>
  <c r="D354" i="20"/>
  <c r="H354" i="20" s="1"/>
  <c r="B355" i="20"/>
  <c r="E355" i="20" l="1"/>
  <c r="G355" i="20" s="1"/>
  <c r="D355" i="20"/>
  <c r="H355" i="20" s="1"/>
  <c r="I354" i="20"/>
  <c r="B356" i="20"/>
  <c r="E356" i="20" l="1"/>
  <c r="G356" i="20" s="1"/>
  <c r="D356" i="20"/>
  <c r="H356" i="20" s="1"/>
  <c r="I355" i="20"/>
  <c r="B357" i="20"/>
  <c r="E357" i="20" l="1"/>
  <c r="G357" i="20" s="1"/>
  <c r="D357" i="20"/>
  <c r="H357" i="20" s="1"/>
  <c r="I356" i="20"/>
  <c r="B358" i="20"/>
  <c r="I357" i="20" l="1"/>
  <c r="D358" i="20"/>
  <c r="H358" i="20" s="1"/>
  <c r="E358" i="20"/>
  <c r="G358" i="20" s="1"/>
  <c r="B359" i="20"/>
  <c r="D359" i="20" l="1"/>
  <c r="H359" i="20" s="1"/>
  <c r="E359" i="20"/>
  <c r="G359" i="20" s="1"/>
  <c r="I358" i="20"/>
  <c r="B360" i="20"/>
  <c r="I359" i="20" l="1"/>
  <c r="E360" i="20"/>
  <c r="G360" i="20" s="1"/>
  <c r="D360" i="20"/>
  <c r="H360" i="20" s="1"/>
  <c r="B361" i="20"/>
  <c r="E361" i="20" l="1"/>
  <c r="G361" i="20" s="1"/>
  <c r="D361" i="20"/>
  <c r="H361" i="20" s="1"/>
  <c r="I360" i="20"/>
  <c r="B362" i="20"/>
  <c r="I361" i="20" l="1"/>
  <c r="E362" i="20"/>
  <c r="G362" i="20" s="1"/>
  <c r="D362" i="20"/>
  <c r="H362" i="20" s="1"/>
  <c r="B363" i="20"/>
  <c r="E363" i="20" l="1"/>
  <c r="G363" i="20" s="1"/>
  <c r="D363" i="20"/>
  <c r="H363" i="20" s="1"/>
  <c r="I362" i="20"/>
  <c r="B364" i="20"/>
  <c r="E364" i="20" l="1"/>
  <c r="G364" i="20" s="1"/>
  <c r="D364" i="20"/>
  <c r="H364" i="20" s="1"/>
  <c r="I363" i="20"/>
  <c r="B365" i="20"/>
  <c r="E365" i="20" l="1"/>
  <c r="G365" i="20" s="1"/>
  <c r="D365" i="20"/>
  <c r="H365" i="20" s="1"/>
  <c r="I364" i="20"/>
  <c r="B366" i="20"/>
  <c r="E366" i="20" l="1"/>
  <c r="G366" i="20" s="1"/>
  <c r="D366" i="20"/>
  <c r="H366" i="20" s="1"/>
  <c r="B367" i="20"/>
  <c r="I365" i="20"/>
  <c r="E367" i="20" l="1"/>
  <c r="G367" i="20" s="1"/>
  <c r="D367" i="20"/>
  <c r="H367" i="20" s="1"/>
  <c r="I366" i="20"/>
  <c r="B368" i="20"/>
  <c r="I367" i="20" l="1"/>
  <c r="E368" i="20"/>
  <c r="G368" i="20" s="1"/>
  <c r="D368" i="20"/>
  <c r="H368" i="20" s="1"/>
  <c r="B369" i="20"/>
  <c r="E369" i="20" l="1"/>
  <c r="G369" i="20" s="1"/>
  <c r="D369" i="20"/>
  <c r="H369" i="20" s="1"/>
  <c r="I368" i="20"/>
  <c r="B370" i="20"/>
  <c r="I369" i="20" l="1"/>
  <c r="E370" i="20"/>
  <c r="G370" i="20" s="1"/>
  <c r="D370" i="20"/>
  <c r="H370" i="20" s="1"/>
  <c r="B371" i="20"/>
  <c r="E371" i="20" l="1"/>
  <c r="G371" i="20" s="1"/>
  <c r="D371" i="20"/>
  <c r="H371" i="20" s="1"/>
  <c r="I370" i="20"/>
  <c r="B372" i="20"/>
  <c r="I371" i="20" l="1"/>
  <c r="E372" i="20"/>
  <c r="G372" i="20" s="1"/>
  <c r="D372" i="20"/>
  <c r="H372" i="20" s="1"/>
  <c r="B373" i="20"/>
  <c r="E373" i="20" l="1"/>
  <c r="G373" i="20" s="1"/>
  <c r="D373" i="20"/>
  <c r="H373" i="20" s="1"/>
  <c r="I372" i="20"/>
  <c r="B374" i="20"/>
  <c r="I373" i="20" l="1"/>
  <c r="E374" i="20"/>
  <c r="G374" i="20" s="1"/>
  <c r="D374" i="20"/>
  <c r="H374" i="20" s="1"/>
  <c r="B375" i="20"/>
  <c r="E375" i="20" l="1"/>
  <c r="G375" i="20" s="1"/>
  <c r="D375" i="20"/>
  <c r="H375" i="20" s="1"/>
  <c r="I374" i="20"/>
  <c r="B376" i="20"/>
  <c r="E376" i="20" l="1"/>
  <c r="G376" i="20" s="1"/>
  <c r="D376" i="20"/>
  <c r="H376" i="20" s="1"/>
  <c r="I375" i="20"/>
  <c r="B377" i="20"/>
  <c r="E377" i="20" l="1"/>
  <c r="G377" i="20" s="1"/>
  <c r="D377" i="20"/>
  <c r="H377" i="20" s="1"/>
  <c r="I376" i="20"/>
  <c r="B378" i="20"/>
  <c r="I377" i="20" l="1"/>
  <c r="E378" i="20"/>
  <c r="G378" i="20" s="1"/>
  <c r="D378" i="20"/>
  <c r="H378" i="20" s="1"/>
  <c r="B379" i="20"/>
  <c r="E379" i="20" l="1"/>
  <c r="G379" i="20" s="1"/>
  <c r="D379" i="20"/>
  <c r="H379" i="20" s="1"/>
  <c r="I378" i="20"/>
  <c r="B380" i="20"/>
  <c r="I379" i="20" l="1"/>
  <c r="E380" i="20"/>
  <c r="G380" i="20" s="1"/>
  <c r="D380" i="20"/>
  <c r="H380" i="20" s="1"/>
  <c r="B381" i="20"/>
  <c r="E381" i="20" l="1"/>
  <c r="G381" i="20" s="1"/>
  <c r="D381" i="20"/>
  <c r="H381" i="20" s="1"/>
  <c r="I380" i="20"/>
  <c r="B382" i="20"/>
  <c r="I381" i="20" l="1"/>
  <c r="D382" i="20"/>
  <c r="H382" i="20" s="1"/>
  <c r="E382" i="20"/>
  <c r="G382" i="20" s="1"/>
  <c r="B383" i="20"/>
  <c r="E383" i="20" l="1"/>
  <c r="G383" i="20" s="1"/>
  <c r="D383" i="20"/>
  <c r="H383" i="20" s="1"/>
  <c r="I382" i="20"/>
  <c r="B384" i="20"/>
  <c r="I383" i="20" l="1"/>
  <c r="E384" i="20"/>
  <c r="G384" i="20" s="1"/>
  <c r="D384" i="20"/>
  <c r="H384" i="20" s="1"/>
  <c r="B385" i="20"/>
  <c r="E385" i="20" l="1"/>
  <c r="G385" i="20" s="1"/>
  <c r="D385" i="20"/>
  <c r="H385" i="20" s="1"/>
  <c r="I384" i="20"/>
  <c r="B386" i="20"/>
  <c r="I385" i="20" l="1"/>
  <c r="E386" i="20"/>
  <c r="G386" i="20" s="1"/>
  <c r="D386" i="20"/>
  <c r="H386" i="20" s="1"/>
  <c r="B387" i="20"/>
  <c r="E387" i="20" l="1"/>
  <c r="G387" i="20" s="1"/>
  <c r="D387" i="20"/>
  <c r="H387" i="20" s="1"/>
  <c r="I386" i="20"/>
  <c r="B388" i="20"/>
  <c r="I387" i="20" l="1"/>
  <c r="E388" i="20"/>
  <c r="G388" i="20" s="1"/>
  <c r="D388" i="20"/>
  <c r="H388" i="20" s="1"/>
  <c r="B389" i="20"/>
  <c r="E389" i="20" l="1"/>
  <c r="G389" i="20" s="1"/>
  <c r="D389" i="20"/>
  <c r="H389" i="20" s="1"/>
  <c r="I388" i="20"/>
  <c r="B390" i="20"/>
  <c r="D390" i="20" l="1"/>
  <c r="H390" i="20" s="1"/>
  <c r="E390" i="20"/>
  <c r="G390" i="20" s="1"/>
  <c r="I389" i="20"/>
  <c r="B391" i="20"/>
  <c r="I390" i="20" l="1"/>
  <c r="E391" i="20"/>
  <c r="G391" i="20" s="1"/>
  <c r="D391" i="20"/>
  <c r="H391" i="20" s="1"/>
  <c r="B392" i="20"/>
  <c r="I391" i="20" l="1"/>
  <c r="E392" i="20"/>
  <c r="G392" i="20" s="1"/>
  <c r="D392" i="20"/>
  <c r="H392" i="20" s="1"/>
  <c r="B393" i="20"/>
  <c r="E393" i="20" l="1"/>
  <c r="G393" i="20" s="1"/>
  <c r="D393" i="20"/>
  <c r="H393" i="20" s="1"/>
  <c r="I392" i="20"/>
  <c r="B394" i="20"/>
  <c r="E394" i="20" l="1"/>
  <c r="G394" i="20" s="1"/>
  <c r="D394" i="20"/>
  <c r="H394" i="20" s="1"/>
  <c r="B395" i="20"/>
  <c r="I393" i="20"/>
  <c r="E395" i="20" l="1"/>
  <c r="G395" i="20" s="1"/>
  <c r="D395" i="20"/>
  <c r="H395" i="20" s="1"/>
  <c r="I394" i="20"/>
  <c r="B396" i="20"/>
  <c r="I395" i="20" l="1"/>
  <c r="E396" i="20"/>
  <c r="G396" i="20" s="1"/>
  <c r="D396" i="20"/>
  <c r="H396" i="20" s="1"/>
  <c r="B397" i="20"/>
  <c r="E397" i="20" l="1"/>
  <c r="G397" i="20" s="1"/>
  <c r="D397" i="20"/>
  <c r="H397" i="20" s="1"/>
  <c r="I396" i="20"/>
  <c r="B398" i="20"/>
  <c r="E398" i="20" l="1"/>
  <c r="G398" i="20" s="1"/>
  <c r="D398" i="20"/>
  <c r="H398" i="20" s="1"/>
  <c r="B399" i="20"/>
  <c r="I397" i="20"/>
  <c r="E399" i="20" l="1"/>
  <c r="G399" i="20" s="1"/>
  <c r="D399" i="20"/>
  <c r="H399" i="20" s="1"/>
  <c r="I398" i="20"/>
  <c r="B400" i="20"/>
  <c r="I399" i="20" l="1"/>
  <c r="E400" i="20"/>
  <c r="G400" i="20" s="1"/>
  <c r="D400" i="20"/>
  <c r="H400" i="20" s="1"/>
  <c r="B401" i="20"/>
  <c r="E401" i="20" l="1"/>
  <c r="G401" i="20" s="1"/>
  <c r="D401" i="20"/>
  <c r="H401" i="20" s="1"/>
  <c r="I400" i="20"/>
  <c r="B402" i="20"/>
  <c r="I401" i="20" l="1"/>
  <c r="E402" i="20"/>
  <c r="G402" i="20" s="1"/>
  <c r="D402" i="20"/>
  <c r="H402" i="20" s="1"/>
  <c r="B403" i="20"/>
  <c r="E403" i="20" l="1"/>
  <c r="G403" i="20" s="1"/>
  <c r="D403" i="20"/>
  <c r="H403" i="20" s="1"/>
  <c r="I402" i="20"/>
  <c r="B404" i="20"/>
  <c r="E404" i="20" l="1"/>
  <c r="G404" i="20" s="1"/>
  <c r="D404" i="20"/>
  <c r="H404" i="20" s="1"/>
  <c r="I403" i="20"/>
  <c r="B405" i="20"/>
  <c r="E405" i="20" l="1"/>
  <c r="G405" i="20" s="1"/>
  <c r="D405" i="20"/>
  <c r="H405" i="20" s="1"/>
  <c r="I404" i="20"/>
  <c r="B406" i="20"/>
  <c r="E406" i="20" l="1"/>
  <c r="G406" i="20" s="1"/>
  <c r="D406" i="20"/>
  <c r="H406" i="20" s="1"/>
  <c r="I405" i="20"/>
  <c r="B407" i="20"/>
  <c r="E407" i="20" l="1"/>
  <c r="G407" i="20" s="1"/>
  <c r="D407" i="20"/>
  <c r="H407" i="20" s="1"/>
  <c r="I406" i="20"/>
  <c r="B408" i="20"/>
  <c r="I407" i="20" l="1"/>
  <c r="E408" i="20"/>
  <c r="G408" i="20" s="1"/>
  <c r="D408" i="20"/>
  <c r="H408" i="20" s="1"/>
  <c r="B409" i="20"/>
  <c r="E409" i="20" l="1"/>
  <c r="G409" i="20" s="1"/>
  <c r="D409" i="20"/>
  <c r="H409" i="20" s="1"/>
  <c r="I408" i="20"/>
  <c r="B410" i="20"/>
  <c r="E410" i="20" l="1"/>
  <c r="G410" i="20" s="1"/>
  <c r="D410" i="20"/>
  <c r="H410" i="20" s="1"/>
  <c r="I409" i="20"/>
  <c r="B411" i="20"/>
  <c r="E411" i="20" l="1"/>
  <c r="G411" i="20" s="1"/>
  <c r="D411" i="20"/>
  <c r="H411" i="20" s="1"/>
  <c r="I410" i="20"/>
  <c r="B412" i="20"/>
  <c r="I411" i="20" l="1"/>
  <c r="E412" i="20"/>
  <c r="G412" i="20" s="1"/>
  <c r="D412" i="20"/>
  <c r="H412" i="20" s="1"/>
  <c r="B413" i="20"/>
  <c r="E413" i="20" l="1"/>
  <c r="G413" i="20" s="1"/>
  <c r="D413" i="20"/>
  <c r="H413" i="20" s="1"/>
  <c r="I412" i="20"/>
  <c r="B414" i="20"/>
  <c r="D414" i="20" l="1"/>
  <c r="H414" i="20" s="1"/>
  <c r="E414" i="20"/>
  <c r="G414" i="20" s="1"/>
  <c r="I413" i="20"/>
  <c r="B415" i="20"/>
  <c r="E415" i="20" l="1"/>
  <c r="G415" i="20" s="1"/>
  <c r="D415" i="20"/>
  <c r="H415" i="20" s="1"/>
  <c r="I414" i="20"/>
  <c r="B416" i="20"/>
  <c r="I415" i="20" l="1"/>
  <c r="E416" i="20"/>
  <c r="G416" i="20" s="1"/>
  <c r="D416" i="20"/>
  <c r="H416" i="20" s="1"/>
  <c r="B417" i="20"/>
  <c r="E417" i="20" l="1"/>
  <c r="G417" i="20" s="1"/>
  <c r="D417" i="20"/>
  <c r="H417" i="20" s="1"/>
  <c r="I416" i="20"/>
  <c r="B418" i="20"/>
  <c r="E418" i="20" l="1"/>
  <c r="G418" i="20" s="1"/>
  <c r="D418" i="20"/>
  <c r="H418" i="20" s="1"/>
  <c r="B419" i="20"/>
  <c r="I417" i="20"/>
  <c r="E419" i="20" l="1"/>
  <c r="G419" i="20" s="1"/>
  <c r="D419" i="20"/>
  <c r="H419" i="20" s="1"/>
  <c r="I418" i="20"/>
  <c r="B420" i="20"/>
  <c r="I419" i="20" l="1"/>
  <c r="E420" i="20"/>
  <c r="G420" i="20" s="1"/>
  <c r="D420" i="20"/>
  <c r="H420" i="20" s="1"/>
  <c r="B421" i="20"/>
  <c r="E421" i="20" l="1"/>
  <c r="G421" i="20" s="1"/>
  <c r="D421" i="20"/>
  <c r="H421" i="20" s="1"/>
  <c r="I420" i="20"/>
  <c r="B422" i="20"/>
  <c r="D422" i="20" l="1"/>
  <c r="H422" i="20" s="1"/>
  <c r="E422" i="20"/>
  <c r="G422" i="20" s="1"/>
  <c r="I421" i="20"/>
  <c r="B423" i="20"/>
  <c r="I422" i="20" l="1"/>
  <c r="D423" i="20"/>
  <c r="H423" i="20" s="1"/>
  <c r="E423" i="20"/>
  <c r="G423" i="20" s="1"/>
  <c r="B424" i="20"/>
  <c r="I423" i="20" l="1"/>
  <c r="E424" i="20"/>
  <c r="G424" i="20" s="1"/>
  <c r="D424" i="20"/>
  <c r="H424" i="20" s="1"/>
  <c r="B425" i="20"/>
  <c r="E425" i="20" l="1"/>
  <c r="G425" i="20" s="1"/>
  <c r="D425" i="20"/>
  <c r="H425" i="20" s="1"/>
  <c r="I424" i="20"/>
  <c r="B426" i="20"/>
  <c r="E426" i="20" l="1"/>
  <c r="G426" i="20" s="1"/>
  <c r="D426" i="20"/>
  <c r="H426" i="20" s="1"/>
  <c r="I425" i="20"/>
  <c r="B427" i="20"/>
  <c r="E427" i="20" l="1"/>
  <c r="G427" i="20" s="1"/>
  <c r="D427" i="20"/>
  <c r="H427" i="20" s="1"/>
  <c r="I426" i="20"/>
  <c r="B428" i="20"/>
  <c r="E428" i="20" l="1"/>
  <c r="G428" i="20" s="1"/>
  <c r="D428" i="20"/>
  <c r="H428" i="20" s="1"/>
  <c r="I427" i="20"/>
  <c r="B429" i="20"/>
  <c r="E429" i="20" l="1"/>
  <c r="G429" i="20" s="1"/>
  <c r="D429" i="20"/>
  <c r="H429" i="20" s="1"/>
  <c r="I428" i="20"/>
  <c r="B430" i="20"/>
  <c r="E430" i="20" l="1"/>
  <c r="G430" i="20" s="1"/>
  <c r="D430" i="20"/>
  <c r="H430" i="20" s="1"/>
  <c r="I429" i="20"/>
  <c r="B431" i="20"/>
  <c r="E431" i="20" l="1"/>
  <c r="G431" i="20" s="1"/>
  <c r="D431" i="20"/>
  <c r="H431" i="20" s="1"/>
  <c r="I430" i="20"/>
  <c r="B432" i="20"/>
  <c r="I431" i="20" l="1"/>
  <c r="E432" i="20"/>
  <c r="G432" i="20" s="1"/>
  <c r="D432" i="20"/>
  <c r="H432" i="20" s="1"/>
  <c r="B433" i="20"/>
  <c r="E433" i="20" l="1"/>
  <c r="G433" i="20" s="1"/>
  <c r="D433" i="20"/>
  <c r="H433" i="20" s="1"/>
  <c r="I432" i="20"/>
  <c r="B434" i="20"/>
  <c r="I433" i="20" l="1"/>
  <c r="E434" i="20"/>
  <c r="G434" i="20" s="1"/>
  <c r="D434" i="20"/>
  <c r="H434" i="20" s="1"/>
  <c r="B435" i="20"/>
  <c r="I434" i="20" l="1"/>
  <c r="E435" i="20"/>
  <c r="G435" i="20" s="1"/>
  <c r="D435" i="20"/>
  <c r="H435" i="20" s="1"/>
  <c r="B436" i="20"/>
  <c r="I435" i="20" l="1"/>
  <c r="E436" i="20"/>
  <c r="G436" i="20" s="1"/>
  <c r="D436" i="20"/>
  <c r="H436" i="20" s="1"/>
  <c r="B437" i="20"/>
  <c r="E437" i="20" l="1"/>
  <c r="G437" i="20" s="1"/>
  <c r="D437" i="20"/>
  <c r="H437" i="20" s="1"/>
  <c r="I436" i="20"/>
  <c r="B438" i="20"/>
  <c r="E438" i="20" l="1"/>
  <c r="G438" i="20" s="1"/>
  <c r="D438" i="20"/>
  <c r="H438" i="20" s="1"/>
  <c r="I437" i="20"/>
  <c r="B439" i="20"/>
  <c r="I438" i="20" l="1"/>
  <c r="E439" i="20"/>
  <c r="G439" i="20" s="1"/>
  <c r="D439" i="20"/>
  <c r="H439" i="20" s="1"/>
  <c r="B440" i="20"/>
  <c r="I439" i="20" l="1"/>
  <c r="E440" i="20"/>
  <c r="G440" i="20" s="1"/>
  <c r="D440" i="20"/>
  <c r="H440" i="20" s="1"/>
  <c r="B441" i="20"/>
  <c r="E441" i="20" l="1"/>
  <c r="G441" i="20" s="1"/>
  <c r="D441" i="20"/>
  <c r="H441" i="20" s="1"/>
  <c r="I440" i="20"/>
  <c r="B442" i="20"/>
  <c r="E442" i="20" l="1"/>
  <c r="G442" i="20" s="1"/>
  <c r="D442" i="20"/>
  <c r="H442" i="20" s="1"/>
  <c r="I441" i="20"/>
  <c r="B443" i="20"/>
  <c r="E443" i="20" l="1"/>
  <c r="G443" i="20" s="1"/>
  <c r="D443" i="20"/>
  <c r="H443" i="20" s="1"/>
  <c r="I442" i="20"/>
  <c r="B444" i="20"/>
  <c r="I443" i="20" l="1"/>
  <c r="E444" i="20"/>
  <c r="G444" i="20" s="1"/>
  <c r="D444" i="20"/>
  <c r="H444" i="20" s="1"/>
  <c r="B445" i="20"/>
  <c r="E445" i="20" l="1"/>
  <c r="G445" i="20" s="1"/>
  <c r="D445" i="20"/>
  <c r="H445" i="20" s="1"/>
  <c r="I444" i="20"/>
  <c r="B446" i="20"/>
  <c r="D446" i="20" l="1"/>
  <c r="H446" i="20" s="1"/>
  <c r="E446" i="20"/>
  <c r="G446" i="20" s="1"/>
  <c r="I445" i="20"/>
  <c r="B447" i="20"/>
  <c r="E447" i="20" l="1"/>
  <c r="G447" i="20" s="1"/>
  <c r="D447" i="20"/>
  <c r="H447" i="20" s="1"/>
  <c r="I446" i="20"/>
  <c r="B448" i="20"/>
  <c r="I447" i="20" l="1"/>
  <c r="E448" i="20"/>
  <c r="G448" i="20" s="1"/>
  <c r="D448" i="20"/>
  <c r="H448" i="20" s="1"/>
  <c r="B449" i="20"/>
  <c r="E449" i="20" l="1"/>
  <c r="G449" i="20" s="1"/>
  <c r="D449" i="20"/>
  <c r="H449" i="20" s="1"/>
  <c r="I448" i="20"/>
  <c r="B450" i="20"/>
  <c r="E450" i="20" l="1"/>
  <c r="G450" i="20" s="1"/>
  <c r="D450" i="20"/>
  <c r="H450" i="20" s="1"/>
  <c r="I449" i="20"/>
  <c r="B451" i="20"/>
  <c r="I450" i="20" l="1"/>
  <c r="E451" i="20"/>
  <c r="G451" i="20" s="1"/>
  <c r="D451" i="20"/>
  <c r="H451" i="20" s="1"/>
  <c r="B452" i="20"/>
  <c r="I451" i="20" l="1"/>
  <c r="E452" i="20"/>
  <c r="G452" i="20" s="1"/>
  <c r="D452" i="20"/>
  <c r="H452" i="20" s="1"/>
  <c r="B453" i="20"/>
  <c r="I452" i="20" l="1"/>
  <c r="E453" i="20"/>
  <c r="G453" i="20" s="1"/>
  <c r="D453" i="20"/>
  <c r="H453" i="20" s="1"/>
  <c r="B454" i="20"/>
  <c r="D454" i="20" l="1"/>
  <c r="H454" i="20" s="1"/>
  <c r="E454" i="20"/>
  <c r="G454" i="20" s="1"/>
  <c r="B455" i="20"/>
  <c r="I453" i="20"/>
  <c r="E455" i="20" l="1"/>
  <c r="G455" i="20" s="1"/>
  <c r="D455" i="20"/>
  <c r="H455" i="20" s="1"/>
  <c r="I454" i="20"/>
  <c r="B456" i="20"/>
  <c r="E456" i="20" l="1"/>
  <c r="G456" i="20" s="1"/>
  <c r="D456" i="20"/>
  <c r="H456" i="20" s="1"/>
  <c r="B457" i="20"/>
  <c r="I455" i="20"/>
  <c r="D457" i="20" l="1"/>
  <c r="H457" i="20" s="1"/>
  <c r="E457" i="20"/>
  <c r="G457" i="20" s="1"/>
  <c r="I456" i="20"/>
  <c r="B458" i="20"/>
  <c r="D458" i="20" l="1"/>
  <c r="H458" i="20" s="1"/>
  <c r="E458" i="20"/>
  <c r="G458" i="20" s="1"/>
  <c r="I457" i="20"/>
  <c r="B459" i="20"/>
  <c r="E459" i="20" l="1"/>
  <c r="G459" i="20" s="1"/>
  <c r="D459" i="20"/>
  <c r="H459" i="20" s="1"/>
  <c r="B460" i="20"/>
  <c r="I458" i="20"/>
  <c r="E460" i="20" l="1"/>
  <c r="G460" i="20" s="1"/>
  <c r="D460" i="20"/>
  <c r="H460" i="20" s="1"/>
  <c r="B461" i="20"/>
  <c r="I459" i="20"/>
  <c r="D461" i="20" l="1"/>
  <c r="H461" i="20" s="1"/>
  <c r="E461" i="20"/>
  <c r="G461" i="20" s="1"/>
  <c r="I460" i="20"/>
  <c r="B462" i="20"/>
  <c r="D462" i="20" l="1"/>
  <c r="H462" i="20" s="1"/>
  <c r="E462" i="20"/>
  <c r="G462" i="20" s="1"/>
  <c r="I461" i="20"/>
  <c r="B463" i="20"/>
  <c r="E463" i="20" l="1"/>
  <c r="G463" i="20" s="1"/>
  <c r="D463" i="20"/>
  <c r="H463" i="20" s="1"/>
  <c r="I462" i="20"/>
  <c r="B464" i="20"/>
  <c r="D464" i="20" l="1"/>
  <c r="H464" i="20" s="1"/>
  <c r="E464" i="20"/>
  <c r="G464" i="20" s="1"/>
  <c r="B465" i="20"/>
  <c r="I463" i="20"/>
  <c r="I464" i="20" l="1"/>
  <c r="D465" i="20"/>
  <c r="H465" i="20" s="1"/>
  <c r="E465" i="20"/>
  <c r="G465" i="20" s="1"/>
  <c r="B466" i="20"/>
  <c r="E466" i="20" l="1"/>
  <c r="G466" i="20" s="1"/>
  <c r="D466" i="20"/>
  <c r="H466" i="20" s="1"/>
  <c r="I465" i="20"/>
  <c r="B467" i="20"/>
  <c r="E467" i="20" l="1"/>
  <c r="G467" i="20" s="1"/>
  <c r="D467" i="20"/>
  <c r="H467" i="20" s="1"/>
  <c r="I466" i="20"/>
  <c r="B468" i="20"/>
  <c r="E468" i="20" l="1"/>
  <c r="G468" i="20" s="1"/>
  <c r="D468" i="20"/>
  <c r="H468" i="20" s="1"/>
  <c r="B469" i="20"/>
  <c r="I467" i="20"/>
  <c r="E469" i="20" l="1"/>
  <c r="G469" i="20" s="1"/>
  <c r="D469" i="20"/>
  <c r="H469" i="20" s="1"/>
  <c r="I468" i="20"/>
  <c r="B470" i="20"/>
  <c r="D470" i="20" l="1"/>
  <c r="H470" i="20" s="1"/>
  <c r="E470" i="20"/>
  <c r="G470" i="20" s="1"/>
  <c r="I469" i="20"/>
  <c r="B471" i="20"/>
  <c r="D471" i="20" l="1"/>
  <c r="H471" i="20" s="1"/>
  <c r="E471" i="20"/>
  <c r="G471" i="20" s="1"/>
  <c r="I470" i="20"/>
  <c r="B472" i="20"/>
  <c r="D472" i="20" l="1"/>
  <c r="H472" i="20" s="1"/>
  <c r="E472" i="20"/>
  <c r="G472" i="20" s="1"/>
  <c r="B473" i="20"/>
  <c r="I471" i="20"/>
  <c r="E473" i="20" l="1"/>
  <c r="G473" i="20" s="1"/>
  <c r="D473" i="20"/>
  <c r="H473" i="20" s="1"/>
  <c r="I472" i="20"/>
  <c r="B474" i="20"/>
  <c r="E474" i="20" l="1"/>
  <c r="G474" i="20" s="1"/>
  <c r="D474" i="20"/>
  <c r="H474" i="20" s="1"/>
  <c r="I473" i="20"/>
  <c r="B475" i="20"/>
  <c r="I474" i="20" l="1"/>
  <c r="E475" i="20"/>
  <c r="G475" i="20" s="1"/>
  <c r="D475" i="20"/>
  <c r="H475" i="20" s="1"/>
  <c r="B476" i="20"/>
  <c r="E476" i="20" l="1"/>
  <c r="G476" i="20" s="1"/>
  <c r="D476" i="20"/>
  <c r="H476" i="20" s="1"/>
  <c r="B477" i="20"/>
  <c r="I475" i="20"/>
  <c r="I476" i="20" l="1"/>
  <c r="E477" i="20"/>
  <c r="G477" i="20" s="1"/>
  <c r="D477" i="20"/>
  <c r="H477" i="20" s="1"/>
  <c r="B478" i="20"/>
  <c r="E478" i="20" l="1"/>
  <c r="G478" i="20" s="1"/>
  <c r="D478" i="20"/>
  <c r="H478" i="20" s="1"/>
  <c r="I477" i="20"/>
  <c r="B479" i="20"/>
  <c r="I478" i="20" l="1"/>
  <c r="E479" i="20"/>
  <c r="G479" i="20" s="1"/>
  <c r="D479" i="20"/>
  <c r="H479" i="20" s="1"/>
  <c r="B480" i="20"/>
  <c r="E480" i="20" l="1"/>
  <c r="G480" i="20" s="1"/>
  <c r="D480" i="20"/>
  <c r="H480" i="20" s="1"/>
  <c r="I479" i="20"/>
  <c r="B481" i="20"/>
  <c r="I480" i="20" l="1"/>
  <c r="E481" i="20"/>
  <c r="G481" i="20" s="1"/>
  <c r="D481" i="20"/>
  <c r="H481" i="20" s="1"/>
  <c r="B482" i="20"/>
  <c r="E482" i="20" l="1"/>
  <c r="G482" i="20" s="1"/>
  <c r="D482" i="20"/>
  <c r="H482" i="20" s="1"/>
  <c r="I481" i="20"/>
  <c r="B483" i="20"/>
  <c r="E483" i="20" l="1"/>
  <c r="G483" i="20" s="1"/>
  <c r="D483" i="20"/>
  <c r="H483" i="20" s="1"/>
  <c r="I482" i="20"/>
  <c r="B484" i="20"/>
  <c r="E484" i="20" l="1"/>
  <c r="G484" i="20" s="1"/>
  <c r="D484" i="20"/>
  <c r="H484" i="20" s="1"/>
  <c r="I483" i="20"/>
  <c r="B485" i="20"/>
  <c r="I484" i="20" l="1"/>
  <c r="E485" i="20"/>
  <c r="G485" i="20" s="1"/>
  <c r="D485" i="20"/>
  <c r="H485" i="20" s="1"/>
  <c r="B486" i="20"/>
  <c r="E486" i="20" l="1"/>
  <c r="G486" i="20" s="1"/>
  <c r="D486" i="20"/>
  <c r="H486" i="20" s="1"/>
  <c r="I485" i="20"/>
  <c r="B487" i="20"/>
  <c r="E487" i="20" l="1"/>
  <c r="G487" i="20" s="1"/>
  <c r="D487" i="20"/>
  <c r="H487" i="20" s="1"/>
  <c r="I486" i="20"/>
  <c r="B488" i="20"/>
  <c r="E488" i="20" l="1"/>
  <c r="G488" i="20" s="1"/>
  <c r="D488" i="20"/>
  <c r="H488" i="20" s="1"/>
  <c r="I487" i="20"/>
  <c r="B489" i="20"/>
  <c r="I488" i="20" l="1"/>
  <c r="E489" i="20"/>
  <c r="G489" i="20" s="1"/>
  <c r="D489" i="20"/>
  <c r="H489" i="20" s="1"/>
  <c r="B490" i="20"/>
  <c r="E490" i="20" l="1"/>
  <c r="G490" i="20" s="1"/>
  <c r="D490" i="20"/>
  <c r="H490" i="20" s="1"/>
  <c r="I489" i="20"/>
  <c r="B491" i="20"/>
  <c r="E491" i="20" l="1"/>
  <c r="G491" i="20" s="1"/>
  <c r="D491" i="20"/>
  <c r="H491" i="20" s="1"/>
  <c r="B492" i="20"/>
  <c r="I490" i="20"/>
  <c r="E492" i="20" l="1"/>
  <c r="G492" i="20" s="1"/>
  <c r="D492" i="20"/>
  <c r="H492" i="20" s="1"/>
  <c r="B493" i="20"/>
  <c r="I491" i="20"/>
  <c r="I492" i="20" l="1"/>
  <c r="E493" i="20"/>
  <c r="G493" i="20" s="1"/>
  <c r="D493" i="20"/>
  <c r="H493" i="20" s="1"/>
  <c r="B494" i="20"/>
  <c r="E494" i="20" l="1"/>
  <c r="G494" i="20" s="1"/>
  <c r="D494" i="20"/>
  <c r="H494" i="20" s="1"/>
  <c r="I493" i="20"/>
  <c r="B495" i="20"/>
  <c r="I494" i="20" l="1"/>
  <c r="E495" i="20"/>
  <c r="G495" i="20" s="1"/>
  <c r="D495" i="20"/>
  <c r="H495" i="20" s="1"/>
  <c r="B496" i="20"/>
  <c r="I495" i="20" l="1"/>
  <c r="E496" i="20"/>
  <c r="G496" i="20" s="1"/>
  <c r="D496" i="20"/>
  <c r="H496" i="20" s="1"/>
  <c r="B497" i="20"/>
  <c r="I496" i="20" l="1"/>
  <c r="E497" i="20"/>
  <c r="G497" i="20" s="1"/>
  <c r="D497" i="20"/>
  <c r="H497" i="20" s="1"/>
  <c r="B498" i="20"/>
  <c r="D498" i="20" l="1"/>
  <c r="H498" i="20" s="1"/>
  <c r="E498" i="20"/>
  <c r="G498" i="20" s="1"/>
  <c r="I497" i="20"/>
  <c r="B499" i="20"/>
  <c r="I498" i="20" l="1"/>
  <c r="E499" i="20"/>
  <c r="G499" i="20" s="1"/>
  <c r="D499" i="20"/>
  <c r="H499" i="20" s="1"/>
  <c r="B500" i="20"/>
  <c r="E500" i="20" l="1"/>
  <c r="G500" i="20" s="1"/>
  <c r="D500" i="20"/>
  <c r="H500" i="20" s="1"/>
  <c r="B501" i="20"/>
  <c r="I499" i="20"/>
  <c r="E501" i="20" l="1"/>
  <c r="G501" i="20" s="1"/>
  <c r="D501" i="20"/>
  <c r="H501" i="20" s="1"/>
  <c r="I500" i="20"/>
  <c r="B502" i="20"/>
  <c r="E502" i="20" l="1"/>
  <c r="G502" i="20" s="1"/>
  <c r="D502" i="20"/>
  <c r="H502" i="20" s="1"/>
  <c r="I501" i="20"/>
  <c r="B503" i="20"/>
  <c r="I502" i="20" l="1"/>
  <c r="E503" i="20"/>
  <c r="G503" i="20" s="1"/>
  <c r="D503" i="20"/>
  <c r="H503" i="20" s="1"/>
  <c r="B504" i="20"/>
  <c r="D504" i="20" l="1"/>
  <c r="H504" i="20" s="1"/>
  <c r="E504" i="20"/>
  <c r="G504" i="20" s="1"/>
  <c r="I503" i="20"/>
  <c r="B505" i="20"/>
  <c r="E505" i="20" l="1"/>
  <c r="G505" i="20" s="1"/>
  <c r="D505" i="20"/>
  <c r="H505" i="20" s="1"/>
  <c r="I504" i="20"/>
  <c r="B506" i="20"/>
  <c r="D506" i="20" l="1"/>
  <c r="H506" i="20" s="1"/>
  <c r="E506" i="20"/>
  <c r="G506" i="20" s="1"/>
  <c r="I505" i="20"/>
  <c r="B507" i="20"/>
  <c r="I506" i="20" l="1"/>
  <c r="D507" i="20"/>
  <c r="H507" i="20" s="1"/>
  <c r="E507" i="20"/>
  <c r="G507" i="20" s="1"/>
  <c r="B508" i="20"/>
  <c r="D508" i="20" l="1"/>
  <c r="H508" i="20" s="1"/>
  <c r="E508" i="20"/>
  <c r="G508" i="20" s="1"/>
  <c r="I507" i="20"/>
  <c r="B509" i="20"/>
  <c r="I508" i="20" l="1"/>
  <c r="E509" i="20"/>
  <c r="G509" i="20" s="1"/>
  <c r="D509" i="20"/>
  <c r="H509" i="20" s="1"/>
  <c r="B510" i="20"/>
  <c r="E510" i="20" l="1"/>
  <c r="G510" i="20" s="1"/>
  <c r="D510" i="20"/>
  <c r="H510" i="20" s="1"/>
  <c r="I509" i="20"/>
  <c r="B511" i="20"/>
  <c r="I510" i="20" l="1"/>
  <c r="E511" i="20"/>
  <c r="G511" i="20" s="1"/>
  <c r="D511" i="20"/>
  <c r="H511" i="20" s="1"/>
  <c r="B512" i="20"/>
  <c r="E512" i="20" l="1"/>
  <c r="G512" i="20" s="1"/>
  <c r="D512" i="20"/>
  <c r="H512" i="20" s="1"/>
  <c r="I511" i="20"/>
  <c r="B513" i="20"/>
  <c r="I512" i="20" l="1"/>
  <c r="E513" i="20"/>
  <c r="G513" i="20" s="1"/>
  <c r="D513" i="20"/>
  <c r="H513" i="20" s="1"/>
  <c r="B514" i="20"/>
  <c r="I513" i="20" l="1"/>
  <c r="E514" i="20"/>
  <c r="G514" i="20" s="1"/>
  <c r="D514" i="20"/>
  <c r="H514" i="20" s="1"/>
  <c r="B515" i="20"/>
  <c r="I514" i="20" l="1"/>
  <c r="D515" i="20"/>
  <c r="H515" i="20" s="1"/>
  <c r="E515" i="20"/>
  <c r="G515" i="20" s="1"/>
  <c r="B516" i="20"/>
  <c r="E516" i="20" l="1"/>
  <c r="G516" i="20" s="1"/>
  <c r="D516" i="20"/>
  <c r="H516" i="20" s="1"/>
  <c r="I515" i="20"/>
  <c r="B517" i="20"/>
  <c r="D517" i="20" l="1"/>
  <c r="H517" i="20" s="1"/>
  <c r="E517" i="20"/>
  <c r="G517" i="20" s="1"/>
  <c r="B518" i="20"/>
  <c r="I516" i="20"/>
  <c r="I517" i="20" l="1"/>
  <c r="E518" i="20"/>
  <c r="G518" i="20" s="1"/>
  <c r="D518" i="20"/>
  <c r="H518" i="20" s="1"/>
  <c r="B519" i="20"/>
  <c r="I518" i="20" l="1"/>
  <c r="E519" i="20"/>
  <c r="G519" i="20" s="1"/>
  <c r="D519" i="20"/>
  <c r="H519" i="20" s="1"/>
  <c r="B520" i="20"/>
  <c r="D520" i="20" l="1"/>
  <c r="H520" i="20" s="1"/>
  <c r="E520" i="20"/>
  <c r="G520" i="20" s="1"/>
  <c r="I519" i="20"/>
  <c r="B521" i="20"/>
  <c r="I520" i="20" l="1"/>
  <c r="E521" i="20"/>
  <c r="G521" i="20" s="1"/>
  <c r="D521" i="20"/>
  <c r="H521" i="20" s="1"/>
  <c r="B522" i="20"/>
  <c r="I521" i="20" l="1"/>
  <c r="D522" i="20"/>
  <c r="H522" i="20" s="1"/>
  <c r="E522" i="20"/>
  <c r="G522" i="20" s="1"/>
  <c r="B523" i="20"/>
  <c r="E523" i="20" l="1"/>
  <c r="G523" i="20" s="1"/>
  <c r="D523" i="20"/>
  <c r="H523" i="20" s="1"/>
  <c r="I522" i="20"/>
  <c r="B524" i="20"/>
  <c r="E524" i="20" l="1"/>
  <c r="G524" i="20" s="1"/>
  <c r="D524" i="20"/>
  <c r="H524" i="20" s="1"/>
  <c r="B525" i="20"/>
  <c r="I523" i="20"/>
  <c r="E525" i="20" l="1"/>
  <c r="G525" i="20" s="1"/>
  <c r="D525" i="20"/>
  <c r="H525" i="20" s="1"/>
  <c r="I524" i="20"/>
  <c r="B526" i="20"/>
  <c r="I525" i="20" l="1"/>
  <c r="D526" i="20"/>
  <c r="H526" i="20" s="1"/>
  <c r="E526" i="20"/>
  <c r="G526" i="20" s="1"/>
  <c r="B527" i="20"/>
  <c r="D527" i="20" l="1"/>
  <c r="H527" i="20" s="1"/>
  <c r="E527" i="20"/>
  <c r="G527" i="20" s="1"/>
  <c r="I526" i="20"/>
  <c r="B528" i="20"/>
  <c r="E528" i="20" l="1"/>
  <c r="G528" i="20" s="1"/>
  <c r="D528" i="20"/>
  <c r="H528" i="20" s="1"/>
  <c r="B529" i="20"/>
  <c r="I527" i="20"/>
  <c r="E529" i="20" l="1"/>
  <c r="G529" i="20" s="1"/>
  <c r="D529" i="20"/>
  <c r="H529" i="20" s="1"/>
  <c r="I528" i="20"/>
  <c r="B530" i="20"/>
  <c r="I529" i="20" l="1"/>
  <c r="E530" i="20"/>
  <c r="G530" i="20" s="1"/>
  <c r="D530" i="20"/>
  <c r="H530" i="20" s="1"/>
  <c r="B531" i="20"/>
  <c r="I530" i="20" l="1"/>
  <c r="E531" i="20"/>
  <c r="G531" i="20" s="1"/>
  <c r="D531" i="20"/>
  <c r="H531" i="20" s="1"/>
  <c r="B532" i="20"/>
  <c r="E532" i="20" l="1"/>
  <c r="G532" i="20" s="1"/>
  <c r="D532" i="20"/>
  <c r="H532" i="20" s="1"/>
  <c r="B533" i="20"/>
  <c r="I531" i="20"/>
  <c r="E533" i="20" l="1"/>
  <c r="G533" i="20" s="1"/>
  <c r="D533" i="20"/>
  <c r="H533" i="20" s="1"/>
  <c r="I532" i="20"/>
  <c r="B534" i="20"/>
  <c r="I533" i="20" l="1"/>
  <c r="E534" i="20"/>
  <c r="G534" i="20" s="1"/>
  <c r="D534" i="20"/>
  <c r="H534" i="20" s="1"/>
  <c r="B535" i="20"/>
  <c r="E535" i="20" l="1"/>
  <c r="G535" i="20" s="1"/>
  <c r="D535" i="20"/>
  <c r="H535" i="20" s="1"/>
  <c r="I534" i="20"/>
  <c r="B536" i="20"/>
  <c r="E536" i="20" l="1"/>
  <c r="G536" i="20" s="1"/>
  <c r="D536" i="20"/>
  <c r="H536" i="20" s="1"/>
  <c r="B537" i="20"/>
  <c r="I535" i="20"/>
  <c r="E537" i="20" l="1"/>
  <c r="G537" i="20" s="1"/>
  <c r="D537" i="20"/>
  <c r="H537" i="20" s="1"/>
  <c r="I536" i="20"/>
  <c r="B538" i="20"/>
  <c r="E538" i="20" l="1"/>
  <c r="G538" i="20" s="1"/>
  <c r="D538" i="20"/>
  <c r="H538" i="20" s="1"/>
  <c r="I537" i="20"/>
  <c r="B539" i="20"/>
  <c r="I538" i="20" l="1"/>
  <c r="E539" i="20"/>
  <c r="G539" i="20" s="1"/>
  <c r="D539" i="20"/>
  <c r="H539" i="20" s="1"/>
  <c r="B540" i="20"/>
  <c r="E540" i="20" l="1"/>
  <c r="G540" i="20" s="1"/>
  <c r="D540" i="20"/>
  <c r="H540" i="20" s="1"/>
  <c r="B541" i="20"/>
  <c r="I539" i="20"/>
  <c r="E541" i="20" l="1"/>
  <c r="G541" i="20" s="1"/>
  <c r="D541" i="20"/>
  <c r="H541" i="20" s="1"/>
  <c r="I540" i="20"/>
  <c r="B542" i="20"/>
  <c r="I541" i="20" l="1"/>
  <c r="E542" i="20"/>
  <c r="G542" i="20" s="1"/>
  <c r="D542" i="20"/>
  <c r="H542" i="20" s="1"/>
  <c r="B543" i="20"/>
  <c r="E543" i="20" l="1"/>
  <c r="G543" i="20" s="1"/>
  <c r="D543" i="20"/>
  <c r="H543" i="20" s="1"/>
  <c r="I542" i="20"/>
  <c r="B544" i="20"/>
  <c r="E544" i="20" l="1"/>
  <c r="G544" i="20" s="1"/>
  <c r="D544" i="20"/>
  <c r="H544" i="20" s="1"/>
  <c r="B545" i="20"/>
  <c r="I543" i="20"/>
  <c r="E545" i="20" l="1"/>
  <c r="G545" i="20" s="1"/>
  <c r="D545" i="20"/>
  <c r="H545" i="20" s="1"/>
  <c r="I544" i="20"/>
  <c r="B546" i="20"/>
  <c r="I545" i="20" l="1"/>
  <c r="E546" i="20"/>
  <c r="G546" i="20" s="1"/>
  <c r="D546" i="20"/>
  <c r="H546" i="20" s="1"/>
  <c r="B547" i="20"/>
  <c r="E547" i="20" l="1"/>
  <c r="G547" i="20" s="1"/>
  <c r="D547" i="20"/>
  <c r="H547" i="20" s="1"/>
  <c r="I546" i="20"/>
  <c r="B548" i="20"/>
  <c r="E548" i="20" l="1"/>
  <c r="G548" i="20" s="1"/>
  <c r="D548" i="20"/>
  <c r="H548" i="20" s="1"/>
  <c r="B549" i="20"/>
  <c r="I547" i="20"/>
  <c r="E549" i="20" l="1"/>
  <c r="G549" i="20" s="1"/>
  <c r="D549" i="20"/>
  <c r="H549" i="20" s="1"/>
  <c r="I548" i="20"/>
  <c r="B550" i="20"/>
  <c r="I549" i="20" l="1"/>
  <c r="D550" i="20"/>
  <c r="H550" i="20" s="1"/>
  <c r="E550" i="20"/>
  <c r="G550" i="20" s="1"/>
  <c r="B551" i="20"/>
  <c r="E551" i="20" l="1"/>
  <c r="G551" i="20" s="1"/>
  <c r="D551" i="20"/>
  <c r="H551" i="20" s="1"/>
  <c r="I550" i="20"/>
  <c r="B552" i="20"/>
  <c r="E552" i="20" l="1"/>
  <c r="G552" i="20" s="1"/>
  <c r="D552" i="20"/>
  <c r="H552" i="20" s="1"/>
  <c r="B553" i="20"/>
  <c r="I551" i="20"/>
  <c r="E553" i="20" l="1"/>
  <c r="G553" i="20" s="1"/>
  <c r="D553" i="20"/>
  <c r="H553" i="20" s="1"/>
  <c r="I552" i="20"/>
  <c r="B554" i="20"/>
  <c r="I553" i="20" l="1"/>
  <c r="E554" i="20"/>
  <c r="G554" i="20" s="1"/>
  <c r="D554" i="20"/>
  <c r="H554" i="20" s="1"/>
  <c r="B555" i="20"/>
  <c r="D555" i="20" l="1"/>
  <c r="H555" i="20" s="1"/>
  <c r="E555" i="20"/>
  <c r="G555" i="20" s="1"/>
  <c r="I554" i="20"/>
  <c r="B556" i="20"/>
  <c r="E556" i="20" l="1"/>
  <c r="G556" i="20" s="1"/>
  <c r="D556" i="20"/>
  <c r="H556" i="20" s="1"/>
  <c r="B557" i="20"/>
  <c r="I555" i="20"/>
  <c r="D557" i="20" l="1"/>
  <c r="H557" i="20" s="1"/>
  <c r="E557" i="20"/>
  <c r="G557" i="20" s="1"/>
  <c r="I556" i="20"/>
  <c r="B558" i="20"/>
  <c r="I557" i="20" l="1"/>
  <c r="D558" i="20"/>
  <c r="H558" i="20" s="1"/>
  <c r="E558" i="20"/>
  <c r="G558" i="20" s="1"/>
  <c r="B559" i="20"/>
  <c r="I558" i="20" l="1"/>
  <c r="E559" i="20"/>
  <c r="G559" i="20" s="1"/>
  <c r="D559" i="20"/>
  <c r="H559" i="20" s="1"/>
  <c r="B560" i="20"/>
  <c r="E560" i="20" l="1"/>
  <c r="G560" i="20" s="1"/>
  <c r="D560" i="20"/>
  <c r="H560" i="20" s="1"/>
  <c r="B561" i="20"/>
  <c r="I559" i="20"/>
  <c r="D561" i="20" l="1"/>
  <c r="H561" i="20" s="1"/>
  <c r="E561" i="20"/>
  <c r="G561" i="20" s="1"/>
  <c r="I560" i="20"/>
  <c r="B562" i="20"/>
  <c r="E562" i="20" l="1"/>
  <c r="G562" i="20" s="1"/>
  <c r="D562" i="20"/>
  <c r="H562" i="20" s="1"/>
  <c r="I561" i="20"/>
  <c r="B563" i="20"/>
  <c r="I562" i="20" l="1"/>
  <c r="D563" i="20"/>
  <c r="H563" i="20" s="1"/>
  <c r="E563" i="20"/>
  <c r="G563" i="20" s="1"/>
  <c r="B564" i="20"/>
  <c r="D564" i="20" l="1"/>
  <c r="H564" i="20" s="1"/>
  <c r="E564" i="20"/>
  <c r="G564" i="20" s="1"/>
  <c r="B565" i="20"/>
  <c r="I563" i="20"/>
  <c r="D565" i="20" l="1"/>
  <c r="H565" i="20" s="1"/>
  <c r="E565" i="20"/>
  <c r="G565" i="20" s="1"/>
  <c r="I564" i="20"/>
  <c r="B566" i="20"/>
  <c r="I565" i="20" l="1"/>
  <c r="D566" i="20"/>
  <c r="H566" i="20" s="1"/>
  <c r="E566" i="20"/>
  <c r="G566" i="20" s="1"/>
  <c r="B567" i="20"/>
  <c r="E567" i="20" l="1"/>
  <c r="G567" i="20" s="1"/>
  <c r="D567" i="20"/>
  <c r="H567" i="20" s="1"/>
  <c r="I566" i="20"/>
  <c r="B568" i="20"/>
  <c r="E568" i="20" l="1"/>
  <c r="G568" i="20" s="1"/>
  <c r="D568" i="20"/>
  <c r="H568" i="20" s="1"/>
  <c r="B569" i="20"/>
  <c r="I567" i="20"/>
  <c r="E569" i="20" l="1"/>
  <c r="G569" i="20" s="1"/>
  <c r="D569" i="20"/>
  <c r="H569" i="20" s="1"/>
  <c r="I568" i="20"/>
  <c r="B570" i="20"/>
  <c r="I569" i="20" l="1"/>
  <c r="E570" i="20"/>
  <c r="G570" i="20" s="1"/>
  <c r="D570" i="20"/>
  <c r="H570" i="20" s="1"/>
  <c r="B571" i="20"/>
  <c r="I570" i="20" l="1"/>
  <c r="E571" i="20"/>
  <c r="G571" i="20" s="1"/>
  <c r="D571" i="20"/>
  <c r="H571" i="20" s="1"/>
  <c r="B572" i="20"/>
  <c r="E572" i="20" l="1"/>
  <c r="G572" i="20" s="1"/>
  <c r="D572" i="20"/>
  <c r="H572" i="20" s="1"/>
  <c r="B573" i="20"/>
  <c r="I571" i="20"/>
  <c r="E573" i="20" l="1"/>
  <c r="G573" i="20" s="1"/>
  <c r="D573" i="20"/>
  <c r="H573" i="20" s="1"/>
  <c r="I572" i="20"/>
  <c r="B574" i="20"/>
  <c r="I573" i="20" l="1"/>
  <c r="E574" i="20"/>
  <c r="G574" i="20" s="1"/>
  <c r="D574" i="20"/>
  <c r="H574" i="20" s="1"/>
  <c r="B575" i="20"/>
  <c r="I574" i="20" l="1"/>
  <c r="E575" i="20"/>
  <c r="G575" i="20" s="1"/>
  <c r="D575" i="20"/>
  <c r="H575" i="20" s="1"/>
  <c r="B576" i="20"/>
  <c r="E576" i="20" l="1"/>
  <c r="G576" i="20" s="1"/>
  <c r="D576" i="20"/>
  <c r="H576" i="20" s="1"/>
  <c r="I575" i="20"/>
  <c r="B577" i="20"/>
  <c r="I576" i="20" l="1"/>
  <c r="D577" i="20"/>
  <c r="H577" i="20" s="1"/>
  <c r="E577" i="20"/>
  <c r="G577" i="20" s="1"/>
  <c r="B578" i="20"/>
  <c r="I577" i="20" l="1"/>
  <c r="D578" i="20"/>
  <c r="H578" i="20" s="1"/>
  <c r="E578" i="20"/>
  <c r="G578" i="20" s="1"/>
  <c r="B579" i="20"/>
  <c r="I578" i="20" l="1"/>
  <c r="E579" i="20"/>
  <c r="G579" i="20" s="1"/>
  <c r="D579" i="20"/>
  <c r="H579" i="20" s="1"/>
  <c r="B580" i="20"/>
  <c r="E580" i="20" l="1"/>
  <c r="G580" i="20" s="1"/>
  <c r="D580" i="20"/>
  <c r="H580" i="20" s="1"/>
  <c r="B581" i="20"/>
  <c r="I579" i="20"/>
  <c r="E581" i="20" l="1"/>
  <c r="G581" i="20" s="1"/>
  <c r="D581" i="20"/>
  <c r="H581" i="20" s="1"/>
  <c r="I580" i="20"/>
  <c r="B582" i="20"/>
  <c r="E582" i="20" l="1"/>
  <c r="G582" i="20" s="1"/>
  <c r="D582" i="20"/>
  <c r="H582" i="20" s="1"/>
  <c r="I581" i="20"/>
  <c r="B583" i="20"/>
  <c r="E583" i="20" l="1"/>
  <c r="G583" i="20" s="1"/>
  <c r="D583" i="20"/>
  <c r="H583" i="20" s="1"/>
  <c r="I582" i="20"/>
  <c r="B584" i="20"/>
  <c r="E584" i="20" l="1"/>
  <c r="G584" i="20" s="1"/>
  <c r="D584" i="20"/>
  <c r="H584" i="20" s="1"/>
  <c r="B585" i="20"/>
  <c r="I583" i="20"/>
  <c r="I584" i="20" l="1"/>
  <c r="E585" i="20"/>
  <c r="G585" i="20" s="1"/>
  <c r="D585" i="20"/>
  <c r="H585" i="20" s="1"/>
  <c r="B586" i="20"/>
  <c r="I585" i="20" l="1"/>
  <c r="E586" i="20"/>
  <c r="G586" i="20" s="1"/>
  <c r="D586" i="20"/>
  <c r="H586" i="20" s="1"/>
  <c r="B587" i="20"/>
  <c r="I586" i="20" l="1"/>
  <c r="E587" i="20"/>
  <c r="G587" i="20" s="1"/>
  <c r="D587" i="20"/>
  <c r="H587" i="20" s="1"/>
  <c r="B588" i="20"/>
  <c r="E588" i="20" l="1"/>
  <c r="G588" i="20" s="1"/>
  <c r="D588" i="20"/>
  <c r="H588" i="20" s="1"/>
  <c r="B589" i="20"/>
  <c r="I587" i="20"/>
  <c r="E589" i="20" l="1"/>
  <c r="G589" i="20" s="1"/>
  <c r="D589" i="20"/>
  <c r="H589" i="20" s="1"/>
  <c r="I588" i="20"/>
  <c r="B590" i="20"/>
  <c r="I589" i="20" l="1"/>
  <c r="E590" i="20"/>
  <c r="G590" i="20" s="1"/>
  <c r="D590" i="20"/>
  <c r="H590" i="20" s="1"/>
  <c r="B591" i="20"/>
  <c r="I590" i="20" l="1"/>
  <c r="E591" i="20"/>
  <c r="G591" i="20" s="1"/>
  <c r="D591" i="20"/>
  <c r="H591" i="20" s="1"/>
  <c r="B592" i="20"/>
  <c r="E592" i="20" l="1"/>
  <c r="G592" i="20" s="1"/>
  <c r="D592" i="20"/>
  <c r="H592" i="20" s="1"/>
  <c r="B593" i="20"/>
  <c r="I591" i="20"/>
  <c r="E593" i="20" l="1"/>
  <c r="G593" i="20" s="1"/>
  <c r="D593" i="20"/>
  <c r="H593" i="20" s="1"/>
  <c r="I592" i="20"/>
  <c r="B594" i="20"/>
  <c r="E594" i="20" l="1"/>
  <c r="G594" i="20" s="1"/>
  <c r="D594" i="20"/>
  <c r="H594" i="20" s="1"/>
  <c r="I593" i="20"/>
  <c r="B595" i="20"/>
  <c r="I594" i="20" l="1"/>
  <c r="E595" i="20"/>
  <c r="G595" i="20" s="1"/>
  <c r="D595" i="20"/>
  <c r="H595" i="20" s="1"/>
  <c r="B596" i="20"/>
  <c r="E596" i="20" l="1"/>
  <c r="G596" i="20" s="1"/>
  <c r="D596" i="20"/>
  <c r="H596" i="20" s="1"/>
  <c r="B597" i="20"/>
  <c r="I595" i="20"/>
  <c r="E597" i="20" l="1"/>
  <c r="G597" i="20" s="1"/>
  <c r="D597" i="20"/>
  <c r="H597" i="20" s="1"/>
  <c r="I596" i="20"/>
  <c r="B598" i="20"/>
  <c r="E598" i="20" l="1"/>
  <c r="G598" i="20" s="1"/>
  <c r="D598" i="20"/>
  <c r="H598" i="20" s="1"/>
  <c r="I597" i="20"/>
  <c r="B599" i="20"/>
  <c r="I598" i="20" l="1"/>
  <c r="E599" i="20"/>
  <c r="G599" i="20" s="1"/>
  <c r="D599" i="20"/>
  <c r="H599" i="20" s="1"/>
  <c r="B600" i="20"/>
  <c r="E600" i="20" l="1"/>
  <c r="G600" i="20" s="1"/>
  <c r="D600" i="20"/>
  <c r="H600" i="20" s="1"/>
  <c r="B601" i="20"/>
  <c r="I599" i="20"/>
  <c r="E601" i="20" l="1"/>
  <c r="G601" i="20" s="1"/>
  <c r="D601" i="20"/>
  <c r="H601" i="20" s="1"/>
  <c r="I600" i="20"/>
  <c r="B602" i="20"/>
  <c r="D602" i="20" l="1"/>
  <c r="H602" i="20" s="1"/>
  <c r="E602" i="20"/>
  <c r="G602" i="20" s="1"/>
  <c r="I601" i="20"/>
  <c r="B603" i="20"/>
  <c r="D603" i="20" l="1"/>
  <c r="H603" i="20" s="1"/>
  <c r="E603" i="20"/>
  <c r="G603" i="20" s="1"/>
  <c r="I602" i="20"/>
  <c r="B604" i="20"/>
  <c r="D604" i="20" l="1"/>
  <c r="H604" i="20" s="1"/>
  <c r="E604" i="20"/>
  <c r="G604" i="20" s="1"/>
  <c r="B605" i="20"/>
  <c r="I603" i="20"/>
  <c r="D605" i="20" l="1"/>
  <c r="H605" i="20" s="1"/>
  <c r="E605" i="20"/>
  <c r="G605" i="20" s="1"/>
  <c r="I604" i="20"/>
  <c r="B606" i="20"/>
  <c r="I605" i="20" l="1"/>
  <c r="D606" i="20"/>
  <c r="H606" i="20" s="1"/>
  <c r="E606" i="20"/>
  <c r="G606" i="20" s="1"/>
  <c r="B607" i="20"/>
  <c r="E607" i="20" l="1"/>
  <c r="G607" i="20" s="1"/>
  <c r="D607" i="20"/>
  <c r="H607" i="20" s="1"/>
  <c r="I606" i="20"/>
  <c r="B608" i="20"/>
  <c r="D608" i="20" l="1"/>
  <c r="H608" i="20" s="1"/>
  <c r="E608" i="20"/>
  <c r="G608" i="20" s="1"/>
  <c r="I607" i="20"/>
  <c r="B609" i="20"/>
  <c r="D609" i="20" l="1"/>
  <c r="H609" i="20" s="1"/>
  <c r="E609" i="20"/>
  <c r="G609" i="20" s="1"/>
  <c r="I608" i="20"/>
  <c r="B610" i="20"/>
  <c r="E610" i="20" l="1"/>
  <c r="G610" i="20" s="1"/>
  <c r="D610" i="20"/>
  <c r="H610" i="20" s="1"/>
  <c r="I609" i="20"/>
  <c r="B611" i="20"/>
  <c r="E611" i="20" l="1"/>
  <c r="G611" i="20" s="1"/>
  <c r="D611" i="20"/>
  <c r="H611" i="20" s="1"/>
  <c r="I610" i="20"/>
  <c r="B612" i="20"/>
  <c r="I611" i="20" l="1"/>
  <c r="E612" i="20"/>
  <c r="G612" i="20" s="1"/>
  <c r="D612" i="20"/>
  <c r="H612" i="20" s="1"/>
  <c r="B613" i="20"/>
  <c r="D613" i="20" l="1"/>
  <c r="H613" i="20" s="1"/>
  <c r="E613" i="20"/>
  <c r="G613" i="20" s="1"/>
  <c r="I612" i="20"/>
  <c r="B614" i="20"/>
  <c r="D614" i="20" l="1"/>
  <c r="H614" i="20" s="1"/>
  <c r="E614" i="20"/>
  <c r="G614" i="20" s="1"/>
  <c r="I613" i="20"/>
  <c r="B615" i="20"/>
  <c r="I614" i="20" l="1"/>
  <c r="D615" i="20"/>
  <c r="H615" i="20" s="1"/>
  <c r="E615" i="20"/>
  <c r="G615" i="20" s="1"/>
  <c r="B616" i="20"/>
  <c r="D616" i="20" l="1"/>
  <c r="H616" i="20" s="1"/>
  <c r="E616" i="20"/>
  <c r="G616" i="20" s="1"/>
  <c r="B617" i="20"/>
  <c r="I615" i="20"/>
  <c r="E617" i="20" l="1"/>
  <c r="G617" i="20" s="1"/>
  <c r="D617" i="20"/>
  <c r="H617" i="20" s="1"/>
  <c r="I616" i="20"/>
  <c r="B618" i="20"/>
  <c r="I617" i="20" l="1"/>
  <c r="E618" i="20"/>
  <c r="G618" i="20" s="1"/>
  <c r="D618" i="20"/>
  <c r="H618" i="20" s="1"/>
  <c r="B619" i="20"/>
  <c r="D619" i="20" l="1"/>
  <c r="H619" i="20" s="1"/>
  <c r="E619" i="20"/>
  <c r="G619" i="20" s="1"/>
  <c r="I618" i="20"/>
  <c r="B620" i="20"/>
  <c r="E620" i="20" l="1"/>
  <c r="G620" i="20" s="1"/>
  <c r="D620" i="20"/>
  <c r="H620" i="20" s="1"/>
  <c r="B621" i="20"/>
  <c r="I619" i="20"/>
  <c r="E621" i="20" l="1"/>
  <c r="G621" i="20" s="1"/>
  <c r="D621" i="20"/>
  <c r="H621" i="20" s="1"/>
  <c r="I620" i="20"/>
  <c r="B622" i="20"/>
  <c r="I621" i="20" l="1"/>
  <c r="E622" i="20"/>
  <c r="G622" i="20" s="1"/>
  <c r="D622" i="20"/>
  <c r="H622" i="20" s="1"/>
  <c r="B623" i="20"/>
  <c r="I622" i="20" l="1"/>
  <c r="E623" i="20"/>
  <c r="G623" i="20" s="1"/>
  <c r="D623" i="20"/>
  <c r="H623" i="20" s="1"/>
  <c r="B624" i="20"/>
  <c r="E624" i="20" l="1"/>
  <c r="G624" i="20" s="1"/>
  <c r="D624" i="20"/>
  <c r="H624" i="20" s="1"/>
  <c r="B625" i="20"/>
  <c r="I623" i="20"/>
  <c r="E625" i="20" l="1"/>
  <c r="G625" i="20" s="1"/>
  <c r="D625" i="20"/>
  <c r="H625" i="20" s="1"/>
  <c r="I624" i="20"/>
  <c r="B626" i="20"/>
  <c r="I625" i="20" l="1"/>
  <c r="E626" i="20"/>
  <c r="G626" i="20" s="1"/>
  <c r="D626" i="20"/>
  <c r="H626" i="20" s="1"/>
  <c r="B627" i="20"/>
  <c r="I626" i="20" l="1"/>
  <c r="D627" i="20"/>
  <c r="H627" i="20" s="1"/>
  <c r="E627" i="20"/>
  <c r="G627" i="20" s="1"/>
  <c r="B628" i="20"/>
  <c r="D628" i="20" l="1"/>
  <c r="H628" i="20" s="1"/>
  <c r="E628" i="20"/>
  <c r="G628" i="20" s="1"/>
  <c r="B629" i="20"/>
  <c r="I627" i="20"/>
  <c r="E629" i="20" l="1"/>
  <c r="G629" i="20" s="1"/>
  <c r="D629" i="20"/>
  <c r="H629" i="20" s="1"/>
  <c r="I628" i="20"/>
  <c r="B630" i="20"/>
  <c r="E630" i="20" l="1"/>
  <c r="G630" i="20" s="1"/>
  <c r="D630" i="20"/>
  <c r="H630" i="20" s="1"/>
  <c r="I629" i="20"/>
  <c r="B631" i="20"/>
  <c r="E631" i="20" l="1"/>
  <c r="G631" i="20" s="1"/>
  <c r="D631" i="20"/>
  <c r="H631" i="20" s="1"/>
  <c r="I630" i="20"/>
  <c r="B632" i="20"/>
  <c r="E632" i="20" l="1"/>
  <c r="G632" i="20" s="1"/>
  <c r="D632" i="20"/>
  <c r="H632" i="20" s="1"/>
  <c r="B633" i="20"/>
  <c r="I631" i="20"/>
  <c r="E633" i="20" l="1"/>
  <c r="G633" i="20" s="1"/>
  <c r="D633" i="20"/>
  <c r="H633" i="20" s="1"/>
  <c r="I632" i="20"/>
  <c r="B634" i="20"/>
  <c r="I633" i="20" l="1"/>
  <c r="E634" i="20"/>
  <c r="G634" i="20" s="1"/>
  <c r="D634" i="20"/>
  <c r="H634" i="20" s="1"/>
  <c r="B635" i="20"/>
  <c r="I634" i="20" l="1"/>
  <c r="E635" i="20"/>
  <c r="G635" i="20" s="1"/>
  <c r="D635" i="20"/>
  <c r="H635" i="20" s="1"/>
  <c r="B636" i="20"/>
  <c r="E636" i="20" l="1"/>
  <c r="G636" i="20" s="1"/>
  <c r="D636" i="20"/>
  <c r="H636" i="20" s="1"/>
  <c r="B637" i="20"/>
  <c r="I635" i="20"/>
  <c r="E637" i="20" l="1"/>
  <c r="G637" i="20" s="1"/>
  <c r="D637" i="20"/>
  <c r="H637" i="20" s="1"/>
  <c r="I636" i="20"/>
  <c r="B638" i="20"/>
  <c r="E638" i="20" l="1"/>
  <c r="G638" i="20" s="1"/>
  <c r="D638" i="20"/>
  <c r="H638" i="20" s="1"/>
  <c r="I637" i="20"/>
  <c r="B639" i="20"/>
  <c r="E639" i="20" l="1"/>
  <c r="G639" i="20" s="1"/>
  <c r="D639" i="20"/>
  <c r="H639" i="20" s="1"/>
  <c r="I638" i="20"/>
  <c r="B640" i="20"/>
  <c r="E640" i="20" l="1"/>
  <c r="G640" i="20" s="1"/>
  <c r="D640" i="20"/>
  <c r="H640" i="20" s="1"/>
  <c r="B641" i="20"/>
  <c r="I639" i="20"/>
  <c r="E641" i="20" l="1"/>
  <c r="G641" i="20" s="1"/>
  <c r="D641" i="20"/>
  <c r="H641" i="20" s="1"/>
  <c r="I640" i="20"/>
  <c r="B642" i="20"/>
  <c r="E642" i="20" l="1"/>
  <c r="G642" i="20" s="1"/>
  <c r="D642" i="20"/>
  <c r="H642" i="20" s="1"/>
  <c r="I641" i="20"/>
  <c r="B643" i="20"/>
  <c r="I642" i="20" l="1"/>
  <c r="E643" i="20"/>
  <c r="G643" i="20" s="1"/>
  <c r="D643" i="20"/>
  <c r="H643" i="20" s="1"/>
  <c r="B644" i="20"/>
  <c r="E644" i="20" l="1"/>
  <c r="G644" i="20" s="1"/>
  <c r="D644" i="20"/>
  <c r="H644" i="20" s="1"/>
  <c r="B645" i="20"/>
  <c r="I643" i="20"/>
  <c r="E645" i="20" l="1"/>
  <c r="G645" i="20" s="1"/>
  <c r="D645" i="20"/>
  <c r="H645" i="20" s="1"/>
  <c r="I644" i="20"/>
  <c r="B646" i="20"/>
  <c r="E646" i="20" l="1"/>
  <c r="G646" i="20" s="1"/>
  <c r="D646" i="20"/>
  <c r="H646" i="20" s="1"/>
  <c r="I645" i="20"/>
  <c r="B647" i="20"/>
  <c r="D647" i="20" l="1"/>
  <c r="H647" i="20" s="1"/>
  <c r="E647" i="20"/>
  <c r="G647" i="20" s="1"/>
  <c r="I646" i="20"/>
  <c r="B648" i="20"/>
  <c r="E648" i="20" l="1"/>
  <c r="G648" i="20" s="1"/>
  <c r="D648" i="20"/>
  <c r="H648" i="20" s="1"/>
  <c r="B649" i="20"/>
  <c r="I647" i="20"/>
  <c r="E649" i="20" l="1"/>
  <c r="G649" i="20" s="1"/>
  <c r="D649" i="20"/>
  <c r="H649" i="20" s="1"/>
  <c r="I648" i="20"/>
  <c r="B650" i="20"/>
  <c r="D650" i="20" l="1"/>
  <c r="H650" i="20" s="1"/>
  <c r="E650" i="20"/>
  <c r="G650" i="20" s="1"/>
  <c r="I649" i="20"/>
  <c r="B651" i="20"/>
  <c r="D651" i="20" l="1"/>
  <c r="H651" i="20" s="1"/>
  <c r="E651" i="20"/>
  <c r="G651" i="20" s="1"/>
  <c r="I650" i="20"/>
  <c r="B652" i="20"/>
  <c r="D652" i="20" l="1"/>
  <c r="H652" i="20" s="1"/>
  <c r="E652" i="20"/>
  <c r="G652" i="20" s="1"/>
  <c r="B653" i="20"/>
  <c r="I651" i="20"/>
  <c r="E653" i="20" l="1"/>
  <c r="G653" i="20" s="1"/>
  <c r="D653" i="20"/>
  <c r="H653" i="20" s="1"/>
  <c r="I652" i="20"/>
  <c r="B654" i="20"/>
  <c r="I653" i="20" l="1"/>
  <c r="E654" i="20"/>
  <c r="G654" i="20" s="1"/>
  <c r="D654" i="20"/>
  <c r="H654" i="20" s="1"/>
  <c r="B655" i="20"/>
  <c r="E655" i="20" l="1"/>
  <c r="G655" i="20" s="1"/>
  <c r="D655" i="20"/>
  <c r="H655" i="20" s="1"/>
  <c r="B656" i="20"/>
  <c r="I654" i="20"/>
  <c r="I655" i="20" l="1"/>
  <c r="D656" i="20"/>
  <c r="H656" i="20" s="1"/>
  <c r="E656" i="20"/>
  <c r="G656" i="20" s="1"/>
  <c r="B657" i="20"/>
  <c r="I656" i="20" l="1"/>
  <c r="D657" i="20"/>
  <c r="H657" i="20" s="1"/>
  <c r="E657" i="20"/>
  <c r="G657" i="20" s="1"/>
  <c r="B658" i="20"/>
  <c r="I657" i="20" l="1"/>
  <c r="D658" i="20"/>
  <c r="H658" i="20" s="1"/>
  <c r="E658" i="20"/>
  <c r="G658" i="20" s="1"/>
  <c r="B659" i="20"/>
  <c r="E659" i="20" l="1"/>
  <c r="G659" i="20" s="1"/>
  <c r="D659" i="20"/>
  <c r="H659" i="20" s="1"/>
  <c r="B660" i="20"/>
  <c r="I658" i="20"/>
  <c r="D660" i="20" l="1"/>
  <c r="H660" i="20" s="1"/>
  <c r="E660" i="20"/>
  <c r="G660" i="20" s="1"/>
  <c r="I659" i="20"/>
  <c r="B661" i="20"/>
  <c r="E661" i="20" l="1"/>
  <c r="G661" i="20" s="1"/>
  <c r="D661" i="20"/>
  <c r="H661" i="20" s="1"/>
  <c r="I660" i="20"/>
  <c r="B662" i="20"/>
  <c r="I661" i="20" l="1"/>
  <c r="E662" i="20"/>
  <c r="G662" i="20" s="1"/>
  <c r="D662" i="20"/>
  <c r="H662" i="20" s="1"/>
  <c r="B663" i="20"/>
  <c r="D663" i="20" l="1"/>
  <c r="H663" i="20" s="1"/>
  <c r="E663" i="20"/>
  <c r="G663" i="20" s="1"/>
  <c r="B664" i="20"/>
  <c r="I662" i="20"/>
  <c r="D664" i="20" l="1"/>
  <c r="H664" i="20" s="1"/>
  <c r="E664" i="20"/>
  <c r="G664" i="20" s="1"/>
  <c r="I663" i="20"/>
  <c r="B665" i="20"/>
  <c r="D665" i="20" l="1"/>
  <c r="H665" i="20" s="1"/>
  <c r="E665" i="20"/>
  <c r="G665" i="20" s="1"/>
  <c r="I664" i="20"/>
  <c r="B666" i="20"/>
  <c r="I665" i="20" l="1"/>
  <c r="E666" i="20"/>
  <c r="G666" i="20" s="1"/>
  <c r="D666" i="20"/>
  <c r="H666" i="20" s="1"/>
  <c r="B667" i="20"/>
  <c r="E667" i="20" l="1"/>
  <c r="G667" i="20" s="1"/>
  <c r="D667" i="20"/>
  <c r="H667" i="20" s="1"/>
  <c r="I666" i="20"/>
  <c r="B668" i="20"/>
  <c r="I667" i="20" l="1"/>
  <c r="E668" i="20"/>
  <c r="G668" i="20" s="1"/>
  <c r="D668" i="20"/>
  <c r="H668" i="20" s="1"/>
  <c r="B669" i="20"/>
  <c r="I668" i="20" l="1"/>
  <c r="E669" i="20"/>
  <c r="G669" i="20" s="1"/>
  <c r="D669" i="20"/>
  <c r="H669" i="20" s="1"/>
  <c r="B670" i="20"/>
  <c r="I669" i="20" l="1"/>
  <c r="D670" i="20"/>
  <c r="H670" i="20" s="1"/>
  <c r="E670" i="20"/>
  <c r="G670" i="20" s="1"/>
  <c r="B671" i="20"/>
  <c r="E671" i="20" l="1"/>
  <c r="G671" i="20" s="1"/>
  <c r="D671" i="20"/>
  <c r="H671" i="20" s="1"/>
  <c r="I670" i="20"/>
  <c r="B672" i="20"/>
  <c r="I671" i="20" l="1"/>
  <c r="E672" i="20"/>
  <c r="G672" i="20" s="1"/>
  <c r="D672" i="20"/>
  <c r="H672" i="20" s="1"/>
  <c r="B673" i="20"/>
  <c r="I672" i="20" l="1"/>
  <c r="E673" i="20"/>
  <c r="G673" i="20" s="1"/>
  <c r="D673" i="20"/>
  <c r="H673" i="20" s="1"/>
  <c r="B674" i="20"/>
  <c r="I673" i="20" l="1"/>
  <c r="E674" i="20"/>
  <c r="G674" i="20" s="1"/>
  <c r="D674" i="20"/>
  <c r="H674" i="20" s="1"/>
  <c r="B675" i="20"/>
  <c r="E675" i="20" l="1"/>
  <c r="G675" i="20" s="1"/>
  <c r="D675" i="20"/>
  <c r="H675" i="20" s="1"/>
  <c r="I674" i="20"/>
  <c r="B676" i="20"/>
  <c r="I675" i="20" l="1"/>
  <c r="E676" i="20"/>
  <c r="G676" i="20" s="1"/>
  <c r="D676" i="20"/>
  <c r="H676" i="20" s="1"/>
  <c r="B677" i="20"/>
  <c r="I676" i="20" l="1"/>
  <c r="E677" i="20"/>
  <c r="G677" i="20" s="1"/>
  <c r="D677" i="20"/>
  <c r="H677" i="20" s="1"/>
  <c r="B678" i="20"/>
  <c r="I677" i="20" l="1"/>
  <c r="D678" i="20"/>
  <c r="H678" i="20" s="1"/>
  <c r="E678" i="20"/>
  <c r="G678" i="20" s="1"/>
  <c r="B679" i="20"/>
  <c r="E679" i="20" l="1"/>
  <c r="G679" i="20" s="1"/>
  <c r="D679" i="20"/>
  <c r="H679" i="20" s="1"/>
  <c r="B680" i="20"/>
  <c r="I678" i="20"/>
  <c r="E680" i="20" l="1"/>
  <c r="G680" i="20" s="1"/>
  <c r="D680" i="20"/>
  <c r="H680" i="20" s="1"/>
  <c r="I679" i="20"/>
  <c r="B681" i="20"/>
  <c r="E681" i="20" l="1"/>
  <c r="G681" i="20" s="1"/>
  <c r="D681" i="20"/>
  <c r="H681" i="20" s="1"/>
  <c r="I680" i="20"/>
  <c r="B682" i="20"/>
  <c r="I681" i="20" l="1"/>
  <c r="E682" i="20"/>
  <c r="G682" i="20" s="1"/>
  <c r="D682" i="20"/>
  <c r="H682" i="20" s="1"/>
  <c r="B683" i="20"/>
  <c r="E683" i="20" l="1"/>
  <c r="G683" i="20" s="1"/>
  <c r="D683" i="20"/>
  <c r="H683" i="20" s="1"/>
  <c r="B684" i="20"/>
  <c r="I682" i="20"/>
  <c r="E684" i="20" l="1"/>
  <c r="G684" i="20" s="1"/>
  <c r="D684" i="20"/>
  <c r="H684" i="20" s="1"/>
  <c r="I683" i="20"/>
  <c r="B685" i="20"/>
  <c r="E685" i="20" l="1"/>
  <c r="G685" i="20" s="1"/>
  <c r="D685" i="20"/>
  <c r="H685" i="20" s="1"/>
  <c r="I684" i="20"/>
  <c r="B686" i="20"/>
  <c r="E686" i="20" l="1"/>
  <c r="G686" i="20" s="1"/>
  <c r="D686" i="20"/>
  <c r="H686" i="20" s="1"/>
  <c r="I685" i="20"/>
  <c r="B687" i="20"/>
  <c r="I686" i="20" l="1"/>
  <c r="E687" i="20"/>
  <c r="G687" i="20" s="1"/>
  <c r="D687" i="20"/>
  <c r="H687" i="20" s="1"/>
  <c r="B688" i="20"/>
  <c r="E688" i="20" l="1"/>
  <c r="G688" i="20" s="1"/>
  <c r="D688" i="20"/>
  <c r="H688" i="20" s="1"/>
  <c r="I687" i="20"/>
  <c r="B689" i="20"/>
  <c r="E689" i="20" l="1"/>
  <c r="G689" i="20" s="1"/>
  <c r="D689" i="20"/>
  <c r="H689" i="20" s="1"/>
  <c r="I688" i="20"/>
  <c r="B690" i="20"/>
  <c r="E690" i="20" l="1"/>
  <c r="G690" i="20" s="1"/>
  <c r="D690" i="20"/>
  <c r="H690" i="20" s="1"/>
  <c r="I689" i="20"/>
  <c r="B691" i="20"/>
  <c r="I690" i="20" l="1"/>
  <c r="E691" i="20"/>
  <c r="G691" i="20" s="1"/>
  <c r="D691" i="20"/>
  <c r="H691" i="20" s="1"/>
  <c r="B692" i="20"/>
  <c r="E692" i="20" l="1"/>
  <c r="G692" i="20" s="1"/>
  <c r="D692" i="20"/>
  <c r="H692" i="20" s="1"/>
  <c r="I691" i="20"/>
  <c r="B693" i="20"/>
  <c r="E693" i="20" l="1"/>
  <c r="G693" i="20" s="1"/>
  <c r="D693" i="20"/>
  <c r="H693" i="20" s="1"/>
  <c r="I692" i="20"/>
  <c r="B694" i="20"/>
  <c r="E694" i="20" l="1"/>
  <c r="G694" i="20" s="1"/>
  <c r="D694" i="20"/>
  <c r="H694" i="20" s="1"/>
  <c r="I693" i="20"/>
  <c r="B695" i="20"/>
  <c r="I694" i="20" l="1"/>
  <c r="E695" i="20"/>
  <c r="G695" i="20" s="1"/>
  <c r="D695" i="20"/>
  <c r="H695" i="20" s="1"/>
  <c r="B696" i="20"/>
  <c r="E696" i="20" l="1"/>
  <c r="G696" i="20" s="1"/>
  <c r="D696" i="20"/>
  <c r="H696" i="20" s="1"/>
  <c r="I695" i="20"/>
  <c r="B697" i="20"/>
  <c r="E697" i="20" l="1"/>
  <c r="G697" i="20" s="1"/>
  <c r="D697" i="20"/>
  <c r="H697" i="20" s="1"/>
  <c r="I696" i="20"/>
  <c r="B698" i="20"/>
  <c r="E698" i="20" l="1"/>
  <c r="G698" i="20" s="1"/>
  <c r="D698" i="20"/>
  <c r="H698" i="20" s="1"/>
  <c r="I697" i="20"/>
  <c r="B699" i="20"/>
  <c r="I698" i="20" l="1"/>
  <c r="E699" i="20"/>
  <c r="G699" i="20" s="1"/>
  <c r="D699" i="20"/>
  <c r="H699" i="20" s="1"/>
  <c r="B700" i="20"/>
  <c r="E700" i="20" l="1"/>
  <c r="G700" i="20" s="1"/>
  <c r="D700" i="20"/>
  <c r="H700" i="20" s="1"/>
  <c r="I699" i="20"/>
  <c r="B701" i="20"/>
  <c r="E701" i="20" l="1"/>
  <c r="G701" i="20" s="1"/>
  <c r="D701" i="20"/>
  <c r="H701" i="20" s="1"/>
  <c r="I700" i="20"/>
  <c r="B702" i="20"/>
  <c r="D702" i="20" l="1"/>
  <c r="H702" i="20" s="1"/>
  <c r="E702" i="20"/>
  <c r="G702" i="20" s="1"/>
  <c r="I701" i="20"/>
  <c r="B703" i="20"/>
  <c r="I702" i="20" l="1"/>
  <c r="E703" i="20"/>
  <c r="G703" i="20" s="1"/>
  <c r="D703" i="20"/>
  <c r="H703" i="20" s="1"/>
  <c r="B704" i="20"/>
  <c r="E704" i="20" l="1"/>
  <c r="G704" i="20" s="1"/>
  <c r="D704" i="20"/>
  <c r="H704" i="20" s="1"/>
  <c r="I703" i="20"/>
  <c r="B705" i="20"/>
  <c r="I704" i="20" l="1"/>
  <c r="E705" i="20"/>
  <c r="G705" i="20" s="1"/>
  <c r="D705" i="20"/>
  <c r="H705" i="20" s="1"/>
  <c r="B706" i="20"/>
  <c r="E706" i="20" l="1"/>
  <c r="G706" i="20" s="1"/>
  <c r="D706" i="20"/>
  <c r="H706" i="20" s="1"/>
  <c r="I705" i="20"/>
  <c r="B707" i="20"/>
  <c r="E707" i="20" l="1"/>
  <c r="G707" i="20" s="1"/>
  <c r="D707" i="20"/>
  <c r="H707" i="20" s="1"/>
  <c r="B708" i="20"/>
  <c r="I706" i="20"/>
  <c r="E708" i="20" l="1"/>
  <c r="G708" i="20" s="1"/>
  <c r="D708" i="20"/>
  <c r="H708" i="20" s="1"/>
  <c r="I707" i="20"/>
  <c r="B709" i="20"/>
  <c r="E709" i="20" l="1"/>
  <c r="G709" i="20" s="1"/>
  <c r="D709" i="20"/>
  <c r="H709" i="20" s="1"/>
  <c r="I708" i="20"/>
  <c r="B710" i="20"/>
  <c r="D710" i="20" l="1"/>
  <c r="H710" i="20" s="1"/>
  <c r="E710" i="20"/>
  <c r="G710" i="20" s="1"/>
  <c r="I709" i="20"/>
  <c r="B711" i="20"/>
  <c r="I710" i="20" l="1"/>
  <c r="D711" i="20"/>
  <c r="H711" i="20" s="1"/>
  <c r="E711" i="20"/>
  <c r="G711" i="20" s="1"/>
  <c r="B712" i="20"/>
  <c r="E712" i="20" l="1"/>
  <c r="G712" i="20" s="1"/>
  <c r="D712" i="20"/>
  <c r="H712" i="20" s="1"/>
  <c r="I711" i="20"/>
  <c r="B713" i="20"/>
  <c r="E713" i="20" l="1"/>
  <c r="G713" i="20" s="1"/>
  <c r="D713" i="20"/>
  <c r="H713" i="20" s="1"/>
  <c r="I712" i="20"/>
  <c r="B714" i="20"/>
  <c r="E714" i="20" l="1"/>
  <c r="G714" i="20" s="1"/>
  <c r="D714" i="20"/>
  <c r="H714" i="20" s="1"/>
  <c r="I713" i="20"/>
  <c r="B715" i="20"/>
  <c r="I714" i="20" l="1"/>
  <c r="E715" i="20"/>
  <c r="G715" i="20" s="1"/>
  <c r="D715" i="20"/>
  <c r="H715" i="20" s="1"/>
  <c r="B716" i="20"/>
  <c r="E716" i="20" l="1"/>
  <c r="G716" i="20" s="1"/>
  <c r="D716" i="20"/>
  <c r="H716" i="20" s="1"/>
  <c r="I715" i="20"/>
  <c r="B717" i="20"/>
  <c r="E717" i="20" l="1"/>
  <c r="G717" i="20" s="1"/>
  <c r="D717" i="20"/>
  <c r="H717" i="20" s="1"/>
  <c r="I716" i="20"/>
  <c r="B718" i="20"/>
  <c r="E718" i="20" l="1"/>
  <c r="G718" i="20" s="1"/>
  <c r="D718" i="20"/>
  <c r="H718" i="20" s="1"/>
  <c r="I717" i="20"/>
  <c r="B719" i="20"/>
  <c r="E719" i="20" l="1"/>
  <c r="G719" i="20" s="1"/>
  <c r="D719" i="20"/>
  <c r="H719" i="20" s="1"/>
  <c r="I718" i="20"/>
  <c r="B720" i="20"/>
  <c r="E720" i="20" l="1"/>
  <c r="G720" i="20" s="1"/>
  <c r="D720" i="20"/>
  <c r="H720" i="20" s="1"/>
  <c r="B721" i="20"/>
  <c r="I719" i="20"/>
  <c r="E721" i="20" l="1"/>
  <c r="G721" i="20" s="1"/>
  <c r="D721" i="20"/>
  <c r="H721" i="20" s="1"/>
  <c r="B722" i="20"/>
  <c r="I720" i="20"/>
  <c r="I721" i="20" l="1"/>
  <c r="E722" i="20"/>
  <c r="G722" i="20" s="1"/>
  <c r="D722" i="20"/>
  <c r="H722" i="20" s="1"/>
  <c r="B723" i="20"/>
  <c r="E723" i="20" l="1"/>
  <c r="G723" i="20" s="1"/>
  <c r="D723" i="20"/>
  <c r="H723" i="20" s="1"/>
  <c r="I722" i="20"/>
  <c r="B724" i="20"/>
  <c r="E724" i="20" l="1"/>
  <c r="G724" i="20" s="1"/>
  <c r="D724" i="20"/>
  <c r="H724" i="20" s="1"/>
  <c r="B725" i="20"/>
  <c r="I723" i="20"/>
  <c r="E725" i="20" l="1"/>
  <c r="G725" i="20" s="1"/>
  <c r="D725" i="20"/>
  <c r="H725" i="20" s="1"/>
  <c r="I724" i="20"/>
  <c r="B726" i="20"/>
  <c r="E726" i="20" l="1"/>
  <c r="G726" i="20" s="1"/>
  <c r="D726" i="20"/>
  <c r="H726" i="20" s="1"/>
  <c r="I725" i="20"/>
  <c r="B727" i="20"/>
  <c r="E727" i="20" l="1"/>
  <c r="G727" i="20" s="1"/>
  <c r="D727" i="20"/>
  <c r="H727" i="20" s="1"/>
  <c r="I726" i="20"/>
  <c r="B728" i="20"/>
  <c r="I727" i="20" l="1"/>
  <c r="E728" i="20"/>
  <c r="G728" i="20" s="1"/>
  <c r="D728" i="20"/>
  <c r="H728" i="20" s="1"/>
  <c r="B729" i="20"/>
  <c r="E729" i="20" l="1"/>
  <c r="G729" i="20" s="1"/>
  <c r="D729" i="20"/>
  <c r="H729" i="20" s="1"/>
  <c r="I728" i="20"/>
  <c r="B730" i="20"/>
  <c r="E730" i="20" l="1"/>
  <c r="G730" i="20" s="1"/>
  <c r="D730" i="20"/>
  <c r="H730" i="20" s="1"/>
  <c r="I729" i="20"/>
  <c r="B731" i="20"/>
  <c r="E731" i="20" l="1"/>
  <c r="G731" i="20" s="1"/>
  <c r="D731" i="20"/>
  <c r="H731" i="20" s="1"/>
  <c r="I730" i="20"/>
  <c r="B732" i="20"/>
  <c r="E732" i="20" l="1"/>
  <c r="G732" i="20" s="1"/>
  <c r="D732" i="20"/>
  <c r="H732" i="20" s="1"/>
  <c r="B733" i="20"/>
  <c r="I731" i="20"/>
  <c r="E733" i="20" l="1"/>
  <c r="G733" i="20" s="1"/>
  <c r="D733" i="20"/>
  <c r="H733" i="20" s="1"/>
  <c r="I732" i="20"/>
  <c r="B734" i="20"/>
  <c r="D734" i="20" l="1"/>
  <c r="H734" i="20" s="1"/>
  <c r="E734" i="20"/>
  <c r="G734" i="20" s="1"/>
  <c r="I733" i="20"/>
  <c r="B735" i="20"/>
  <c r="I734" i="20" l="1"/>
  <c r="E735" i="20"/>
  <c r="G735" i="20" s="1"/>
  <c r="D735" i="20"/>
  <c r="H735" i="20" s="1"/>
  <c r="B736" i="20"/>
  <c r="E736" i="20" l="1"/>
  <c r="G736" i="20" s="1"/>
  <c r="D736" i="20"/>
  <c r="H736" i="20" s="1"/>
  <c r="B737" i="20"/>
  <c r="I735" i="20"/>
  <c r="E737" i="20" l="1"/>
  <c r="G737" i="20" s="1"/>
  <c r="D737" i="20"/>
  <c r="H737" i="20" s="1"/>
  <c r="I736" i="20"/>
  <c r="B738" i="20"/>
  <c r="I737" i="20" l="1"/>
  <c r="E738" i="20"/>
  <c r="G738" i="20" s="1"/>
  <c r="D738" i="20"/>
  <c r="H738" i="20" s="1"/>
  <c r="B739" i="20"/>
  <c r="E739" i="20" l="1"/>
  <c r="G739" i="20" s="1"/>
  <c r="D739" i="20"/>
  <c r="H739" i="20" s="1"/>
  <c r="I738" i="20"/>
  <c r="B740" i="20"/>
  <c r="I739" i="20" l="1"/>
  <c r="E740" i="20"/>
  <c r="G740" i="20" s="1"/>
  <c r="D740" i="20"/>
  <c r="H740" i="20" s="1"/>
  <c r="B741" i="20"/>
  <c r="E741" i="20" l="1"/>
  <c r="G741" i="20" s="1"/>
  <c r="D741" i="20"/>
  <c r="H741" i="20" s="1"/>
  <c r="I740" i="20"/>
  <c r="B742" i="20"/>
  <c r="D742" i="20" l="1"/>
  <c r="H742" i="20" s="1"/>
  <c r="E742" i="20"/>
  <c r="G742" i="20" s="1"/>
  <c r="I741" i="20"/>
  <c r="B743" i="20"/>
  <c r="I742" i="20" l="1"/>
  <c r="E743" i="20"/>
  <c r="G743" i="20" s="1"/>
  <c r="D743" i="20"/>
  <c r="H743" i="20" s="1"/>
  <c r="B744" i="20"/>
  <c r="E744" i="20" l="1"/>
  <c r="G744" i="20" s="1"/>
  <c r="D744" i="20"/>
  <c r="H744" i="20" s="1"/>
  <c r="B745" i="20"/>
  <c r="I743" i="20"/>
  <c r="E745" i="20" l="1"/>
  <c r="G745" i="20" s="1"/>
  <c r="D745" i="20"/>
  <c r="H745" i="20" s="1"/>
  <c r="I744" i="20"/>
  <c r="B746" i="20"/>
  <c r="E746" i="20" l="1"/>
  <c r="G746" i="20" s="1"/>
  <c r="D746" i="20"/>
  <c r="H746" i="20" s="1"/>
  <c r="I745" i="20"/>
  <c r="B747" i="20"/>
  <c r="E747" i="20" l="1"/>
  <c r="G747" i="20" s="1"/>
  <c r="D747" i="20"/>
  <c r="H747" i="20" s="1"/>
  <c r="I746" i="20"/>
  <c r="B748" i="20"/>
  <c r="E748" i="20" l="1"/>
  <c r="G748" i="20" s="1"/>
  <c r="D748" i="20"/>
  <c r="H748" i="20" s="1"/>
  <c r="B749" i="20"/>
  <c r="I747" i="20"/>
  <c r="E749" i="20" l="1"/>
  <c r="G749" i="20" s="1"/>
  <c r="D749" i="20"/>
  <c r="H749" i="20" s="1"/>
  <c r="I748" i="20"/>
  <c r="B750" i="20"/>
  <c r="E750" i="20" l="1"/>
  <c r="G750" i="20" s="1"/>
  <c r="D750" i="20"/>
  <c r="H750" i="20" s="1"/>
  <c r="I749" i="20"/>
  <c r="B751" i="20"/>
  <c r="E751" i="20" l="1"/>
  <c r="G751" i="20" s="1"/>
  <c r="D751" i="20"/>
  <c r="H751" i="20" s="1"/>
  <c r="I750" i="20"/>
  <c r="B752" i="20"/>
  <c r="E752" i="20" l="1"/>
  <c r="G752" i="20" s="1"/>
  <c r="D752" i="20"/>
  <c r="H752" i="20" s="1"/>
  <c r="B753" i="20"/>
  <c r="I751" i="20"/>
  <c r="E753" i="20" l="1"/>
  <c r="G753" i="20" s="1"/>
  <c r="D753" i="20"/>
  <c r="H753" i="20" s="1"/>
  <c r="I752" i="20"/>
  <c r="B754" i="20"/>
  <c r="E754" i="20" l="1"/>
  <c r="G754" i="20" s="1"/>
  <c r="D754" i="20"/>
  <c r="H754" i="20" s="1"/>
  <c r="I753" i="20"/>
  <c r="B755" i="20"/>
  <c r="E755" i="20" l="1"/>
  <c r="G755" i="20" s="1"/>
  <c r="D755" i="20"/>
  <c r="H755" i="20" s="1"/>
  <c r="I754" i="20"/>
  <c r="B756" i="20"/>
  <c r="E756" i="20" l="1"/>
  <c r="G756" i="20" s="1"/>
  <c r="D756" i="20"/>
  <c r="H756" i="20" s="1"/>
  <c r="B757" i="20"/>
  <c r="I755" i="20"/>
  <c r="E757" i="20" l="1"/>
  <c r="G757" i="20" s="1"/>
  <c r="D757" i="20"/>
  <c r="H757" i="20" s="1"/>
  <c r="I756" i="20"/>
  <c r="B758" i="20"/>
  <c r="E758" i="20" l="1"/>
  <c r="G758" i="20" s="1"/>
  <c r="D758" i="20"/>
  <c r="H758" i="20" s="1"/>
  <c r="I757" i="20"/>
  <c r="B759" i="20"/>
  <c r="E759" i="20" l="1"/>
  <c r="G759" i="20" s="1"/>
  <c r="D759" i="20"/>
  <c r="H759" i="20" s="1"/>
  <c r="I758" i="20"/>
  <c r="B760" i="20"/>
  <c r="I759" i="20" l="1"/>
  <c r="E760" i="20"/>
  <c r="G760" i="20" s="1"/>
  <c r="D760" i="20"/>
  <c r="H760" i="20" s="1"/>
  <c r="B761" i="20"/>
  <c r="E761" i="20" l="1"/>
  <c r="G761" i="20" s="1"/>
  <c r="D761" i="20"/>
  <c r="H761" i="20" s="1"/>
  <c r="B762" i="20"/>
  <c r="I760" i="20"/>
  <c r="I761" i="20" l="1"/>
  <c r="E762" i="20"/>
  <c r="G762" i="20" s="1"/>
  <c r="D762" i="20"/>
  <c r="H762" i="20" s="1"/>
  <c r="B763" i="20"/>
  <c r="I762" i="20" l="1"/>
  <c r="E763" i="20"/>
  <c r="G763" i="20" s="1"/>
  <c r="D763" i="20"/>
  <c r="H763" i="20" s="1"/>
  <c r="B764" i="20"/>
  <c r="E764" i="20" l="1"/>
  <c r="G764" i="20" s="1"/>
  <c r="D764" i="20"/>
  <c r="H764" i="20" s="1"/>
  <c r="B765" i="20"/>
  <c r="I763" i="20"/>
  <c r="E765" i="20" l="1"/>
  <c r="G765" i="20" s="1"/>
  <c r="D765" i="20"/>
  <c r="H765" i="20" s="1"/>
  <c r="I764" i="20"/>
  <c r="B766" i="20"/>
  <c r="D766" i="20" l="1"/>
  <c r="H766" i="20" s="1"/>
  <c r="E766" i="20"/>
  <c r="G766" i="20" s="1"/>
  <c r="I765" i="20"/>
  <c r="B767" i="20"/>
  <c r="E767" i="20" l="1"/>
  <c r="G767" i="20" s="1"/>
  <c r="D767" i="20"/>
  <c r="H767" i="20" s="1"/>
  <c r="I766" i="20"/>
  <c r="B768" i="20"/>
  <c r="E768" i="20" l="1"/>
  <c r="G768" i="20" s="1"/>
  <c r="D768" i="20"/>
  <c r="H768" i="20" s="1"/>
  <c r="B769" i="20"/>
  <c r="I767" i="20"/>
  <c r="E769" i="20" l="1"/>
  <c r="G769" i="20" s="1"/>
  <c r="D769" i="20"/>
  <c r="H769" i="20" s="1"/>
  <c r="I768" i="20"/>
  <c r="B770" i="20"/>
  <c r="E770" i="20" l="1"/>
  <c r="G770" i="20" s="1"/>
  <c r="D770" i="20"/>
  <c r="H770" i="20" s="1"/>
  <c r="I769" i="20"/>
  <c r="B771" i="20"/>
  <c r="E771" i="20" l="1"/>
  <c r="G771" i="20" s="1"/>
  <c r="D771" i="20"/>
  <c r="H771" i="20" s="1"/>
  <c r="I770" i="20"/>
  <c r="B772" i="20"/>
  <c r="I771" i="20" l="1"/>
  <c r="E772" i="20"/>
  <c r="G772" i="20" s="1"/>
  <c r="D772" i="20"/>
  <c r="H772" i="20" s="1"/>
  <c r="B773" i="20"/>
  <c r="E773" i="20" l="1"/>
  <c r="G773" i="20" s="1"/>
  <c r="D773" i="20"/>
  <c r="H773" i="20" s="1"/>
  <c r="I772" i="20"/>
  <c r="B774" i="20"/>
  <c r="D774" i="20" l="1"/>
  <c r="H774" i="20" s="1"/>
  <c r="E774" i="20"/>
  <c r="G774" i="20" s="1"/>
  <c r="I773" i="20"/>
  <c r="B775" i="20"/>
  <c r="D775" i="20" l="1"/>
  <c r="H775" i="20" s="1"/>
  <c r="E775" i="20"/>
  <c r="G775" i="20" s="1"/>
  <c r="I774" i="20"/>
  <c r="B776" i="20"/>
  <c r="E776" i="20" l="1"/>
  <c r="G776" i="20" s="1"/>
  <c r="D776" i="20"/>
  <c r="H776" i="20" s="1"/>
  <c r="B777" i="20"/>
  <c r="I775" i="20"/>
  <c r="E777" i="20" l="1"/>
  <c r="G777" i="20" s="1"/>
  <c r="D777" i="20"/>
  <c r="H777" i="20" s="1"/>
  <c r="I776" i="20"/>
  <c r="B778" i="20"/>
  <c r="E778" i="20" l="1"/>
  <c r="G778" i="20" s="1"/>
  <c r="D778" i="20"/>
  <c r="H778" i="20" s="1"/>
  <c r="I777" i="20"/>
  <c r="B779" i="20"/>
  <c r="E779" i="20" l="1"/>
  <c r="G779" i="20" s="1"/>
  <c r="D779" i="20"/>
  <c r="H779" i="20" s="1"/>
  <c r="I778" i="20"/>
  <c r="B780" i="20"/>
  <c r="I779" i="20" l="1"/>
  <c r="E780" i="20"/>
  <c r="G780" i="20" s="1"/>
  <c r="D780" i="20"/>
  <c r="H780" i="20" s="1"/>
  <c r="B781" i="20"/>
  <c r="E781" i="20" l="1"/>
  <c r="G781" i="20" s="1"/>
  <c r="D781" i="20"/>
  <c r="H781" i="20" s="1"/>
  <c r="I780" i="20"/>
  <c r="B782" i="20"/>
  <c r="I781" i="20" l="1"/>
  <c r="E782" i="20"/>
  <c r="G782" i="20" s="1"/>
  <c r="D782" i="20"/>
  <c r="H782" i="20" s="1"/>
  <c r="B783" i="20"/>
  <c r="E783" i="20" l="1"/>
  <c r="G783" i="20" s="1"/>
  <c r="D783" i="20"/>
  <c r="H783" i="20" s="1"/>
  <c r="I782" i="20"/>
  <c r="B784" i="20"/>
  <c r="I783" i="20" l="1"/>
  <c r="E784" i="20"/>
  <c r="G784" i="20" s="1"/>
  <c r="D784" i="20"/>
  <c r="H784" i="20" s="1"/>
  <c r="B785" i="20"/>
  <c r="E785" i="20" l="1"/>
  <c r="G785" i="20" s="1"/>
  <c r="D785" i="20"/>
  <c r="H785" i="20" s="1"/>
  <c r="I784" i="20"/>
  <c r="B786" i="20"/>
  <c r="I785" i="20" l="1"/>
  <c r="E786" i="20"/>
  <c r="G786" i="20" s="1"/>
  <c r="D786" i="20"/>
  <c r="H786" i="20" s="1"/>
  <c r="B787" i="20"/>
  <c r="E787" i="20" l="1"/>
  <c r="G787" i="20" s="1"/>
  <c r="D787" i="20"/>
  <c r="H787" i="20" s="1"/>
  <c r="I786" i="20"/>
  <c r="B788" i="20"/>
  <c r="E788" i="20" l="1"/>
  <c r="G788" i="20" s="1"/>
  <c r="D788" i="20"/>
  <c r="H788" i="20" s="1"/>
  <c r="I787" i="20"/>
  <c r="B789" i="20"/>
  <c r="E789" i="20" l="1"/>
  <c r="G789" i="20" s="1"/>
  <c r="D789" i="20"/>
  <c r="H789" i="20" s="1"/>
  <c r="I788" i="20"/>
  <c r="B790" i="20"/>
  <c r="I789" i="20" l="1"/>
  <c r="E790" i="20"/>
  <c r="G790" i="20" s="1"/>
  <c r="D790" i="20"/>
  <c r="H790" i="20" s="1"/>
  <c r="B791" i="20"/>
  <c r="E791" i="20" l="1"/>
  <c r="G791" i="20" s="1"/>
  <c r="D791" i="20"/>
  <c r="H791" i="20" s="1"/>
  <c r="I790" i="20"/>
  <c r="B792" i="20"/>
  <c r="D792" i="20" l="1"/>
  <c r="H792" i="20" s="1"/>
  <c r="E792" i="20"/>
  <c r="G792" i="20" s="1"/>
  <c r="B793" i="20"/>
  <c r="I791" i="20"/>
  <c r="E793" i="20" l="1"/>
  <c r="G793" i="20" s="1"/>
  <c r="D793" i="20"/>
  <c r="H793" i="20" s="1"/>
  <c r="I792" i="20"/>
  <c r="B794" i="20"/>
  <c r="I793" i="20" l="1"/>
  <c r="D794" i="20"/>
  <c r="H794" i="20" s="1"/>
  <c r="E794" i="20"/>
  <c r="G794" i="20" s="1"/>
  <c r="B795" i="20"/>
  <c r="D795" i="20" l="1"/>
  <c r="H795" i="20" s="1"/>
  <c r="E795" i="20"/>
  <c r="G795" i="20" s="1"/>
  <c r="I794" i="20"/>
  <c r="B796" i="20"/>
  <c r="E796" i="20" l="1"/>
  <c r="G796" i="20" s="1"/>
  <c r="D796" i="20"/>
  <c r="H796" i="20" s="1"/>
  <c r="I795" i="20"/>
  <c r="B797" i="20"/>
  <c r="E797" i="20" l="1"/>
  <c r="G797" i="20" s="1"/>
  <c r="D797" i="20"/>
  <c r="H797" i="20" s="1"/>
  <c r="I796" i="20"/>
  <c r="B798" i="20"/>
  <c r="I797" i="20" l="1"/>
  <c r="E798" i="20"/>
  <c r="G798" i="20" s="1"/>
  <c r="D798" i="20"/>
  <c r="H798" i="20" s="1"/>
  <c r="B799" i="20"/>
  <c r="D799" i="20" l="1"/>
  <c r="H799" i="20" s="1"/>
  <c r="E799" i="20"/>
  <c r="G799" i="20" s="1"/>
  <c r="I798" i="20"/>
  <c r="B800" i="20"/>
  <c r="D800" i="20" l="1"/>
  <c r="H800" i="20" s="1"/>
  <c r="E800" i="20"/>
  <c r="G800" i="20" s="1"/>
  <c r="I799" i="20"/>
  <c r="B801" i="20"/>
  <c r="E801" i="20" l="1"/>
  <c r="G801" i="20" s="1"/>
  <c r="D801" i="20"/>
  <c r="H801" i="20" s="1"/>
  <c r="I800" i="20"/>
  <c r="B802" i="20"/>
  <c r="I801" i="20" l="1"/>
  <c r="D802" i="20"/>
  <c r="H802" i="20" s="1"/>
  <c r="E802" i="20"/>
  <c r="G802" i="20" s="1"/>
  <c r="B803" i="20"/>
  <c r="E803" i="20" l="1"/>
  <c r="G803" i="20" s="1"/>
  <c r="D803" i="20"/>
  <c r="H803" i="20" s="1"/>
  <c r="I802" i="20"/>
  <c r="B804" i="20"/>
  <c r="E804" i="20" l="1"/>
  <c r="G804" i="20" s="1"/>
  <c r="D804" i="20"/>
  <c r="H804" i="20" s="1"/>
  <c r="I803" i="20"/>
  <c r="B805" i="20"/>
  <c r="D805" i="20" l="1"/>
  <c r="H805" i="20" s="1"/>
  <c r="E805" i="20"/>
  <c r="G805" i="20" s="1"/>
  <c r="B806" i="20"/>
  <c r="I804" i="20"/>
  <c r="I805" i="20" l="1"/>
  <c r="D806" i="20"/>
  <c r="H806" i="20" s="1"/>
  <c r="E806" i="20"/>
  <c r="G806" i="20" s="1"/>
  <c r="B807" i="20"/>
  <c r="E807" i="20" l="1"/>
  <c r="G807" i="20" s="1"/>
  <c r="D807" i="20"/>
  <c r="H807" i="20" s="1"/>
  <c r="I806" i="20"/>
  <c r="B808" i="20"/>
  <c r="E808" i="20" l="1"/>
  <c r="G808" i="20" s="1"/>
  <c r="D808" i="20"/>
  <c r="H808" i="20" s="1"/>
  <c r="B809" i="20"/>
  <c r="I807" i="20"/>
  <c r="E809" i="20" l="1"/>
  <c r="G809" i="20" s="1"/>
  <c r="D809" i="20"/>
  <c r="H809" i="20" s="1"/>
  <c r="I808" i="20"/>
  <c r="B810" i="20"/>
  <c r="I809" i="20" l="1"/>
  <c r="E810" i="20"/>
  <c r="G810" i="20" s="1"/>
  <c r="D810" i="20"/>
  <c r="H810" i="20" s="1"/>
  <c r="B811" i="20"/>
  <c r="E811" i="20" l="1"/>
  <c r="G811" i="20" s="1"/>
  <c r="D811" i="20"/>
  <c r="H811" i="20" s="1"/>
  <c r="I810" i="20"/>
  <c r="B812" i="20"/>
  <c r="E812" i="20" l="1"/>
  <c r="G812" i="20" s="1"/>
  <c r="D812" i="20"/>
  <c r="H812" i="20" s="1"/>
  <c r="B813" i="20"/>
  <c r="I811" i="20"/>
  <c r="E813" i="20" l="1"/>
  <c r="G813" i="20" s="1"/>
  <c r="D813" i="20"/>
  <c r="H813" i="20" s="1"/>
  <c r="I812" i="20"/>
  <c r="B814" i="20"/>
  <c r="I813" i="20" l="1"/>
  <c r="E814" i="20"/>
  <c r="G814" i="20" s="1"/>
  <c r="D814" i="20"/>
  <c r="H814" i="20" s="1"/>
  <c r="B815" i="20"/>
  <c r="E815" i="20" l="1"/>
  <c r="G815" i="20" s="1"/>
  <c r="D815" i="20"/>
  <c r="H815" i="20" s="1"/>
  <c r="I814" i="20"/>
  <c r="B816" i="20"/>
  <c r="E816" i="20" l="1"/>
  <c r="G816" i="20" s="1"/>
  <c r="D816" i="20"/>
  <c r="H816" i="20" s="1"/>
  <c r="B817" i="20"/>
  <c r="I815" i="20"/>
  <c r="D817" i="20" l="1"/>
  <c r="H817" i="20" s="1"/>
  <c r="E817" i="20"/>
  <c r="G817" i="20" s="1"/>
  <c r="I816" i="20"/>
  <c r="B818" i="20"/>
  <c r="I817" i="20" l="1"/>
  <c r="E818" i="20"/>
  <c r="G818" i="20" s="1"/>
  <c r="D818" i="20"/>
  <c r="H818" i="20" s="1"/>
  <c r="B819" i="20"/>
  <c r="E819" i="20" l="1"/>
  <c r="G819" i="20" s="1"/>
  <c r="D819" i="20"/>
  <c r="H819" i="20" s="1"/>
  <c r="I818" i="20"/>
  <c r="B820" i="20"/>
  <c r="I819" i="20" l="1"/>
  <c r="E820" i="20"/>
  <c r="G820" i="20" s="1"/>
  <c r="D820" i="20"/>
  <c r="H820" i="20" s="1"/>
  <c r="B821" i="20"/>
  <c r="E821" i="20" l="1"/>
  <c r="G821" i="20" s="1"/>
  <c r="D821" i="20"/>
  <c r="H821" i="20" s="1"/>
  <c r="I820" i="20"/>
  <c r="B822" i="20"/>
  <c r="I821" i="20" l="1"/>
  <c r="E822" i="20"/>
  <c r="G822" i="20" s="1"/>
  <c r="D822" i="20"/>
  <c r="H822" i="20" s="1"/>
  <c r="B823" i="20"/>
  <c r="E823" i="20" l="1"/>
  <c r="G823" i="20" s="1"/>
  <c r="D823" i="20"/>
  <c r="H823" i="20" s="1"/>
  <c r="I822" i="20"/>
  <c r="B824" i="20"/>
  <c r="I823" i="20" l="1"/>
  <c r="E824" i="20"/>
  <c r="G824" i="20" s="1"/>
  <c r="D824" i="20"/>
  <c r="H824" i="20" s="1"/>
  <c r="B825" i="20"/>
  <c r="D825" i="20" l="1"/>
  <c r="H825" i="20" s="1"/>
  <c r="E825" i="20"/>
  <c r="G825" i="20" s="1"/>
  <c r="I824" i="20"/>
  <c r="B826" i="20"/>
  <c r="E826" i="20" l="1"/>
  <c r="G826" i="20" s="1"/>
  <c r="D826" i="20"/>
  <c r="H826" i="20" s="1"/>
  <c r="I825" i="20"/>
  <c r="B827" i="20"/>
  <c r="E827" i="20" l="1"/>
  <c r="G827" i="20" s="1"/>
  <c r="D827" i="20"/>
  <c r="H827" i="20" s="1"/>
  <c r="I826" i="20"/>
  <c r="B828" i="20"/>
  <c r="E828" i="20" l="1"/>
  <c r="G828" i="20" s="1"/>
  <c r="D828" i="20"/>
  <c r="H828" i="20" s="1"/>
  <c r="B829" i="20"/>
  <c r="I827" i="20"/>
  <c r="E829" i="20" l="1"/>
  <c r="G829" i="20" s="1"/>
  <c r="D829" i="20"/>
  <c r="H829" i="20" s="1"/>
  <c r="I828" i="20"/>
  <c r="B830" i="20"/>
  <c r="I829" i="20" l="1"/>
  <c r="E830" i="20"/>
  <c r="G830" i="20" s="1"/>
  <c r="D830" i="20"/>
  <c r="H830" i="20" s="1"/>
  <c r="B831" i="20"/>
  <c r="E831" i="20" l="1"/>
  <c r="G831" i="20" s="1"/>
  <c r="D831" i="20"/>
  <c r="H831" i="20" s="1"/>
  <c r="I830" i="20"/>
  <c r="B832" i="20"/>
  <c r="E832" i="20" l="1"/>
  <c r="G832" i="20" s="1"/>
  <c r="D832" i="20"/>
  <c r="H832" i="20" s="1"/>
  <c r="I831" i="20"/>
  <c r="B833" i="20"/>
  <c r="I832" i="20" l="1"/>
  <c r="E833" i="20"/>
  <c r="G833" i="20" s="1"/>
  <c r="D833" i="20"/>
  <c r="H833" i="20" s="1"/>
  <c r="B834" i="20"/>
  <c r="E834" i="20" l="1"/>
  <c r="G834" i="20" s="1"/>
  <c r="D834" i="20"/>
  <c r="H834" i="20" s="1"/>
  <c r="I833" i="20"/>
  <c r="B835" i="20"/>
  <c r="E835" i="20" l="1"/>
  <c r="G835" i="20" s="1"/>
  <c r="D835" i="20"/>
  <c r="H835" i="20" s="1"/>
  <c r="I834" i="20"/>
  <c r="B836" i="20"/>
  <c r="E836" i="20" l="1"/>
  <c r="G836" i="20" s="1"/>
  <c r="D836" i="20"/>
  <c r="H836" i="20" s="1"/>
  <c r="I835" i="20"/>
  <c r="B837" i="20"/>
  <c r="E837" i="20" l="1"/>
  <c r="G837" i="20" s="1"/>
  <c r="D837" i="20"/>
  <c r="H837" i="20" s="1"/>
  <c r="I836" i="20"/>
  <c r="B838" i="20"/>
  <c r="I837" i="20" l="1"/>
  <c r="E838" i="20"/>
  <c r="G838" i="20" s="1"/>
  <c r="D838" i="20"/>
  <c r="H838" i="20" s="1"/>
  <c r="B839" i="20"/>
  <c r="E839" i="20" l="1"/>
  <c r="G839" i="20" s="1"/>
  <c r="D839" i="20"/>
  <c r="H839" i="20" s="1"/>
  <c r="I838" i="20"/>
  <c r="B840" i="20"/>
  <c r="D840" i="20" l="1"/>
  <c r="H840" i="20" s="1"/>
  <c r="E840" i="20"/>
  <c r="G840" i="20" s="1"/>
  <c r="I839" i="20"/>
  <c r="B841" i="20"/>
  <c r="E841" i="20" l="1"/>
  <c r="G841" i="20" s="1"/>
  <c r="D841" i="20"/>
  <c r="H841" i="20" s="1"/>
  <c r="B842" i="20"/>
  <c r="I840" i="20"/>
  <c r="I841" i="20" l="1"/>
  <c r="D842" i="20"/>
  <c r="H842" i="20" s="1"/>
  <c r="E842" i="20"/>
  <c r="G842" i="20" s="1"/>
  <c r="B843" i="20"/>
  <c r="E843" i="20" l="1"/>
  <c r="G843" i="20" s="1"/>
  <c r="D843" i="20"/>
  <c r="H843" i="20" s="1"/>
  <c r="I842" i="20"/>
  <c r="B844" i="20"/>
  <c r="D844" i="20" l="1"/>
  <c r="H844" i="20" s="1"/>
  <c r="E844" i="20"/>
  <c r="G844" i="20" s="1"/>
  <c r="B845" i="20"/>
  <c r="I843" i="20"/>
  <c r="D845" i="20" l="1"/>
  <c r="H845" i="20" s="1"/>
  <c r="E845" i="20"/>
  <c r="G845" i="20" s="1"/>
  <c r="I844" i="20"/>
  <c r="B846" i="20"/>
  <c r="I845" i="20" l="1"/>
  <c r="E846" i="20"/>
  <c r="G846" i="20" s="1"/>
  <c r="D846" i="20"/>
  <c r="H846" i="20" s="1"/>
  <c r="B847" i="20"/>
  <c r="E847" i="20" l="1"/>
  <c r="G847" i="20" s="1"/>
  <c r="D847" i="20"/>
  <c r="H847" i="20" s="1"/>
  <c r="I846" i="20"/>
  <c r="B848" i="20"/>
  <c r="E848" i="20" l="1"/>
  <c r="G848" i="20" s="1"/>
  <c r="D848" i="20"/>
  <c r="H848" i="20" s="1"/>
  <c r="I847" i="20"/>
  <c r="B849" i="20"/>
  <c r="E849" i="20" l="1"/>
  <c r="G849" i="20" s="1"/>
  <c r="D849" i="20"/>
  <c r="H849" i="20" s="1"/>
  <c r="I848" i="20"/>
  <c r="B850" i="20"/>
  <c r="I849" i="20" l="1"/>
  <c r="D850" i="20"/>
  <c r="H850" i="20" s="1"/>
  <c r="E850" i="20"/>
  <c r="G850" i="20" s="1"/>
  <c r="B851" i="20"/>
  <c r="I850" i="20" l="1"/>
  <c r="D851" i="20"/>
  <c r="H851" i="20" s="1"/>
  <c r="E851" i="20"/>
  <c r="G851" i="20" s="1"/>
  <c r="B852" i="20"/>
  <c r="D852" i="20" l="1"/>
  <c r="H852" i="20" s="1"/>
  <c r="E852" i="20"/>
  <c r="G852" i="20" s="1"/>
  <c r="B853" i="20"/>
  <c r="I851" i="20"/>
  <c r="I852" i="20" l="1"/>
  <c r="E853" i="20"/>
  <c r="G853" i="20" s="1"/>
  <c r="D853" i="20"/>
  <c r="H853" i="20" s="1"/>
  <c r="B854" i="20"/>
  <c r="I853" i="20" l="1"/>
  <c r="D854" i="20"/>
  <c r="H854" i="20" s="1"/>
  <c r="E854" i="20"/>
  <c r="G854" i="20" s="1"/>
  <c r="B855" i="20"/>
  <c r="E855" i="20" l="1"/>
  <c r="G855" i="20" s="1"/>
  <c r="D855" i="20"/>
  <c r="H855" i="20" s="1"/>
  <c r="I854" i="20"/>
  <c r="B856" i="20"/>
  <c r="E856" i="20" l="1"/>
  <c r="G856" i="20" s="1"/>
  <c r="D856" i="20"/>
  <c r="H856" i="20" s="1"/>
  <c r="B857" i="20"/>
  <c r="I855" i="20"/>
  <c r="D857" i="20" l="1"/>
  <c r="H857" i="20" s="1"/>
  <c r="E857" i="20"/>
  <c r="G857" i="20" s="1"/>
  <c r="I856" i="20"/>
  <c r="B858" i="20"/>
  <c r="I857" i="20" l="1"/>
  <c r="E858" i="20"/>
  <c r="G858" i="20" s="1"/>
  <c r="D858" i="20"/>
  <c r="H858" i="20" s="1"/>
  <c r="B859" i="20"/>
  <c r="I858" i="20" l="1"/>
  <c r="E859" i="20"/>
  <c r="G859" i="20" s="1"/>
  <c r="D859" i="20"/>
  <c r="H859" i="20" s="1"/>
  <c r="B860" i="20"/>
  <c r="I859" i="20" l="1"/>
  <c r="E860" i="20"/>
  <c r="G860" i="20" s="1"/>
  <c r="D860" i="20"/>
  <c r="H860" i="20" s="1"/>
  <c r="B861" i="20"/>
  <c r="E861" i="20" l="1"/>
  <c r="G861" i="20" s="1"/>
  <c r="D861" i="20"/>
  <c r="H861" i="20" s="1"/>
  <c r="I860" i="20"/>
  <c r="B862" i="20"/>
  <c r="E862" i="20" l="1"/>
  <c r="G862" i="20" s="1"/>
  <c r="D862" i="20"/>
  <c r="H862" i="20" s="1"/>
  <c r="B863" i="20"/>
  <c r="I861" i="20"/>
  <c r="E863" i="20" l="1"/>
  <c r="G863" i="20" s="1"/>
  <c r="D863" i="20"/>
  <c r="H863" i="20" s="1"/>
  <c r="B864" i="20"/>
  <c r="I862" i="20"/>
  <c r="E864" i="20" l="1"/>
  <c r="G864" i="20" s="1"/>
  <c r="D864" i="20"/>
  <c r="H864" i="20" s="1"/>
  <c r="I863" i="20"/>
  <c r="B865" i="20"/>
  <c r="E865" i="20" l="1"/>
  <c r="G865" i="20" s="1"/>
  <c r="D865" i="20"/>
  <c r="H865" i="20" s="1"/>
  <c r="B866" i="20"/>
  <c r="I864" i="20"/>
  <c r="E866" i="20" l="1"/>
  <c r="G866" i="20" s="1"/>
  <c r="D866" i="20"/>
  <c r="H866" i="20" s="1"/>
  <c r="B867" i="20"/>
  <c r="I865" i="20"/>
  <c r="E867" i="20" l="1"/>
  <c r="G867" i="20" s="1"/>
  <c r="D867" i="20"/>
  <c r="H867" i="20" s="1"/>
  <c r="I866" i="20"/>
  <c r="B868" i="20"/>
  <c r="I867" i="20" l="1"/>
  <c r="D868" i="20"/>
  <c r="H868" i="20" s="1"/>
  <c r="E868" i="20"/>
  <c r="G868" i="20" s="1"/>
  <c r="B869" i="20"/>
  <c r="E869" i="20" l="1"/>
  <c r="G869" i="20" s="1"/>
  <c r="D869" i="20"/>
  <c r="H869" i="20" s="1"/>
  <c r="B870" i="20"/>
  <c r="I868" i="20"/>
  <c r="E870" i="20" l="1"/>
  <c r="G870" i="20" s="1"/>
  <c r="D870" i="20"/>
  <c r="H870" i="20" s="1"/>
  <c r="B871" i="20"/>
  <c r="I869" i="20"/>
  <c r="E871" i="20" l="1"/>
  <c r="G871" i="20" s="1"/>
  <c r="D871" i="20"/>
  <c r="H871" i="20" s="1"/>
  <c r="I870" i="20"/>
  <c r="B872" i="20"/>
  <c r="I871" i="20" l="1"/>
  <c r="E872" i="20"/>
  <c r="G872" i="20" s="1"/>
  <c r="D872" i="20"/>
  <c r="H872" i="20" s="1"/>
  <c r="B873" i="20"/>
  <c r="E873" i="20" l="1"/>
  <c r="G873" i="20" s="1"/>
  <c r="D873" i="20"/>
  <c r="H873" i="20" s="1"/>
  <c r="B874" i="20"/>
  <c r="I872" i="20"/>
  <c r="E874" i="20" l="1"/>
  <c r="G874" i="20" s="1"/>
  <c r="D874" i="20"/>
  <c r="H874" i="20" s="1"/>
  <c r="B875" i="20"/>
  <c r="I873" i="20"/>
  <c r="E875" i="20" l="1"/>
  <c r="G875" i="20" s="1"/>
  <c r="D875" i="20"/>
  <c r="H875" i="20" s="1"/>
  <c r="I874" i="20"/>
  <c r="B876" i="20"/>
  <c r="I875" i="20" l="1"/>
  <c r="D876" i="20"/>
  <c r="H876" i="20" s="1"/>
  <c r="E876" i="20"/>
  <c r="G876" i="20" s="1"/>
  <c r="B877" i="20"/>
  <c r="D877" i="20" l="1"/>
  <c r="H877" i="20" s="1"/>
  <c r="E877" i="20"/>
  <c r="G877" i="20" s="1"/>
  <c r="B878" i="20"/>
  <c r="I876" i="20"/>
  <c r="E878" i="20" l="1"/>
  <c r="G878" i="20" s="1"/>
  <c r="D878" i="20"/>
  <c r="H878" i="20" s="1"/>
  <c r="B879" i="20"/>
  <c r="I877" i="20"/>
  <c r="E879" i="20" l="1"/>
  <c r="G879" i="20" s="1"/>
  <c r="D879" i="20"/>
  <c r="H879" i="20" s="1"/>
  <c r="I878" i="20"/>
  <c r="B880" i="20"/>
  <c r="I879" i="20" l="1"/>
  <c r="E880" i="20"/>
  <c r="G880" i="20" s="1"/>
  <c r="D880" i="20"/>
  <c r="H880" i="20" s="1"/>
  <c r="B881" i="20"/>
  <c r="E881" i="20" l="1"/>
  <c r="G881" i="20" s="1"/>
  <c r="D881" i="20"/>
  <c r="H881" i="20" s="1"/>
  <c r="B882" i="20"/>
  <c r="I880" i="20"/>
  <c r="E882" i="20" l="1"/>
  <c r="G882" i="20" s="1"/>
  <c r="D882" i="20"/>
  <c r="H882" i="20" s="1"/>
  <c r="B883" i="20"/>
  <c r="I881" i="20"/>
  <c r="E883" i="20" l="1"/>
  <c r="G883" i="20" s="1"/>
  <c r="D883" i="20"/>
  <c r="H883" i="20" s="1"/>
  <c r="I882" i="20"/>
  <c r="B884" i="20"/>
  <c r="I883" i="20" l="1"/>
  <c r="E884" i="20"/>
  <c r="G884" i="20" s="1"/>
  <c r="D884" i="20"/>
  <c r="H884" i="20" s="1"/>
  <c r="B885" i="20"/>
  <c r="E885" i="20" l="1"/>
  <c r="G885" i="20" s="1"/>
  <c r="D885" i="20"/>
  <c r="H885" i="20" s="1"/>
  <c r="B886" i="20"/>
  <c r="I884" i="20"/>
  <c r="E886" i="20" l="1"/>
  <c r="G886" i="20" s="1"/>
  <c r="D886" i="20"/>
  <c r="H886" i="20" s="1"/>
  <c r="B887" i="20"/>
  <c r="I885" i="20"/>
  <c r="E887" i="20" l="1"/>
  <c r="G887" i="20" s="1"/>
  <c r="D887" i="20"/>
  <c r="H887" i="20" s="1"/>
  <c r="I886" i="20"/>
  <c r="B888" i="20"/>
  <c r="D888" i="20" l="1"/>
  <c r="H888" i="20" s="1"/>
  <c r="E888" i="20"/>
  <c r="G888" i="20" s="1"/>
  <c r="I887" i="20"/>
  <c r="B889" i="20"/>
  <c r="E889" i="20" l="1"/>
  <c r="G889" i="20" s="1"/>
  <c r="D889" i="20"/>
  <c r="H889" i="20" s="1"/>
  <c r="B890" i="20"/>
  <c r="I888" i="20"/>
  <c r="D890" i="20" l="1"/>
  <c r="H890" i="20" s="1"/>
  <c r="E890" i="20"/>
  <c r="G890" i="20" s="1"/>
  <c r="B891" i="20"/>
  <c r="I889" i="20"/>
  <c r="E891" i="20" l="1"/>
  <c r="G891" i="20" s="1"/>
  <c r="D891" i="20"/>
  <c r="H891" i="20" s="1"/>
  <c r="I890" i="20"/>
  <c r="B892" i="20"/>
  <c r="I891" i="20" l="1"/>
  <c r="E892" i="20"/>
  <c r="G892" i="20" s="1"/>
  <c r="D892" i="20"/>
  <c r="H892" i="20" s="1"/>
  <c r="B893" i="20"/>
  <c r="D893" i="20" l="1"/>
  <c r="H893" i="20" s="1"/>
  <c r="E893" i="20"/>
  <c r="G893" i="20" s="1"/>
  <c r="B894" i="20"/>
  <c r="I892" i="20"/>
  <c r="D894" i="20" l="1"/>
  <c r="H894" i="20" s="1"/>
  <c r="E894" i="20"/>
  <c r="G894" i="20" s="1"/>
  <c r="B895" i="20"/>
  <c r="I893" i="20"/>
  <c r="E895" i="20" l="1"/>
  <c r="G895" i="20" s="1"/>
  <c r="D895" i="20"/>
  <c r="H895" i="20" s="1"/>
  <c r="I894" i="20"/>
  <c r="B896" i="20"/>
  <c r="I895" i="20" l="1"/>
  <c r="E896" i="20"/>
  <c r="G896" i="20" s="1"/>
  <c r="D896" i="20"/>
  <c r="H896" i="20" s="1"/>
  <c r="B897" i="20"/>
  <c r="D897" i="20" l="1"/>
  <c r="H897" i="20" s="1"/>
  <c r="E897" i="20"/>
  <c r="G897" i="20" s="1"/>
  <c r="B898" i="20"/>
  <c r="I896" i="20"/>
  <c r="D898" i="20" l="1"/>
  <c r="H898" i="20" s="1"/>
  <c r="E898" i="20"/>
  <c r="G898" i="20" s="1"/>
  <c r="B899" i="20"/>
  <c r="I897" i="20"/>
  <c r="E899" i="20" l="1"/>
  <c r="G899" i="20" s="1"/>
  <c r="D899" i="20"/>
  <c r="H899" i="20" s="1"/>
  <c r="I898" i="20"/>
  <c r="B900" i="20"/>
  <c r="I899" i="20" l="1"/>
  <c r="E900" i="20"/>
  <c r="G900" i="20" s="1"/>
  <c r="D900" i="20"/>
  <c r="H900" i="20" s="1"/>
  <c r="B901" i="20"/>
  <c r="E901" i="20" l="1"/>
  <c r="G901" i="20" s="1"/>
  <c r="D901" i="20"/>
  <c r="H901" i="20" s="1"/>
  <c r="B902" i="20"/>
  <c r="I900" i="20"/>
  <c r="D902" i="20" l="1"/>
  <c r="H902" i="20" s="1"/>
  <c r="E902" i="20"/>
  <c r="G902" i="20" s="1"/>
  <c r="B903" i="20"/>
  <c r="I901" i="20"/>
  <c r="E903" i="20" l="1"/>
  <c r="G903" i="20" s="1"/>
  <c r="D903" i="20"/>
  <c r="H903" i="20" s="1"/>
  <c r="I902" i="20"/>
  <c r="B904" i="20"/>
  <c r="I903" i="20" l="1"/>
  <c r="E904" i="20"/>
  <c r="G904" i="20" s="1"/>
  <c r="D904" i="20"/>
  <c r="H904" i="20" s="1"/>
  <c r="B905" i="20"/>
  <c r="E905" i="20" l="1"/>
  <c r="G905" i="20" s="1"/>
  <c r="D905" i="20"/>
  <c r="H905" i="20" s="1"/>
  <c r="B906" i="20"/>
  <c r="I904" i="20"/>
  <c r="D906" i="20" l="1"/>
  <c r="H906" i="20" s="1"/>
  <c r="E906" i="20"/>
  <c r="G906" i="20" s="1"/>
  <c r="B907" i="20"/>
  <c r="I905" i="20"/>
  <c r="E907" i="20" l="1"/>
  <c r="G907" i="20" s="1"/>
  <c r="D907" i="20"/>
  <c r="H907" i="20" s="1"/>
  <c r="I906" i="20"/>
  <c r="B908" i="20"/>
  <c r="I907" i="20" l="1"/>
  <c r="E908" i="20"/>
  <c r="G908" i="20" s="1"/>
  <c r="D908" i="20"/>
  <c r="H908" i="20" s="1"/>
  <c r="B909" i="20"/>
  <c r="E909" i="20" l="1"/>
  <c r="G909" i="20" s="1"/>
  <c r="D909" i="20"/>
  <c r="H909" i="20" s="1"/>
  <c r="B910" i="20"/>
  <c r="I908" i="20"/>
  <c r="E910" i="20" l="1"/>
  <c r="G910" i="20" s="1"/>
  <c r="D910" i="20"/>
  <c r="H910" i="20" s="1"/>
  <c r="B911" i="20"/>
  <c r="I909" i="20"/>
  <c r="E911" i="20" l="1"/>
  <c r="G911" i="20" s="1"/>
  <c r="D911" i="20"/>
  <c r="H911" i="20" s="1"/>
  <c r="I910" i="20"/>
  <c r="B912" i="20"/>
  <c r="I911" i="20" l="1"/>
  <c r="E912" i="20"/>
  <c r="G912" i="20" s="1"/>
  <c r="D912" i="20"/>
  <c r="H912" i="20" s="1"/>
  <c r="B913" i="20"/>
  <c r="E913" i="20" l="1"/>
  <c r="G913" i="20" s="1"/>
  <c r="D913" i="20"/>
  <c r="H913" i="20" s="1"/>
  <c r="B914" i="20"/>
  <c r="I912" i="20"/>
  <c r="E914" i="20" l="1"/>
  <c r="G914" i="20" s="1"/>
  <c r="D914" i="20"/>
  <c r="H914" i="20" s="1"/>
  <c r="B915" i="20"/>
  <c r="I913" i="20"/>
  <c r="E915" i="20" l="1"/>
  <c r="G915" i="20" s="1"/>
  <c r="D915" i="20"/>
  <c r="H915" i="20" s="1"/>
  <c r="I914" i="20"/>
  <c r="B916" i="20"/>
  <c r="I915" i="20" l="1"/>
  <c r="E916" i="20"/>
  <c r="G916" i="20" s="1"/>
  <c r="D916" i="20"/>
  <c r="H916" i="20" s="1"/>
  <c r="B917" i="20"/>
  <c r="E917" i="20" l="1"/>
  <c r="G917" i="20" s="1"/>
  <c r="D917" i="20"/>
  <c r="H917" i="20" s="1"/>
  <c r="B918" i="20"/>
  <c r="I916" i="20"/>
  <c r="E918" i="20" l="1"/>
  <c r="G918" i="20" s="1"/>
  <c r="D918" i="20"/>
  <c r="H918" i="20" s="1"/>
  <c r="B919" i="20"/>
  <c r="I917" i="20"/>
  <c r="E919" i="20" l="1"/>
  <c r="G919" i="20" s="1"/>
  <c r="D919" i="20"/>
  <c r="H919" i="20" s="1"/>
  <c r="I918" i="20"/>
  <c r="B920" i="20"/>
  <c r="I919" i="20" l="1"/>
  <c r="D920" i="20"/>
  <c r="H920" i="20" s="1"/>
  <c r="E920" i="20"/>
  <c r="G920" i="20" s="1"/>
  <c r="B921" i="20"/>
  <c r="E921" i="20" l="1"/>
  <c r="G921" i="20" s="1"/>
  <c r="D921" i="20"/>
  <c r="H921" i="20" s="1"/>
  <c r="B922" i="20"/>
  <c r="I920" i="20"/>
  <c r="E922" i="20" l="1"/>
  <c r="G922" i="20" s="1"/>
  <c r="D922" i="20"/>
  <c r="H922" i="20" s="1"/>
  <c r="B923" i="20"/>
  <c r="I921" i="20"/>
  <c r="E923" i="20" l="1"/>
  <c r="G923" i="20" s="1"/>
  <c r="D923" i="20"/>
  <c r="H923" i="20" s="1"/>
  <c r="I922" i="20"/>
  <c r="B924" i="20"/>
  <c r="I923" i="20" l="1"/>
  <c r="E924" i="20"/>
  <c r="G924" i="20" s="1"/>
  <c r="D924" i="20"/>
  <c r="H924" i="20" s="1"/>
  <c r="B925" i="20"/>
  <c r="E925" i="20" l="1"/>
  <c r="G925" i="20" s="1"/>
  <c r="D925" i="20"/>
  <c r="H925" i="20" s="1"/>
  <c r="B926" i="20"/>
  <c r="I924" i="20"/>
  <c r="E926" i="20" l="1"/>
  <c r="G926" i="20" s="1"/>
  <c r="D926" i="20"/>
  <c r="H926" i="20" s="1"/>
  <c r="B927" i="20"/>
  <c r="I925" i="20"/>
  <c r="E927" i="20" l="1"/>
  <c r="G927" i="20" s="1"/>
  <c r="D927" i="20"/>
  <c r="H927" i="20" s="1"/>
  <c r="I926" i="20"/>
  <c r="B928" i="20"/>
  <c r="I927" i="20" l="1"/>
  <c r="D928" i="20"/>
  <c r="H928" i="20" s="1"/>
  <c r="E928" i="20"/>
  <c r="G928" i="20" s="1"/>
  <c r="B929" i="20"/>
  <c r="D929" i="20" l="1"/>
  <c r="H929" i="20" s="1"/>
  <c r="E929" i="20"/>
  <c r="G929" i="20" s="1"/>
  <c r="B930" i="20"/>
  <c r="I928" i="20"/>
  <c r="E930" i="20" l="1"/>
  <c r="G930" i="20" s="1"/>
  <c r="D930" i="20"/>
  <c r="H930" i="20" s="1"/>
  <c r="B931" i="20"/>
  <c r="I929" i="20"/>
  <c r="I930" i="20" l="1"/>
  <c r="E931" i="20"/>
  <c r="G931" i="20" s="1"/>
  <c r="D931" i="20"/>
  <c r="H931" i="20" s="1"/>
  <c r="B932" i="20"/>
  <c r="E932" i="20" l="1"/>
  <c r="G932" i="20" s="1"/>
  <c r="D932" i="20"/>
  <c r="H932" i="20" s="1"/>
  <c r="I931" i="20"/>
  <c r="B933" i="20"/>
  <c r="E933" i="20" l="1"/>
  <c r="G933" i="20" s="1"/>
  <c r="D933" i="20"/>
  <c r="H933" i="20" s="1"/>
  <c r="B934" i="20"/>
  <c r="I932" i="20"/>
  <c r="E934" i="20" l="1"/>
  <c r="G934" i="20" s="1"/>
  <c r="D934" i="20"/>
  <c r="H934" i="20" s="1"/>
  <c r="B935" i="20"/>
  <c r="I933" i="20"/>
  <c r="E935" i="20" l="1"/>
  <c r="G935" i="20" s="1"/>
  <c r="D935" i="20"/>
  <c r="H935" i="20" s="1"/>
  <c r="I934" i="20"/>
  <c r="B936" i="20"/>
  <c r="E936" i="20" l="1"/>
  <c r="G936" i="20" s="1"/>
  <c r="D936" i="20"/>
  <c r="H936" i="20" s="1"/>
  <c r="B937" i="20"/>
  <c r="I935" i="20"/>
  <c r="E937" i="20" l="1"/>
  <c r="G937" i="20" s="1"/>
  <c r="D937" i="20"/>
  <c r="H937" i="20" s="1"/>
  <c r="I936" i="20"/>
  <c r="B938" i="20"/>
  <c r="E938" i="20" l="1"/>
  <c r="G938" i="20" s="1"/>
  <c r="D938" i="20"/>
  <c r="H938" i="20" s="1"/>
  <c r="I937" i="20"/>
  <c r="B939" i="20"/>
  <c r="E939" i="20" l="1"/>
  <c r="G939" i="20" s="1"/>
  <c r="D939" i="20"/>
  <c r="H939" i="20" s="1"/>
  <c r="I938" i="20"/>
  <c r="B940" i="20"/>
  <c r="I939" i="20" l="1"/>
  <c r="D940" i="20"/>
  <c r="H940" i="20" s="1"/>
  <c r="E940" i="20"/>
  <c r="G940" i="20" s="1"/>
  <c r="B941" i="20"/>
  <c r="E941" i="20" l="1"/>
  <c r="G941" i="20" s="1"/>
  <c r="D941" i="20"/>
  <c r="H941" i="20" s="1"/>
  <c r="B942" i="20"/>
  <c r="I940" i="20"/>
  <c r="D942" i="20" l="1"/>
  <c r="H942" i="20" s="1"/>
  <c r="E942" i="20"/>
  <c r="G942" i="20" s="1"/>
  <c r="I941" i="20"/>
  <c r="B943" i="20"/>
  <c r="D943" i="20" l="1"/>
  <c r="H943" i="20" s="1"/>
  <c r="E943" i="20"/>
  <c r="G943" i="20" s="1"/>
  <c r="I942" i="20"/>
  <c r="B944" i="20"/>
  <c r="I943" i="20" l="1"/>
  <c r="E944" i="20"/>
  <c r="G944" i="20" s="1"/>
  <c r="D944" i="20"/>
  <c r="H944" i="20" s="1"/>
  <c r="B945" i="20"/>
  <c r="E945" i="20" l="1"/>
  <c r="G945" i="20" s="1"/>
  <c r="D945" i="20"/>
  <c r="H945" i="20" s="1"/>
  <c r="B946" i="20"/>
  <c r="I944" i="20"/>
  <c r="E946" i="20" l="1"/>
  <c r="G946" i="20" s="1"/>
  <c r="D946" i="20"/>
  <c r="H946" i="20" s="1"/>
  <c r="I945" i="20"/>
  <c r="B947" i="20"/>
  <c r="E947" i="20" l="1"/>
  <c r="G947" i="20" s="1"/>
  <c r="D947" i="20"/>
  <c r="H947" i="20" s="1"/>
  <c r="I946" i="20"/>
  <c r="B948" i="20"/>
  <c r="I947" i="20" l="1"/>
  <c r="E948" i="20"/>
  <c r="G948" i="20" s="1"/>
  <c r="D948" i="20"/>
  <c r="H948" i="20" s="1"/>
  <c r="B949" i="20"/>
  <c r="E949" i="20" l="1"/>
  <c r="G949" i="20" s="1"/>
  <c r="D949" i="20"/>
  <c r="H949" i="20" s="1"/>
  <c r="B950" i="20"/>
  <c r="I948" i="20"/>
  <c r="D950" i="20" l="1"/>
  <c r="H950" i="20" s="1"/>
  <c r="E950" i="20"/>
  <c r="G950" i="20" s="1"/>
  <c r="I949" i="20"/>
  <c r="B951" i="20"/>
  <c r="D951" i="20" l="1"/>
  <c r="H951" i="20" s="1"/>
  <c r="E951" i="20"/>
  <c r="G951" i="20" s="1"/>
  <c r="I950" i="20"/>
  <c r="B952" i="20"/>
  <c r="I951" i="20" l="1"/>
  <c r="E952" i="20"/>
  <c r="G952" i="20" s="1"/>
  <c r="D952" i="20"/>
  <c r="H952" i="20" s="1"/>
  <c r="B953" i="20"/>
  <c r="E953" i="20" l="1"/>
  <c r="G953" i="20" s="1"/>
  <c r="D953" i="20"/>
  <c r="H953" i="20" s="1"/>
  <c r="B954" i="20"/>
  <c r="I952" i="20"/>
  <c r="E954" i="20" l="1"/>
  <c r="G954" i="20" s="1"/>
  <c r="D954" i="20"/>
  <c r="H954" i="20" s="1"/>
  <c r="I953" i="20"/>
  <c r="B955" i="20"/>
  <c r="E955" i="20" l="1"/>
  <c r="G955" i="20" s="1"/>
  <c r="D955" i="20"/>
  <c r="H955" i="20" s="1"/>
  <c r="I954" i="20"/>
  <c r="B956" i="20"/>
  <c r="I955" i="20" l="1"/>
  <c r="D956" i="20"/>
  <c r="H956" i="20" s="1"/>
  <c r="E956" i="20"/>
  <c r="G956" i="20" s="1"/>
  <c r="B957" i="20"/>
  <c r="E957" i="20" l="1"/>
  <c r="G957" i="20" s="1"/>
  <c r="D957" i="20"/>
  <c r="H957" i="20" s="1"/>
  <c r="B958" i="20"/>
  <c r="I956" i="20"/>
  <c r="D958" i="20" l="1"/>
  <c r="H958" i="20" s="1"/>
  <c r="E958" i="20"/>
  <c r="G958" i="20" s="1"/>
  <c r="I957" i="20"/>
  <c r="B959" i="20"/>
  <c r="D959" i="20" l="1"/>
  <c r="H959" i="20" s="1"/>
  <c r="E959" i="20"/>
  <c r="G959" i="20" s="1"/>
  <c r="I958" i="20"/>
  <c r="B960" i="20"/>
  <c r="I959" i="20" l="1"/>
  <c r="E960" i="20"/>
  <c r="G960" i="20" s="1"/>
  <c r="D960" i="20"/>
  <c r="H960" i="20" s="1"/>
  <c r="B961" i="20"/>
  <c r="E961" i="20" l="1"/>
  <c r="G961" i="20" s="1"/>
  <c r="D961" i="20"/>
  <c r="H961" i="20" s="1"/>
  <c r="B962" i="20"/>
  <c r="I960" i="20"/>
  <c r="E962" i="20" l="1"/>
  <c r="G962" i="20" s="1"/>
  <c r="D962" i="20"/>
  <c r="H962" i="20" s="1"/>
  <c r="I961" i="20"/>
  <c r="B963" i="20"/>
  <c r="E963" i="20" l="1"/>
  <c r="G963" i="20" s="1"/>
  <c r="D963" i="20"/>
  <c r="H963" i="20" s="1"/>
  <c r="I962" i="20"/>
  <c r="B964" i="20"/>
  <c r="I963" i="20" l="1"/>
  <c r="E964" i="20"/>
  <c r="G964" i="20" s="1"/>
  <c r="D964" i="20"/>
  <c r="H964" i="20" s="1"/>
  <c r="B965" i="20"/>
  <c r="E965" i="20" l="1"/>
  <c r="G965" i="20" s="1"/>
  <c r="D965" i="20"/>
  <c r="H965" i="20" s="1"/>
  <c r="B966" i="20"/>
  <c r="I964" i="20"/>
  <c r="D966" i="20" l="1"/>
  <c r="H966" i="20" s="1"/>
  <c r="E966" i="20"/>
  <c r="G966" i="20" s="1"/>
  <c r="I965" i="20"/>
  <c r="B967" i="20"/>
  <c r="D967" i="20" l="1"/>
  <c r="H967" i="20" s="1"/>
  <c r="E967" i="20"/>
  <c r="G967" i="20" s="1"/>
  <c r="I966" i="20"/>
  <c r="B968" i="20"/>
  <c r="I967" i="20" l="1"/>
  <c r="E968" i="20"/>
  <c r="G968" i="20" s="1"/>
  <c r="D968" i="20"/>
  <c r="H968" i="20" s="1"/>
  <c r="B969" i="20"/>
  <c r="I968" i="20" l="1"/>
  <c r="E969" i="20"/>
  <c r="G969" i="20" s="1"/>
  <c r="D969" i="20"/>
  <c r="H969" i="20" s="1"/>
  <c r="B970" i="20"/>
  <c r="I969" i="20" l="1"/>
  <c r="E970" i="20"/>
  <c r="G970" i="20" s="1"/>
  <c r="D970" i="20"/>
  <c r="H970" i="20" s="1"/>
  <c r="B971" i="20"/>
  <c r="E971" i="20" l="1"/>
  <c r="G971" i="20" s="1"/>
  <c r="D971" i="20"/>
  <c r="H971" i="20" s="1"/>
  <c r="I970" i="20"/>
  <c r="B972" i="20"/>
  <c r="I971" i="20" l="1"/>
  <c r="D972" i="20"/>
  <c r="H972" i="20" s="1"/>
  <c r="E972" i="20"/>
  <c r="G972" i="20" s="1"/>
  <c r="B973" i="20"/>
  <c r="E973" i="20" l="1"/>
  <c r="G973" i="20" s="1"/>
  <c r="D973" i="20"/>
  <c r="H973" i="20" s="1"/>
  <c r="B974" i="20"/>
  <c r="I972" i="20"/>
  <c r="D974" i="20" l="1"/>
  <c r="H974" i="20" s="1"/>
  <c r="E974" i="20"/>
  <c r="G974" i="20" s="1"/>
  <c r="I973" i="20"/>
  <c r="B975" i="20"/>
  <c r="D975" i="20" l="1"/>
  <c r="H975" i="20" s="1"/>
  <c r="E975" i="20"/>
  <c r="G975" i="20" s="1"/>
  <c r="I974" i="20"/>
  <c r="B976" i="20"/>
  <c r="I975" i="20" l="1"/>
  <c r="E976" i="20"/>
  <c r="G976" i="20" s="1"/>
  <c r="D976" i="20"/>
  <c r="H976" i="20" s="1"/>
  <c r="B977" i="20"/>
  <c r="E977" i="20" l="1"/>
  <c r="G977" i="20" s="1"/>
  <c r="D977" i="20"/>
  <c r="H977" i="20" s="1"/>
  <c r="B978" i="20"/>
  <c r="I976" i="20"/>
  <c r="E978" i="20" l="1"/>
  <c r="G978" i="20" s="1"/>
  <c r="D978" i="20"/>
  <c r="H978" i="20" s="1"/>
  <c r="I977" i="20"/>
  <c r="B979" i="20"/>
  <c r="E979" i="20" l="1"/>
  <c r="G979" i="20" s="1"/>
  <c r="D979" i="20"/>
  <c r="H979" i="20" s="1"/>
  <c r="I978" i="20"/>
  <c r="B980" i="20"/>
  <c r="I979" i="20" l="1"/>
  <c r="E980" i="20"/>
  <c r="G980" i="20" s="1"/>
  <c r="D980" i="20"/>
  <c r="H980" i="20" s="1"/>
  <c r="B981" i="20"/>
  <c r="E981" i="20" l="1"/>
  <c r="G981" i="20" s="1"/>
  <c r="D981" i="20"/>
  <c r="H981" i="20" s="1"/>
  <c r="B982" i="20"/>
  <c r="I980" i="20"/>
  <c r="D982" i="20" l="1"/>
  <c r="H982" i="20" s="1"/>
  <c r="E982" i="20"/>
  <c r="G982" i="20" s="1"/>
  <c r="I981" i="20"/>
  <c r="B983" i="20"/>
  <c r="D983" i="20" l="1"/>
  <c r="H983" i="20" s="1"/>
  <c r="E983" i="20"/>
  <c r="G983" i="20" s="1"/>
  <c r="I982" i="20"/>
  <c r="B984" i="20"/>
  <c r="D984" i="20" l="1"/>
  <c r="H984" i="20" s="1"/>
  <c r="E984" i="20"/>
  <c r="G984" i="20" s="1"/>
  <c r="B985" i="20"/>
  <c r="I983" i="20"/>
  <c r="E985" i="20" l="1"/>
  <c r="G985" i="20" s="1"/>
  <c r="D985" i="20"/>
  <c r="H985" i="20" s="1"/>
  <c r="B986" i="20"/>
  <c r="I984" i="20"/>
  <c r="D986" i="20" l="1"/>
  <c r="H986" i="20" s="1"/>
  <c r="E986" i="20"/>
  <c r="G986" i="20" s="1"/>
  <c r="I985" i="20"/>
  <c r="B987" i="20"/>
  <c r="D987" i="20" l="1"/>
  <c r="H987" i="20" s="1"/>
  <c r="E987" i="20"/>
  <c r="G987" i="20" s="1"/>
  <c r="I986" i="20"/>
  <c r="B988" i="20"/>
  <c r="E988" i="20" l="1"/>
  <c r="G988" i="20" s="1"/>
  <c r="D988" i="20"/>
  <c r="H988" i="20" s="1"/>
  <c r="I987" i="20"/>
  <c r="B989" i="20"/>
  <c r="D989" i="20" l="1"/>
  <c r="H989" i="20" s="1"/>
  <c r="E989" i="20"/>
  <c r="G989" i="20" s="1"/>
  <c r="B990" i="20"/>
  <c r="I988" i="20"/>
  <c r="D990" i="20" l="1"/>
  <c r="H990" i="20" s="1"/>
  <c r="E990" i="20"/>
  <c r="G990" i="20" s="1"/>
  <c r="I989" i="20"/>
  <c r="B991" i="20"/>
  <c r="E991" i="20" l="1"/>
  <c r="G991" i="20" s="1"/>
  <c r="D991" i="20"/>
  <c r="H991" i="20" s="1"/>
  <c r="I990" i="20"/>
  <c r="B992" i="20"/>
  <c r="I991" i="20" l="1"/>
  <c r="D992" i="20"/>
  <c r="H992" i="20" s="1"/>
  <c r="E992" i="20"/>
  <c r="G992" i="20" s="1"/>
  <c r="B993" i="20"/>
  <c r="E993" i="20" l="1"/>
  <c r="G993" i="20" s="1"/>
  <c r="D993" i="20"/>
  <c r="H993" i="20" s="1"/>
  <c r="I992" i="20"/>
  <c r="B994" i="20"/>
  <c r="D994" i="20" l="1"/>
  <c r="H994" i="20" s="1"/>
  <c r="E994" i="20"/>
  <c r="G994" i="20" s="1"/>
  <c r="I993" i="20"/>
  <c r="B995" i="20"/>
  <c r="D995" i="20" l="1"/>
  <c r="H995" i="20" s="1"/>
  <c r="E995" i="20"/>
  <c r="G995" i="20" s="1"/>
  <c r="I994" i="20"/>
  <c r="B996" i="20"/>
  <c r="I995" i="20" l="1"/>
  <c r="E996" i="20"/>
  <c r="G996" i="20" s="1"/>
  <c r="D996" i="20"/>
  <c r="H996" i="20" s="1"/>
  <c r="B997" i="20"/>
  <c r="I996" i="20" l="1"/>
  <c r="D997" i="20"/>
  <c r="H997" i="20" s="1"/>
  <c r="E997" i="20"/>
  <c r="G997" i="20" s="1"/>
  <c r="B998" i="20"/>
  <c r="I997" i="20" l="1"/>
  <c r="D998" i="20"/>
  <c r="H998" i="20" s="1"/>
  <c r="E998" i="20"/>
  <c r="G998" i="20" s="1"/>
  <c r="B999" i="20"/>
  <c r="E999" i="20" l="1"/>
  <c r="G999" i="20" s="1"/>
  <c r="D999" i="20"/>
  <c r="H999" i="20" s="1"/>
  <c r="I998" i="20"/>
  <c r="B1000" i="20"/>
  <c r="I999" i="20" l="1"/>
  <c r="D1000" i="20"/>
  <c r="H1000" i="20" s="1"/>
  <c r="E1000" i="20"/>
  <c r="G1000" i="20" s="1"/>
  <c r="B1001" i="20"/>
  <c r="I1000" i="20" l="1"/>
  <c r="D1001" i="20"/>
  <c r="H1001" i="20" s="1"/>
  <c r="E1001" i="20"/>
  <c r="G1001" i="20" s="1"/>
  <c r="B1002" i="20"/>
  <c r="I1001" i="20" l="1"/>
  <c r="E1002" i="20"/>
  <c r="G1002" i="20" s="1"/>
  <c r="D1002" i="20"/>
  <c r="H1002" i="20" s="1"/>
  <c r="B1003" i="20"/>
  <c r="E1003" i="20" l="1"/>
  <c r="G1003" i="20" s="1"/>
  <c r="D1003" i="20"/>
  <c r="H1003" i="20" s="1"/>
  <c r="I1002" i="20"/>
  <c r="B1004" i="20"/>
  <c r="I1003" i="20" l="1"/>
  <c r="E1004" i="20"/>
  <c r="G1004" i="20" s="1"/>
  <c r="D1004" i="20"/>
  <c r="H1004" i="20" s="1"/>
  <c r="B1005" i="20"/>
  <c r="I1004" i="20" l="1"/>
  <c r="E1005" i="20"/>
  <c r="G1005" i="20" s="1"/>
  <c r="D1005" i="20"/>
  <c r="H1005" i="20" s="1"/>
  <c r="B1006" i="20"/>
  <c r="I1005" i="20" l="1"/>
  <c r="E1006" i="20"/>
  <c r="G1006" i="20" s="1"/>
  <c r="D1006" i="20"/>
  <c r="H1006" i="20" s="1"/>
  <c r="B1007" i="20"/>
  <c r="E1007" i="20" l="1"/>
  <c r="G1007" i="20" s="1"/>
  <c r="D1007" i="20"/>
  <c r="H1007" i="20" s="1"/>
  <c r="I1006" i="20"/>
  <c r="B1008" i="20"/>
  <c r="I1007" i="20" l="1"/>
  <c r="D1008" i="20"/>
  <c r="H1008" i="20" s="1"/>
  <c r="E1008" i="20"/>
  <c r="G1008" i="20" s="1"/>
  <c r="B1009" i="20"/>
  <c r="I1008" i="20" l="1"/>
  <c r="D1009" i="20"/>
  <c r="H1009" i="20" s="1"/>
  <c r="E1009" i="20"/>
  <c r="G1009" i="20" s="1"/>
  <c r="B1010" i="20"/>
  <c r="I1009" i="20" l="1"/>
  <c r="E1010" i="20"/>
  <c r="G1010" i="20" s="1"/>
  <c r="D1010" i="20"/>
  <c r="H1010" i="20" s="1"/>
  <c r="B1011" i="20"/>
  <c r="E1011" i="20" l="1"/>
  <c r="G1011" i="20" s="1"/>
  <c r="D1011" i="20"/>
  <c r="H1011" i="20" s="1"/>
  <c r="I1010" i="20"/>
  <c r="B1012" i="20"/>
  <c r="I1011" i="20" l="1"/>
  <c r="E1012" i="20"/>
  <c r="G1012" i="20" s="1"/>
  <c r="D1012" i="20"/>
  <c r="H1012" i="20" s="1"/>
  <c r="B1013" i="20"/>
  <c r="E1013" i="20" l="1"/>
  <c r="G1013" i="20" s="1"/>
  <c r="D1013" i="20"/>
  <c r="H1013" i="20" s="1"/>
  <c r="B1014" i="20"/>
  <c r="I1012" i="20"/>
  <c r="E1014" i="20" l="1"/>
  <c r="G1014" i="20" s="1"/>
  <c r="D1014" i="20"/>
  <c r="H1014" i="20" s="1"/>
  <c r="I1013" i="20"/>
  <c r="B1015" i="20"/>
  <c r="I1014" i="20" l="1"/>
  <c r="E1015" i="20"/>
  <c r="G1015" i="20" s="1"/>
  <c r="D1015" i="20"/>
  <c r="H1015" i="20" s="1"/>
  <c r="B1016" i="20"/>
  <c r="I1015" i="20" l="1"/>
  <c r="D1016" i="20"/>
  <c r="H1016" i="20" s="1"/>
  <c r="E1016" i="20"/>
  <c r="G1016" i="20" s="1"/>
  <c r="B1017" i="20"/>
  <c r="D1017" i="20" l="1"/>
  <c r="H1017" i="20" s="1"/>
  <c r="E1017" i="20"/>
  <c r="G1017" i="20" s="1"/>
  <c r="I1016" i="20"/>
  <c r="B1018" i="20"/>
  <c r="E1018" i="20" l="1"/>
  <c r="G1018" i="20" s="1"/>
  <c r="D1018" i="20"/>
  <c r="H1018" i="20" s="1"/>
  <c r="B1019" i="20"/>
  <c r="I1017" i="20"/>
  <c r="E1019" i="20" l="1"/>
  <c r="G1019" i="20" s="1"/>
  <c r="D1019" i="20"/>
  <c r="H1019" i="20" s="1"/>
  <c r="B1020" i="20"/>
  <c r="I1018" i="20"/>
  <c r="I1019" i="20" l="1"/>
  <c r="E1020" i="20"/>
  <c r="G1020" i="20" s="1"/>
  <c r="D1020" i="20"/>
  <c r="H1020" i="20" s="1"/>
  <c r="B1021" i="20"/>
  <c r="E1021" i="20" l="1"/>
  <c r="G1021" i="20" s="1"/>
  <c r="D1021" i="20"/>
  <c r="H1021" i="20" s="1"/>
  <c r="I1020" i="20"/>
  <c r="B1022" i="20"/>
  <c r="D1022" i="20" l="1"/>
  <c r="H1022" i="20" s="1"/>
  <c r="E1022" i="20"/>
  <c r="G1022" i="20" s="1"/>
  <c r="B1023" i="20"/>
  <c r="I1021" i="20"/>
  <c r="I1022" i="20" l="1"/>
  <c r="E1023" i="20"/>
  <c r="G1023" i="20" s="1"/>
  <c r="D1023" i="20"/>
  <c r="H1023" i="20" s="1"/>
  <c r="B1024" i="20"/>
  <c r="I1023" i="20" l="1"/>
  <c r="D1024" i="20"/>
  <c r="H1024" i="20" s="1"/>
  <c r="E1024" i="20"/>
  <c r="G1024" i="20" s="1"/>
  <c r="B1025" i="20"/>
  <c r="D1025" i="20" l="1"/>
  <c r="H1025" i="20" s="1"/>
  <c r="E1025" i="20"/>
  <c r="G1025" i="20" s="1"/>
  <c r="I1024" i="20"/>
  <c r="B1026" i="20"/>
  <c r="E1026" i="20" l="1"/>
  <c r="G1026" i="20" s="1"/>
  <c r="D1026" i="20"/>
  <c r="H1026" i="20" s="1"/>
  <c r="B1027" i="20"/>
  <c r="I1025" i="20"/>
  <c r="I1026" i="20" l="1"/>
  <c r="E1027" i="20"/>
  <c r="G1027" i="20" s="1"/>
  <c r="D1027" i="20"/>
  <c r="H1027" i="20" s="1"/>
  <c r="B1028" i="20"/>
  <c r="E1028" i="20" l="1"/>
  <c r="G1028" i="20" s="1"/>
  <c r="D1028" i="20"/>
  <c r="H1028" i="20" s="1"/>
  <c r="I1027" i="20"/>
  <c r="B1029" i="20"/>
  <c r="E1029" i="20" l="1"/>
  <c r="G1029" i="20" s="1"/>
  <c r="D1029" i="20"/>
  <c r="H1029" i="20" s="1"/>
  <c r="I1028" i="20"/>
  <c r="B1030" i="20"/>
  <c r="E1030" i="20" l="1"/>
  <c r="G1030" i="20" s="1"/>
  <c r="D1030" i="20"/>
  <c r="H1030" i="20" s="1"/>
  <c r="I1029" i="20"/>
  <c r="B1031" i="20"/>
  <c r="I1030" i="20" l="1"/>
  <c r="E1031" i="20"/>
  <c r="G1031" i="20" s="1"/>
  <c r="D1031" i="20"/>
  <c r="H1031" i="20" s="1"/>
  <c r="B1032" i="20"/>
  <c r="D1032" i="20" l="1"/>
  <c r="H1032" i="20" s="1"/>
  <c r="E1032" i="20"/>
  <c r="G1032" i="20" s="1"/>
  <c r="I1031" i="20"/>
  <c r="B1033" i="20"/>
  <c r="I1032" i="20" l="1"/>
  <c r="E1033" i="20"/>
  <c r="G1033" i="20" s="1"/>
  <c r="D1033" i="20"/>
  <c r="H1033" i="20" s="1"/>
  <c r="B1034" i="20"/>
  <c r="E1034" i="20" l="1"/>
  <c r="G1034" i="20" s="1"/>
  <c r="D1034" i="20"/>
  <c r="H1034" i="20" s="1"/>
  <c r="B1035" i="20"/>
  <c r="I1033" i="20"/>
  <c r="E1035" i="20" l="1"/>
  <c r="G1035" i="20" s="1"/>
  <c r="D1035" i="20"/>
  <c r="H1035" i="20" s="1"/>
  <c r="B1036" i="20"/>
  <c r="I1034" i="20"/>
  <c r="E1036" i="20" l="1"/>
  <c r="G1036" i="20" s="1"/>
  <c r="D1036" i="20"/>
  <c r="H1036" i="20" s="1"/>
  <c r="I1035" i="20"/>
  <c r="B1037" i="20"/>
  <c r="I1036" i="20" l="1"/>
  <c r="E1037" i="20"/>
  <c r="G1037" i="20" s="1"/>
  <c r="D1037" i="20"/>
  <c r="H1037" i="20" s="1"/>
  <c r="B1038" i="20"/>
  <c r="E1038" i="20" l="1"/>
  <c r="G1038" i="20" s="1"/>
  <c r="D1038" i="20"/>
  <c r="H1038" i="20" s="1"/>
  <c r="B1039" i="20"/>
  <c r="I1037" i="20"/>
  <c r="E1039" i="20" l="1"/>
  <c r="G1039" i="20" s="1"/>
  <c r="D1039" i="20"/>
  <c r="H1039" i="20" s="1"/>
  <c r="B1040" i="20"/>
  <c r="I1038" i="20"/>
  <c r="D1040" i="20" l="1"/>
  <c r="H1040" i="20" s="1"/>
  <c r="E1040" i="20"/>
  <c r="G1040" i="20" s="1"/>
  <c r="I1039" i="20"/>
  <c r="B1041" i="20"/>
  <c r="D1041" i="20" l="1"/>
  <c r="H1041" i="20" s="1"/>
  <c r="E1041" i="20"/>
  <c r="G1041" i="20" s="1"/>
  <c r="I1040" i="20"/>
  <c r="B1042" i="20"/>
  <c r="E1042" i="20" l="1"/>
  <c r="G1042" i="20" s="1"/>
  <c r="D1042" i="20"/>
  <c r="H1042" i="20" s="1"/>
  <c r="B1043" i="20"/>
  <c r="I1041" i="20"/>
  <c r="E1043" i="20" l="1"/>
  <c r="G1043" i="20" s="1"/>
  <c r="D1043" i="20"/>
  <c r="H1043" i="20" s="1"/>
  <c r="B1044" i="20"/>
  <c r="I1042" i="20"/>
  <c r="E1044" i="20" l="1"/>
  <c r="G1044" i="20" s="1"/>
  <c r="D1044" i="20"/>
  <c r="H1044" i="20" s="1"/>
  <c r="I1043" i="20"/>
  <c r="B1045" i="20"/>
  <c r="I1044" i="20" l="1"/>
  <c r="E1045" i="20"/>
  <c r="G1045" i="20" s="1"/>
  <c r="D1045" i="20"/>
  <c r="H1045" i="20" s="1"/>
  <c r="B1046" i="20"/>
  <c r="E1046" i="20" l="1"/>
  <c r="G1046" i="20" s="1"/>
  <c r="D1046" i="20"/>
  <c r="H1046" i="20" s="1"/>
  <c r="B1047" i="20"/>
  <c r="I1045" i="20"/>
  <c r="E1047" i="20" l="1"/>
  <c r="G1047" i="20" s="1"/>
  <c r="D1047" i="20"/>
  <c r="H1047" i="20" s="1"/>
  <c r="B1048" i="20"/>
  <c r="I1046" i="20"/>
  <c r="I1047" i="20" l="1"/>
  <c r="E1048" i="20"/>
  <c r="G1048" i="20" s="1"/>
  <c r="D1048" i="20"/>
  <c r="H1048" i="20" s="1"/>
  <c r="B1049" i="20"/>
  <c r="I1048" i="20" l="1"/>
  <c r="E1049" i="20"/>
  <c r="G1049" i="20" s="1"/>
  <c r="D1049" i="20"/>
  <c r="H1049" i="20" s="1"/>
  <c r="B1050" i="20"/>
  <c r="I1049" i="20" l="1"/>
  <c r="E1050" i="20"/>
  <c r="G1050" i="20" s="1"/>
  <c r="D1050" i="20"/>
  <c r="H1050" i="20" s="1"/>
  <c r="B1051" i="20"/>
  <c r="I1050" i="20" l="1"/>
  <c r="E1051" i="20"/>
  <c r="G1051" i="20" s="1"/>
  <c r="D1051" i="20"/>
  <c r="H1051" i="20" s="1"/>
  <c r="B1052" i="20"/>
  <c r="I1051" i="20" l="1"/>
  <c r="E1052" i="20"/>
  <c r="G1052" i="20" s="1"/>
  <c r="D1052" i="20"/>
  <c r="H1052" i="20" s="1"/>
  <c r="B1053" i="20"/>
  <c r="E1053" i="20" l="1"/>
  <c r="G1053" i="20" s="1"/>
  <c r="D1053" i="20"/>
  <c r="H1053" i="20" s="1"/>
  <c r="I1052" i="20"/>
  <c r="B1054" i="20"/>
  <c r="E1054" i="20" l="1"/>
  <c r="G1054" i="20" s="1"/>
  <c r="D1054" i="20"/>
  <c r="H1054" i="20" s="1"/>
  <c r="I1053" i="20"/>
  <c r="B1055" i="20"/>
  <c r="E1055" i="20" l="1"/>
  <c r="G1055" i="20" s="1"/>
  <c r="D1055" i="20"/>
  <c r="H1055" i="20" s="1"/>
  <c r="I1054" i="20"/>
  <c r="B1056" i="20"/>
  <c r="I1055" i="20" l="1"/>
  <c r="D1056" i="20"/>
  <c r="H1056" i="20" s="1"/>
  <c r="E1056" i="20"/>
  <c r="G1056" i="20" s="1"/>
  <c r="B1057" i="20"/>
  <c r="D1057" i="20" l="1"/>
  <c r="H1057" i="20" s="1"/>
  <c r="E1057" i="20"/>
  <c r="G1057" i="20" s="1"/>
  <c r="I1056" i="20"/>
  <c r="B1058" i="20"/>
  <c r="E1058" i="20" l="1"/>
  <c r="G1058" i="20" s="1"/>
  <c r="D1058" i="20"/>
  <c r="H1058" i="20" s="1"/>
  <c r="I1057" i="20"/>
  <c r="B1059" i="20"/>
  <c r="E1059" i="20" l="1"/>
  <c r="G1059" i="20" s="1"/>
  <c r="D1059" i="20"/>
  <c r="H1059" i="20" s="1"/>
  <c r="I1058" i="20"/>
  <c r="B1060" i="20"/>
  <c r="I1059" i="20" l="1"/>
  <c r="E1060" i="20"/>
  <c r="G1060" i="20" s="1"/>
  <c r="D1060" i="20"/>
  <c r="H1060" i="20" s="1"/>
  <c r="B1061" i="20"/>
  <c r="E1061" i="20" l="1"/>
  <c r="G1061" i="20" s="1"/>
  <c r="D1061" i="20"/>
  <c r="H1061" i="20" s="1"/>
  <c r="I1060" i="20"/>
  <c r="B1062" i="20"/>
  <c r="E1062" i="20" l="1"/>
  <c r="G1062" i="20" s="1"/>
  <c r="D1062" i="20"/>
  <c r="H1062" i="20" s="1"/>
  <c r="I1061" i="20"/>
  <c r="B1063" i="20"/>
  <c r="E1063" i="20" l="1"/>
  <c r="G1063" i="20" s="1"/>
  <c r="D1063" i="20"/>
  <c r="H1063" i="20" s="1"/>
  <c r="I1062" i="20"/>
  <c r="B1064" i="20"/>
  <c r="I1063" i="20" l="1"/>
  <c r="D1064" i="20"/>
  <c r="H1064" i="20" s="1"/>
  <c r="E1064" i="20"/>
  <c r="G1064" i="20" s="1"/>
  <c r="B1065" i="20"/>
  <c r="E1065" i="20" l="1"/>
  <c r="G1065" i="20" s="1"/>
  <c r="D1065" i="20"/>
  <c r="H1065" i="20" s="1"/>
  <c r="I1064" i="20"/>
  <c r="B1066" i="20"/>
  <c r="E1066" i="20" l="1"/>
  <c r="G1066" i="20" s="1"/>
  <c r="D1066" i="20"/>
  <c r="H1066" i="20" s="1"/>
  <c r="I1065" i="20"/>
  <c r="B1067" i="20"/>
  <c r="E1067" i="20" l="1"/>
  <c r="G1067" i="20" s="1"/>
  <c r="D1067" i="20"/>
  <c r="H1067" i="20" s="1"/>
  <c r="I1066" i="20"/>
  <c r="B1068" i="20"/>
  <c r="I1067" i="20" l="1"/>
  <c r="E1068" i="20"/>
  <c r="G1068" i="20" s="1"/>
  <c r="D1068" i="20"/>
  <c r="H1068" i="20" s="1"/>
  <c r="B1069" i="20"/>
  <c r="E1069" i="20" l="1"/>
  <c r="G1069" i="20" s="1"/>
  <c r="D1069" i="20"/>
  <c r="H1069" i="20" s="1"/>
  <c r="I1068" i="20"/>
  <c r="B1070" i="20"/>
  <c r="E1070" i="20" l="1"/>
  <c r="G1070" i="20" s="1"/>
  <c r="D1070" i="20"/>
  <c r="H1070" i="20" s="1"/>
  <c r="I1069" i="20"/>
  <c r="B1071" i="20"/>
  <c r="E1071" i="20" l="1"/>
  <c r="G1071" i="20" s="1"/>
  <c r="D1071" i="20"/>
  <c r="H1071" i="20" s="1"/>
  <c r="I1070" i="20"/>
  <c r="B1072" i="20"/>
  <c r="I1071" i="20" l="1"/>
  <c r="D1072" i="20"/>
  <c r="H1072" i="20" s="1"/>
  <c r="E1072" i="20"/>
  <c r="G1072" i="20" s="1"/>
  <c r="B1073" i="20"/>
  <c r="D1073" i="20" l="1"/>
  <c r="H1073" i="20" s="1"/>
  <c r="E1073" i="20"/>
  <c r="G1073" i="20" s="1"/>
  <c r="I1072" i="20"/>
  <c r="B1074" i="20"/>
  <c r="E1074" i="20" l="1"/>
  <c r="G1074" i="20" s="1"/>
  <c r="D1074" i="20"/>
  <c r="H1074" i="20" s="1"/>
  <c r="I1073" i="20"/>
  <c r="B1075" i="20"/>
  <c r="E1075" i="20" l="1"/>
  <c r="G1075" i="20" s="1"/>
  <c r="D1075" i="20"/>
  <c r="H1075" i="20" s="1"/>
  <c r="I1074" i="20"/>
  <c r="B1076" i="20"/>
  <c r="I1075" i="20" l="1"/>
  <c r="E1076" i="20"/>
  <c r="G1076" i="20" s="1"/>
  <c r="D1076" i="20"/>
  <c r="H1076" i="20" s="1"/>
  <c r="B1077" i="20"/>
  <c r="E1077" i="20" l="1"/>
  <c r="G1077" i="20" s="1"/>
  <c r="D1077" i="20"/>
  <c r="H1077" i="20" s="1"/>
  <c r="I1076" i="20"/>
  <c r="B1078" i="20"/>
  <c r="E1078" i="20" l="1"/>
  <c r="G1078" i="20" s="1"/>
  <c r="D1078" i="20"/>
  <c r="H1078" i="20" s="1"/>
  <c r="I1077" i="20"/>
  <c r="B1079" i="20"/>
  <c r="E1079" i="20" l="1"/>
  <c r="G1079" i="20" s="1"/>
  <c r="D1079" i="20"/>
  <c r="H1079" i="20" s="1"/>
  <c r="I1078" i="20"/>
  <c r="B1080" i="20"/>
  <c r="D1080" i="20" l="1"/>
  <c r="H1080" i="20" s="1"/>
  <c r="E1080" i="20"/>
  <c r="G1080" i="20" s="1"/>
  <c r="I1079" i="20"/>
  <c r="B1081" i="20"/>
  <c r="I1080" i="20" l="1"/>
  <c r="D1081" i="20"/>
  <c r="H1081" i="20" s="1"/>
  <c r="E1081" i="20"/>
  <c r="G1081" i="20" s="1"/>
  <c r="B1082" i="20"/>
  <c r="E1082" i="20" l="1"/>
  <c r="G1082" i="20" s="1"/>
  <c r="D1082" i="20"/>
  <c r="H1082" i="20" s="1"/>
  <c r="B1083" i="20"/>
  <c r="I1081" i="20"/>
  <c r="E1083" i="20" l="1"/>
  <c r="G1083" i="20" s="1"/>
  <c r="D1083" i="20"/>
  <c r="H1083" i="20" s="1"/>
  <c r="I1082" i="20"/>
  <c r="B1084" i="20"/>
  <c r="I1083" i="20" l="1"/>
  <c r="E1084" i="20"/>
  <c r="G1084" i="20" s="1"/>
  <c r="D1084" i="20"/>
  <c r="H1084" i="20" s="1"/>
  <c r="B1085" i="20"/>
  <c r="E1085" i="20" l="1"/>
  <c r="G1085" i="20" s="1"/>
  <c r="D1085" i="20"/>
  <c r="H1085" i="20" s="1"/>
  <c r="I1084" i="20"/>
  <c r="B1086" i="20"/>
  <c r="D1086" i="20" l="1"/>
  <c r="H1086" i="20" s="1"/>
  <c r="E1086" i="20"/>
  <c r="G1086" i="20" s="1"/>
  <c r="I1085" i="20"/>
  <c r="B1087" i="20"/>
  <c r="E1087" i="20" l="1"/>
  <c r="G1087" i="20" s="1"/>
  <c r="D1087" i="20"/>
  <c r="H1087" i="20" s="1"/>
  <c r="I1086" i="20"/>
  <c r="B1088" i="20"/>
  <c r="I1087" i="20" l="1"/>
  <c r="E1088" i="20"/>
  <c r="G1088" i="20" s="1"/>
  <c r="D1088" i="20"/>
  <c r="H1088" i="20" s="1"/>
  <c r="B1089" i="20"/>
  <c r="I1088" i="20" l="1"/>
  <c r="E1089" i="20"/>
  <c r="G1089" i="20" s="1"/>
  <c r="D1089" i="20"/>
  <c r="H1089" i="20" s="1"/>
  <c r="B1090" i="20"/>
  <c r="E1090" i="20" l="1"/>
  <c r="G1090" i="20" s="1"/>
  <c r="D1090" i="20"/>
  <c r="H1090" i="20" s="1"/>
  <c r="I1089" i="20"/>
  <c r="B1091" i="20"/>
  <c r="E1091" i="20" l="1"/>
  <c r="G1091" i="20" s="1"/>
  <c r="D1091" i="20"/>
  <c r="H1091" i="20" s="1"/>
  <c r="I1090" i="20"/>
  <c r="B1092" i="20"/>
  <c r="I1091" i="20" l="1"/>
  <c r="E1092" i="20"/>
  <c r="G1092" i="20" s="1"/>
  <c r="D1092" i="20"/>
  <c r="H1092" i="20" s="1"/>
  <c r="B1093" i="20"/>
  <c r="E1093" i="20" l="1"/>
  <c r="G1093" i="20" s="1"/>
  <c r="D1093" i="20"/>
  <c r="H1093" i="20" s="1"/>
  <c r="I1092" i="20"/>
  <c r="B1094" i="20"/>
  <c r="E1094" i="20" l="1"/>
  <c r="G1094" i="20" s="1"/>
  <c r="D1094" i="20"/>
  <c r="H1094" i="20" s="1"/>
  <c r="I1093" i="20"/>
  <c r="B1095" i="20"/>
  <c r="I1094" i="20" l="1"/>
  <c r="E1095" i="20"/>
  <c r="G1095" i="20" s="1"/>
  <c r="D1095" i="20"/>
  <c r="H1095" i="20" s="1"/>
  <c r="B1096" i="20"/>
  <c r="I1095" i="20" l="1"/>
  <c r="D1096" i="20"/>
  <c r="H1096" i="20" s="1"/>
  <c r="E1096" i="20"/>
  <c r="G1096" i="20" s="1"/>
  <c r="B1097" i="20"/>
  <c r="I1096" i="20" l="1"/>
  <c r="D1097" i="20"/>
  <c r="H1097" i="20" s="1"/>
  <c r="E1097" i="20"/>
  <c r="G1097" i="20" s="1"/>
  <c r="B1098" i="20"/>
  <c r="E1098" i="20" l="1"/>
  <c r="G1098" i="20" s="1"/>
  <c r="D1098" i="20"/>
  <c r="H1098" i="20" s="1"/>
  <c r="I1097" i="20"/>
  <c r="B1099" i="20"/>
  <c r="E1099" i="20" l="1"/>
  <c r="G1099" i="20" s="1"/>
  <c r="D1099" i="20"/>
  <c r="H1099" i="20" s="1"/>
  <c r="I1098" i="20"/>
  <c r="B1100" i="20"/>
  <c r="I1099" i="20" l="1"/>
  <c r="E1100" i="20"/>
  <c r="G1100" i="20" s="1"/>
  <c r="D1100" i="20"/>
  <c r="H1100" i="20" s="1"/>
  <c r="B1101" i="20"/>
  <c r="E1101" i="20" l="1"/>
  <c r="G1101" i="20" s="1"/>
  <c r="D1101" i="20"/>
  <c r="H1101" i="20" s="1"/>
  <c r="I1100" i="20"/>
  <c r="B1102" i="20"/>
  <c r="E1102" i="20" l="1"/>
  <c r="G1102" i="20" s="1"/>
  <c r="D1102" i="20"/>
  <c r="H1102" i="20" s="1"/>
  <c r="B1103" i="20"/>
  <c r="I1101" i="20"/>
  <c r="E1103" i="20" l="1"/>
  <c r="G1103" i="20" s="1"/>
  <c r="D1103" i="20"/>
  <c r="H1103" i="20" s="1"/>
  <c r="I1102" i="20"/>
  <c r="B1104" i="20"/>
  <c r="I1103" i="20" l="1"/>
  <c r="D1104" i="20"/>
  <c r="H1104" i="20" s="1"/>
  <c r="E1104" i="20"/>
  <c r="G1104" i="20" s="1"/>
  <c r="B1105" i="20"/>
  <c r="I1104" i="20" l="1"/>
  <c r="D1105" i="20"/>
  <c r="H1105" i="20" s="1"/>
  <c r="E1105" i="20"/>
  <c r="G1105" i="20" s="1"/>
  <c r="B1106" i="20"/>
  <c r="E1106" i="20" l="1"/>
  <c r="G1106" i="20" s="1"/>
  <c r="D1106" i="20"/>
  <c r="H1106" i="20" s="1"/>
  <c r="I1105" i="20"/>
  <c r="B1107" i="20"/>
  <c r="I1106" i="20" l="1"/>
  <c r="E1107" i="20"/>
  <c r="G1107" i="20" s="1"/>
  <c r="D1107" i="20"/>
  <c r="H1107" i="20" s="1"/>
  <c r="B1108" i="20"/>
  <c r="I1107" i="20" l="1"/>
  <c r="E1108" i="20"/>
  <c r="G1108" i="20" s="1"/>
  <c r="D1108" i="20"/>
  <c r="H1108" i="20" s="1"/>
  <c r="B1109" i="20"/>
  <c r="E1109" i="20" l="1"/>
  <c r="G1109" i="20" s="1"/>
  <c r="D1109" i="20"/>
  <c r="H1109" i="20" s="1"/>
  <c r="I1108" i="20"/>
  <c r="B1110" i="20"/>
  <c r="E1110" i="20" l="1"/>
  <c r="G1110" i="20" s="1"/>
  <c r="D1110" i="20"/>
  <c r="H1110" i="20" s="1"/>
  <c r="I1109" i="20"/>
  <c r="B1111" i="20"/>
  <c r="I1110" i="20" l="1"/>
  <c r="E1111" i="20"/>
  <c r="G1111" i="20" s="1"/>
  <c r="D1111" i="20"/>
  <c r="H1111" i="20" s="1"/>
  <c r="B1112" i="20"/>
  <c r="I1111" i="20" l="1"/>
  <c r="E1112" i="20"/>
  <c r="G1112" i="20" s="1"/>
  <c r="D1112" i="20"/>
  <c r="H1112" i="20" s="1"/>
  <c r="B1113" i="20"/>
  <c r="I1112" i="20" l="1"/>
  <c r="E1113" i="20"/>
  <c r="G1113" i="20" s="1"/>
  <c r="D1113" i="20"/>
  <c r="H1113" i="20" s="1"/>
  <c r="B1114" i="20"/>
  <c r="E1114" i="20" l="1"/>
  <c r="G1114" i="20" s="1"/>
  <c r="D1114" i="20"/>
  <c r="H1114" i="20" s="1"/>
  <c r="B1115" i="20"/>
  <c r="I1113" i="20"/>
  <c r="E1115" i="20" l="1"/>
  <c r="G1115" i="20" s="1"/>
  <c r="D1115" i="20"/>
  <c r="H1115" i="20" s="1"/>
  <c r="I1114" i="20"/>
  <c r="B1116" i="20"/>
  <c r="E1116" i="20" l="1"/>
  <c r="G1116" i="20" s="1"/>
  <c r="D1116" i="20"/>
  <c r="H1116" i="20" s="1"/>
  <c r="I1115" i="20"/>
  <c r="B1117" i="20"/>
  <c r="I1116" i="20" l="1"/>
  <c r="E1117" i="20"/>
  <c r="G1117" i="20" s="1"/>
  <c r="D1117" i="20"/>
  <c r="H1117" i="20" s="1"/>
  <c r="B1118" i="20"/>
  <c r="E1118" i="20" l="1"/>
  <c r="G1118" i="20" s="1"/>
  <c r="D1118" i="20"/>
  <c r="H1118" i="20" s="1"/>
  <c r="I1117" i="20"/>
  <c r="B1119" i="20"/>
  <c r="I1118" i="20" l="1"/>
  <c r="E1119" i="20"/>
  <c r="G1119" i="20" s="1"/>
  <c r="D1119" i="20"/>
  <c r="H1119" i="20" s="1"/>
  <c r="B1120" i="20"/>
  <c r="I1119" i="20" l="1"/>
  <c r="D1120" i="20"/>
  <c r="H1120" i="20" s="1"/>
  <c r="E1120" i="20"/>
  <c r="G1120" i="20" s="1"/>
  <c r="B1121" i="20"/>
  <c r="I1120" i="20" l="1"/>
  <c r="D1121" i="20"/>
  <c r="H1121" i="20" s="1"/>
  <c r="E1121" i="20"/>
  <c r="G1121" i="20" s="1"/>
  <c r="B1122" i="20"/>
  <c r="E1122" i="20" l="1"/>
  <c r="G1122" i="20" s="1"/>
  <c r="D1122" i="20"/>
  <c r="H1122" i="20" s="1"/>
  <c r="B1123" i="20"/>
  <c r="I1121" i="20"/>
  <c r="E1123" i="20" l="1"/>
  <c r="G1123" i="20" s="1"/>
  <c r="D1123" i="20"/>
  <c r="H1123" i="20" s="1"/>
  <c r="I1122" i="20"/>
  <c r="B1124" i="20"/>
  <c r="I1123" i="20" l="1"/>
  <c r="E1124" i="20"/>
  <c r="G1124" i="20" s="1"/>
  <c r="D1124" i="20"/>
  <c r="H1124" i="20" s="1"/>
  <c r="B1125" i="20"/>
  <c r="E1125" i="20" l="1"/>
  <c r="G1125" i="20" s="1"/>
  <c r="D1125" i="20"/>
  <c r="H1125" i="20" s="1"/>
  <c r="I1124" i="20"/>
  <c r="B1126" i="20"/>
  <c r="I1125" i="20" l="1"/>
  <c r="E1126" i="20"/>
  <c r="G1126" i="20" s="1"/>
  <c r="D1126" i="20"/>
  <c r="H1126" i="20" s="1"/>
  <c r="B1127" i="20"/>
  <c r="D1127" i="20" l="1"/>
  <c r="H1127" i="20" s="1"/>
  <c r="E1127" i="20"/>
  <c r="G1127" i="20" s="1"/>
  <c r="I1126" i="20"/>
  <c r="B1128" i="20"/>
  <c r="D1128" i="20" l="1"/>
  <c r="H1128" i="20" s="1"/>
  <c r="E1128" i="20"/>
  <c r="G1128" i="20" s="1"/>
  <c r="I1127" i="20"/>
  <c r="B1129" i="20"/>
  <c r="E1129" i="20" l="1"/>
  <c r="G1129" i="20" s="1"/>
  <c r="D1129" i="20"/>
  <c r="H1129" i="20" s="1"/>
  <c r="I1128" i="20"/>
  <c r="B1130" i="20"/>
  <c r="I1129" i="20" l="1"/>
  <c r="D1130" i="20"/>
  <c r="H1130" i="20" s="1"/>
  <c r="E1130" i="20"/>
  <c r="G1130" i="20" s="1"/>
  <c r="B1131" i="20"/>
  <c r="D1131" i="20" l="1"/>
  <c r="H1131" i="20" s="1"/>
  <c r="E1131" i="20"/>
  <c r="G1131" i="20" s="1"/>
  <c r="I1130" i="20"/>
  <c r="B1132" i="20"/>
  <c r="E1132" i="20" l="1"/>
  <c r="G1132" i="20" s="1"/>
  <c r="D1132" i="20"/>
  <c r="H1132" i="20" s="1"/>
  <c r="I1131" i="20"/>
  <c r="B1133" i="20"/>
  <c r="E1133" i="20" l="1"/>
  <c r="G1133" i="20" s="1"/>
  <c r="D1133" i="20"/>
  <c r="H1133" i="20" s="1"/>
  <c r="I1132" i="20"/>
  <c r="B1134" i="20"/>
  <c r="E1134" i="20" l="1"/>
  <c r="G1134" i="20" s="1"/>
  <c r="D1134" i="20"/>
  <c r="H1134" i="20" s="1"/>
  <c r="B1135" i="20"/>
  <c r="I1133" i="20"/>
  <c r="D1135" i="20" l="1"/>
  <c r="H1135" i="20" s="1"/>
  <c r="E1135" i="20"/>
  <c r="G1135" i="20" s="1"/>
  <c r="I1134" i="20"/>
  <c r="B1136" i="20"/>
  <c r="E1136" i="20" l="1"/>
  <c r="G1136" i="20" s="1"/>
  <c r="D1136" i="20"/>
  <c r="H1136" i="20" s="1"/>
  <c r="I1135" i="20"/>
  <c r="B1137" i="20"/>
  <c r="I1136" i="20" l="1"/>
  <c r="D1137" i="20"/>
  <c r="H1137" i="20" s="1"/>
  <c r="E1137" i="20"/>
  <c r="G1137" i="20" s="1"/>
  <c r="B1138" i="20"/>
  <c r="D1138" i="20" l="1"/>
  <c r="H1138" i="20" s="1"/>
  <c r="E1138" i="20"/>
  <c r="G1138" i="20" s="1"/>
  <c r="B1139" i="20"/>
  <c r="I1137" i="20"/>
  <c r="D1139" i="20" l="1"/>
  <c r="H1139" i="20" s="1"/>
  <c r="E1139" i="20"/>
  <c r="G1139" i="20" s="1"/>
  <c r="I1138" i="20"/>
  <c r="B1140" i="20"/>
  <c r="I1139" i="20" l="1"/>
  <c r="E1140" i="20"/>
  <c r="G1140" i="20" s="1"/>
  <c r="D1140" i="20"/>
  <c r="H1140" i="20" s="1"/>
  <c r="B1141" i="20"/>
  <c r="E1141" i="20" l="1"/>
  <c r="G1141" i="20" s="1"/>
  <c r="D1141" i="20"/>
  <c r="H1141" i="20" s="1"/>
  <c r="I1140" i="20"/>
  <c r="B1142" i="20"/>
  <c r="D1142" i="20" l="1"/>
  <c r="H1142" i="20" s="1"/>
  <c r="E1142" i="20"/>
  <c r="G1142" i="20" s="1"/>
  <c r="B1143" i="20"/>
  <c r="I1141" i="20"/>
  <c r="E1143" i="20" l="1"/>
  <c r="G1143" i="20" s="1"/>
  <c r="D1143" i="20"/>
  <c r="H1143" i="20" s="1"/>
  <c r="I1142" i="20"/>
  <c r="B1144" i="20"/>
  <c r="E1144" i="20" l="1"/>
  <c r="G1144" i="20" s="1"/>
  <c r="D1144" i="20"/>
  <c r="H1144" i="20" s="1"/>
  <c r="I1143" i="20"/>
  <c r="B1145" i="20"/>
  <c r="I1144" i="20" l="1"/>
  <c r="E1145" i="20"/>
  <c r="G1145" i="20" s="1"/>
  <c r="D1145" i="20"/>
  <c r="H1145" i="20" s="1"/>
  <c r="B1146" i="20"/>
  <c r="E1146" i="20" l="1"/>
  <c r="G1146" i="20" s="1"/>
  <c r="D1146" i="20"/>
  <c r="H1146" i="20" s="1"/>
  <c r="I1145" i="20"/>
  <c r="B1147" i="20"/>
  <c r="D1147" i="20" l="1"/>
  <c r="H1147" i="20" s="1"/>
  <c r="E1147" i="20"/>
  <c r="G1147" i="20" s="1"/>
  <c r="B1148" i="20"/>
  <c r="I1146" i="20"/>
  <c r="I1147" i="20" l="1"/>
  <c r="E1148" i="20"/>
  <c r="G1148" i="20" s="1"/>
  <c r="D1148" i="20"/>
  <c r="H1148" i="20" s="1"/>
  <c r="B1149" i="20"/>
  <c r="E1149" i="20" l="1"/>
  <c r="G1149" i="20" s="1"/>
  <c r="D1149" i="20"/>
  <c r="H1149" i="20" s="1"/>
  <c r="I1148" i="20"/>
  <c r="B1150" i="20"/>
  <c r="I1149" i="20" l="1"/>
  <c r="E1150" i="20"/>
  <c r="G1150" i="20" s="1"/>
  <c r="D1150" i="20"/>
  <c r="H1150" i="20" s="1"/>
  <c r="B1151" i="20"/>
  <c r="E1151" i="20" l="1"/>
  <c r="G1151" i="20" s="1"/>
  <c r="D1151" i="20"/>
  <c r="H1151" i="20" s="1"/>
  <c r="I1150" i="20"/>
  <c r="B1152" i="20"/>
  <c r="E1152" i="20" l="1"/>
  <c r="G1152" i="20" s="1"/>
  <c r="D1152" i="20"/>
  <c r="H1152" i="20" s="1"/>
  <c r="I1151" i="20"/>
  <c r="B1153" i="20"/>
  <c r="E1153" i="20" l="1"/>
  <c r="G1153" i="20" s="1"/>
  <c r="D1153" i="20"/>
  <c r="H1153" i="20" s="1"/>
  <c r="B1154" i="20"/>
  <c r="I1152" i="20"/>
  <c r="E1154" i="20" l="1"/>
  <c r="G1154" i="20" s="1"/>
  <c r="D1154" i="20"/>
  <c r="H1154" i="20" s="1"/>
  <c r="B1155" i="20"/>
  <c r="I1153" i="20"/>
  <c r="D1155" i="20" l="1"/>
  <c r="H1155" i="20" s="1"/>
  <c r="E1155" i="20"/>
  <c r="G1155" i="20" s="1"/>
  <c r="I1154" i="20"/>
  <c r="B1156" i="20"/>
  <c r="I1155" i="20" l="1"/>
  <c r="D1156" i="20"/>
  <c r="H1156" i="20" s="1"/>
  <c r="E1156" i="20"/>
  <c r="G1156" i="20" s="1"/>
  <c r="B1157" i="20"/>
  <c r="I1156" i="20" l="1"/>
  <c r="E1157" i="20"/>
  <c r="G1157" i="20" s="1"/>
  <c r="D1157" i="20"/>
  <c r="H1157" i="20" s="1"/>
  <c r="B1158" i="20"/>
  <c r="E1158" i="20" l="1"/>
  <c r="G1158" i="20" s="1"/>
  <c r="D1158" i="20"/>
  <c r="H1158" i="20" s="1"/>
  <c r="B1159" i="20"/>
  <c r="I1157" i="20"/>
  <c r="E1159" i="20" l="1"/>
  <c r="G1159" i="20" s="1"/>
  <c r="D1159" i="20"/>
  <c r="H1159" i="20" s="1"/>
  <c r="I1158" i="20"/>
  <c r="B1160" i="20"/>
  <c r="E1160" i="20" l="1"/>
  <c r="G1160" i="20" s="1"/>
  <c r="D1160" i="20"/>
  <c r="H1160" i="20" s="1"/>
  <c r="I1159" i="20"/>
  <c r="B1161" i="20"/>
  <c r="E1161" i="20" l="1"/>
  <c r="G1161" i="20" s="1"/>
  <c r="D1161" i="20"/>
  <c r="H1161" i="20" s="1"/>
  <c r="I1160" i="20"/>
  <c r="B1162" i="20"/>
  <c r="E1162" i="20" l="1"/>
  <c r="G1162" i="20" s="1"/>
  <c r="D1162" i="20"/>
  <c r="H1162" i="20" s="1"/>
  <c r="B1163" i="20"/>
  <c r="I1161" i="20"/>
  <c r="D1163" i="20" l="1"/>
  <c r="H1163" i="20" s="1"/>
  <c r="E1163" i="20"/>
  <c r="G1163" i="20" s="1"/>
  <c r="B1164" i="20"/>
  <c r="I1162" i="20"/>
  <c r="I1163" i="20" l="1"/>
  <c r="D1164" i="20"/>
  <c r="H1164" i="20" s="1"/>
  <c r="E1164" i="20"/>
  <c r="G1164" i="20" s="1"/>
  <c r="B1165" i="20"/>
  <c r="I1164" i="20" l="1"/>
  <c r="E1165" i="20"/>
  <c r="G1165" i="20" s="1"/>
  <c r="D1165" i="20"/>
  <c r="H1165" i="20" s="1"/>
  <c r="B1166" i="20"/>
  <c r="E1166" i="20" l="1"/>
  <c r="G1166" i="20" s="1"/>
  <c r="D1166" i="20"/>
  <c r="H1166" i="20" s="1"/>
  <c r="I1165" i="20"/>
  <c r="B1167" i="20"/>
  <c r="E1167" i="20" l="1"/>
  <c r="G1167" i="20" s="1"/>
  <c r="D1167" i="20"/>
  <c r="H1167" i="20" s="1"/>
  <c r="B1168" i="20"/>
  <c r="I1166" i="20"/>
  <c r="E1168" i="20" l="1"/>
  <c r="G1168" i="20" s="1"/>
  <c r="D1168" i="20"/>
  <c r="H1168" i="20" s="1"/>
  <c r="I1167" i="20"/>
  <c r="B1169" i="20"/>
  <c r="E1169" i="20" l="1"/>
  <c r="G1169" i="20" s="1"/>
  <c r="D1169" i="20"/>
  <c r="H1169" i="20" s="1"/>
  <c r="I1168" i="20"/>
  <c r="B1170" i="20"/>
  <c r="E1170" i="20" l="1"/>
  <c r="G1170" i="20" s="1"/>
  <c r="D1170" i="20"/>
  <c r="H1170" i="20" s="1"/>
  <c r="I1169" i="20"/>
  <c r="B1171" i="20"/>
  <c r="E1171" i="20" l="1"/>
  <c r="G1171" i="20" s="1"/>
  <c r="D1171" i="20"/>
  <c r="H1171" i="20" s="1"/>
  <c r="B1172" i="20"/>
  <c r="I1170" i="20"/>
  <c r="I1171" i="20" l="1"/>
  <c r="E1172" i="20"/>
  <c r="G1172" i="20" s="1"/>
  <c r="D1172" i="20"/>
  <c r="H1172" i="20" s="1"/>
  <c r="B1173" i="20"/>
  <c r="E1173" i="20" l="1"/>
  <c r="G1173" i="20" s="1"/>
  <c r="D1173" i="20"/>
  <c r="H1173" i="20" s="1"/>
  <c r="I1172" i="20"/>
  <c r="B1174" i="20"/>
  <c r="E1174" i="20" l="1"/>
  <c r="G1174" i="20" s="1"/>
  <c r="D1174" i="20"/>
  <c r="H1174" i="20" s="1"/>
  <c r="B1175" i="20"/>
  <c r="I1173" i="20"/>
  <c r="E1175" i="20" l="1"/>
  <c r="G1175" i="20" s="1"/>
  <c r="D1175" i="20"/>
  <c r="H1175" i="20" s="1"/>
  <c r="B1176" i="20"/>
  <c r="I1174" i="20"/>
  <c r="E1176" i="20" l="1"/>
  <c r="G1176" i="20" s="1"/>
  <c r="D1176" i="20"/>
  <c r="H1176" i="20" s="1"/>
  <c r="I1175" i="20"/>
  <c r="B1177" i="20"/>
  <c r="D1177" i="20" l="1"/>
  <c r="H1177" i="20" s="1"/>
  <c r="E1177" i="20"/>
  <c r="G1177" i="20" s="1"/>
  <c r="I1176" i="20"/>
  <c r="B1178" i="20"/>
  <c r="D1178" i="20" l="1"/>
  <c r="H1178" i="20" s="1"/>
  <c r="E1178" i="20"/>
  <c r="G1178" i="20" s="1"/>
  <c r="I1177" i="20"/>
  <c r="B1179" i="20"/>
  <c r="I1178" i="20" l="1"/>
  <c r="E1179" i="20"/>
  <c r="G1179" i="20" s="1"/>
  <c r="D1179" i="20"/>
  <c r="H1179" i="20" s="1"/>
  <c r="B1180" i="20"/>
  <c r="I1179" i="20" l="1"/>
  <c r="D1180" i="20"/>
  <c r="H1180" i="20" s="1"/>
  <c r="E1180" i="20"/>
  <c r="G1180" i="20" s="1"/>
  <c r="B1181" i="20"/>
  <c r="I1180" i="20" l="1"/>
  <c r="D1181" i="20"/>
  <c r="H1181" i="20" s="1"/>
  <c r="E1181" i="20"/>
  <c r="G1181" i="20" s="1"/>
  <c r="B1182" i="20"/>
  <c r="E1182" i="20" l="1"/>
  <c r="G1182" i="20" s="1"/>
  <c r="D1182" i="20"/>
  <c r="H1182" i="20" s="1"/>
  <c r="I1181" i="20"/>
  <c r="B1183" i="20"/>
  <c r="I1182" i="20" l="1"/>
  <c r="E1183" i="20"/>
  <c r="G1183" i="20" s="1"/>
  <c r="D1183" i="20"/>
  <c r="H1183" i="20" s="1"/>
  <c r="B1184" i="20"/>
  <c r="I1183" i="20" l="1"/>
  <c r="D1184" i="20"/>
  <c r="H1184" i="20" s="1"/>
  <c r="E1184" i="20"/>
  <c r="G1184" i="20" s="1"/>
  <c r="B1185" i="20"/>
  <c r="I1184" i="20" l="1"/>
  <c r="E1185" i="20"/>
  <c r="G1185" i="20" s="1"/>
  <c r="D1185" i="20"/>
  <c r="H1185" i="20" s="1"/>
  <c r="B1186" i="20"/>
  <c r="D1186" i="20" l="1"/>
  <c r="H1186" i="20" s="1"/>
  <c r="E1186" i="20"/>
  <c r="G1186" i="20" s="1"/>
  <c r="B1187" i="20"/>
  <c r="I1185" i="20"/>
  <c r="E1187" i="20" l="1"/>
  <c r="G1187" i="20" s="1"/>
  <c r="D1187" i="20"/>
  <c r="H1187" i="20" s="1"/>
  <c r="I1186" i="20"/>
  <c r="B1188" i="20"/>
  <c r="I1187" i="20" l="1"/>
  <c r="E1188" i="20"/>
  <c r="G1188" i="20" s="1"/>
  <c r="D1188" i="20"/>
  <c r="H1188" i="20" s="1"/>
  <c r="B1189" i="20"/>
  <c r="E1189" i="20" l="1"/>
  <c r="G1189" i="20" s="1"/>
  <c r="D1189" i="20"/>
  <c r="H1189" i="20" s="1"/>
  <c r="I1188" i="20"/>
  <c r="B1190" i="20"/>
  <c r="D1190" i="20" l="1"/>
  <c r="H1190" i="20" s="1"/>
  <c r="E1190" i="20"/>
  <c r="G1190" i="20" s="1"/>
  <c r="B1191" i="20"/>
  <c r="I1189" i="20"/>
  <c r="D1191" i="20" l="1"/>
  <c r="H1191" i="20" s="1"/>
  <c r="E1191" i="20"/>
  <c r="G1191" i="20" s="1"/>
  <c r="I1190" i="20"/>
  <c r="B1192" i="20"/>
  <c r="I1191" i="20" l="1"/>
  <c r="E1192" i="20"/>
  <c r="G1192" i="20" s="1"/>
  <c r="D1192" i="20"/>
  <c r="H1192" i="20" s="1"/>
  <c r="B1193" i="20"/>
  <c r="I1192" i="20" l="1"/>
  <c r="E1193" i="20"/>
  <c r="G1193" i="20" s="1"/>
  <c r="D1193" i="20"/>
  <c r="H1193" i="20" s="1"/>
  <c r="B1194" i="20"/>
  <c r="E1194" i="20" l="1"/>
  <c r="G1194" i="20" s="1"/>
  <c r="D1194" i="20"/>
  <c r="H1194" i="20" s="1"/>
  <c r="I1193" i="20"/>
  <c r="B1195" i="20"/>
  <c r="I1194" i="20" l="1"/>
  <c r="E1195" i="20"/>
  <c r="G1195" i="20" s="1"/>
  <c r="D1195" i="20"/>
  <c r="H1195" i="20" s="1"/>
  <c r="B1196" i="20"/>
  <c r="I1195" i="20" l="1"/>
  <c r="E1196" i="20"/>
  <c r="G1196" i="20" s="1"/>
  <c r="D1196" i="20"/>
  <c r="H1196" i="20" s="1"/>
  <c r="B1197" i="20"/>
  <c r="I1196" i="20" l="1"/>
  <c r="E1197" i="20"/>
  <c r="G1197" i="20" s="1"/>
  <c r="D1197" i="20"/>
  <c r="H1197" i="20" s="1"/>
  <c r="B1198" i="20"/>
  <c r="E1198" i="20" l="1"/>
  <c r="G1198" i="20" s="1"/>
  <c r="D1198" i="20"/>
  <c r="H1198" i="20" s="1"/>
  <c r="B1199" i="20"/>
  <c r="I1197" i="20"/>
  <c r="D1199" i="20" l="1"/>
  <c r="H1199" i="20" s="1"/>
  <c r="E1199" i="20"/>
  <c r="G1199" i="20" s="1"/>
  <c r="I1198" i="20"/>
  <c r="B1200" i="20"/>
  <c r="I1199" i="20" l="1"/>
  <c r="D1200" i="20"/>
  <c r="H1200" i="20" s="1"/>
  <c r="E1200" i="20"/>
  <c r="G1200" i="20" s="1"/>
  <c r="B1201" i="20"/>
  <c r="I1200" i="20" l="1"/>
  <c r="E1201" i="20"/>
  <c r="G1201" i="20" s="1"/>
  <c r="D1201" i="20"/>
  <c r="H1201" i="20" s="1"/>
  <c r="B1202" i="20"/>
  <c r="E1202" i="20" l="1"/>
  <c r="G1202" i="20" s="1"/>
  <c r="D1202" i="20"/>
  <c r="H1202" i="20" s="1"/>
  <c r="B1203" i="20"/>
  <c r="I1201" i="20"/>
  <c r="E1203" i="20" l="1"/>
  <c r="G1203" i="20" s="1"/>
  <c r="D1203" i="20"/>
  <c r="H1203" i="20" s="1"/>
  <c r="I1202" i="20"/>
  <c r="B1204" i="20"/>
  <c r="I1203" i="20" l="1"/>
  <c r="E1204" i="20"/>
  <c r="G1204" i="20" s="1"/>
  <c r="D1204" i="20"/>
  <c r="H1204" i="20" s="1"/>
  <c r="B1205" i="20"/>
  <c r="E1205" i="20" l="1"/>
  <c r="G1205" i="20" s="1"/>
  <c r="D1205" i="20"/>
  <c r="H1205" i="20" s="1"/>
  <c r="I1204" i="20"/>
  <c r="B1206" i="20"/>
  <c r="I1205" i="20" l="1"/>
  <c r="E1206" i="20"/>
  <c r="G1206" i="20" s="1"/>
  <c r="D1206" i="20"/>
  <c r="H1206" i="20" s="1"/>
  <c r="B1207" i="20"/>
  <c r="D1207" i="20" l="1"/>
  <c r="H1207" i="20" s="1"/>
  <c r="E1207" i="20"/>
  <c r="G1207" i="20" s="1"/>
  <c r="I1206" i="20"/>
  <c r="B1208" i="20"/>
  <c r="I1207" i="20" l="1"/>
  <c r="D1208" i="20"/>
  <c r="H1208" i="20" s="1"/>
  <c r="E1208" i="20"/>
  <c r="G1208" i="20" s="1"/>
  <c r="B1209" i="20"/>
  <c r="E1209" i="20" l="1"/>
  <c r="G1209" i="20" s="1"/>
  <c r="D1209" i="20"/>
  <c r="H1209" i="20" s="1"/>
  <c r="B1210" i="20"/>
  <c r="I1208" i="20"/>
  <c r="I1209" i="20" l="1"/>
  <c r="E1210" i="20"/>
  <c r="G1210" i="20" s="1"/>
  <c r="D1210" i="20"/>
  <c r="H1210" i="20" s="1"/>
  <c r="B1211" i="20"/>
  <c r="I1210" i="20" l="1"/>
  <c r="E1211" i="20"/>
  <c r="G1211" i="20" s="1"/>
  <c r="D1211" i="20"/>
  <c r="H1211" i="20" s="1"/>
  <c r="B1212" i="20"/>
  <c r="E1212" i="20" l="1"/>
  <c r="G1212" i="20" s="1"/>
  <c r="D1212" i="20"/>
  <c r="H1212" i="20" s="1"/>
  <c r="I1211" i="20"/>
  <c r="B1213" i="20"/>
  <c r="E1213" i="20" l="1"/>
  <c r="G1213" i="20" s="1"/>
  <c r="D1213" i="20"/>
  <c r="H1213" i="20" s="1"/>
  <c r="B1214" i="20"/>
  <c r="I1212" i="20"/>
  <c r="I1213" i="20" l="1"/>
  <c r="E1214" i="20"/>
  <c r="G1214" i="20" s="1"/>
  <c r="D1214" i="20"/>
  <c r="H1214" i="20" s="1"/>
  <c r="B1215" i="20"/>
  <c r="I1214" i="20" l="1"/>
  <c r="E1215" i="20"/>
  <c r="G1215" i="20" s="1"/>
  <c r="D1215" i="20"/>
  <c r="H1215" i="20" s="1"/>
  <c r="B1216" i="20"/>
  <c r="E1216" i="20" l="1"/>
  <c r="G1216" i="20" s="1"/>
  <c r="D1216" i="20"/>
  <c r="H1216" i="20" s="1"/>
  <c r="B1217" i="20"/>
  <c r="I1215" i="20"/>
  <c r="E1217" i="20" l="1"/>
  <c r="G1217" i="20" s="1"/>
  <c r="D1217" i="20"/>
  <c r="H1217" i="20" s="1"/>
  <c r="B1218" i="20"/>
  <c r="I1216" i="20"/>
  <c r="I1217" i="20" l="1"/>
  <c r="E1218" i="20"/>
  <c r="G1218" i="20" s="1"/>
  <c r="D1218" i="20"/>
  <c r="H1218" i="20" s="1"/>
  <c r="B1219" i="20"/>
  <c r="I1218" i="20" l="1"/>
  <c r="E1219" i="20"/>
  <c r="G1219" i="20" s="1"/>
  <c r="D1219" i="20"/>
  <c r="H1219" i="20" s="1"/>
  <c r="B1220" i="20"/>
  <c r="E1220" i="20" l="1"/>
  <c r="G1220" i="20" s="1"/>
  <c r="D1220" i="20"/>
  <c r="H1220" i="20" s="1"/>
  <c r="I1219" i="20"/>
  <c r="B1221" i="20"/>
  <c r="E1221" i="20" l="1"/>
  <c r="G1221" i="20" s="1"/>
  <c r="D1221" i="20"/>
  <c r="H1221" i="20" s="1"/>
  <c r="B1222" i="20"/>
  <c r="I1220" i="20"/>
  <c r="I1221" i="20" l="1"/>
  <c r="E1222" i="20"/>
  <c r="G1222" i="20" s="1"/>
  <c r="D1222" i="20"/>
  <c r="H1222" i="20" s="1"/>
  <c r="B1223" i="20"/>
  <c r="I1222" i="20" l="1"/>
  <c r="E1223" i="20"/>
  <c r="G1223" i="20" s="1"/>
  <c r="D1223" i="20"/>
  <c r="H1223" i="20" s="1"/>
  <c r="B1224" i="20"/>
  <c r="D1224" i="20" l="1"/>
  <c r="H1224" i="20" s="1"/>
  <c r="E1224" i="20"/>
  <c r="G1224" i="20" s="1"/>
  <c r="B1225" i="20"/>
  <c r="I1223" i="20"/>
  <c r="E1225" i="20" l="1"/>
  <c r="G1225" i="20" s="1"/>
  <c r="D1225" i="20"/>
  <c r="H1225" i="20" s="1"/>
  <c r="B1226" i="20"/>
  <c r="I1224" i="20"/>
  <c r="I1225" i="20" l="1"/>
  <c r="D1226" i="20"/>
  <c r="H1226" i="20" s="1"/>
  <c r="E1226" i="20"/>
  <c r="G1226" i="20" s="1"/>
  <c r="B1227" i="20"/>
  <c r="I1226" i="20" l="1"/>
  <c r="E1227" i="20"/>
  <c r="G1227" i="20" s="1"/>
  <c r="D1227" i="20"/>
  <c r="H1227" i="20" s="1"/>
  <c r="B1228" i="20"/>
  <c r="D1228" i="20" l="1"/>
  <c r="H1228" i="20" s="1"/>
  <c r="E1228" i="20"/>
  <c r="G1228" i="20" s="1"/>
  <c r="I1227" i="20"/>
  <c r="B1229" i="20"/>
  <c r="D1229" i="20" l="1"/>
  <c r="H1229" i="20" s="1"/>
  <c r="E1229" i="20"/>
  <c r="G1229" i="20" s="1"/>
  <c r="B1230" i="20"/>
  <c r="I1228" i="20"/>
  <c r="I1229" i="20" l="1"/>
  <c r="E1230" i="20"/>
  <c r="G1230" i="20" s="1"/>
  <c r="D1230" i="20"/>
  <c r="H1230" i="20" s="1"/>
  <c r="B1231" i="20"/>
  <c r="I1230" i="20" l="1"/>
  <c r="E1231" i="20"/>
  <c r="G1231" i="20" s="1"/>
  <c r="D1231" i="20"/>
  <c r="H1231" i="20" s="1"/>
  <c r="B1232" i="20"/>
  <c r="E1232" i="20" l="1"/>
  <c r="G1232" i="20" s="1"/>
  <c r="D1232" i="20"/>
  <c r="H1232" i="20" s="1"/>
  <c r="B1233" i="20"/>
  <c r="I1231" i="20"/>
  <c r="D1233" i="20" l="1"/>
  <c r="H1233" i="20" s="1"/>
  <c r="E1233" i="20"/>
  <c r="G1233" i="20" s="1"/>
  <c r="B1234" i="20"/>
  <c r="I1232" i="20"/>
  <c r="I1233" i="20" l="1"/>
  <c r="E1234" i="20"/>
  <c r="G1234" i="20" s="1"/>
  <c r="D1234" i="20"/>
  <c r="H1234" i="20" s="1"/>
  <c r="B1235" i="20"/>
  <c r="I1234" i="20" l="1"/>
  <c r="E1235" i="20"/>
  <c r="G1235" i="20" s="1"/>
  <c r="D1235" i="20"/>
  <c r="H1235" i="20" s="1"/>
  <c r="B1236" i="20"/>
  <c r="D1236" i="20" l="1"/>
  <c r="H1236" i="20" s="1"/>
  <c r="E1236" i="20"/>
  <c r="G1236" i="20" s="1"/>
  <c r="B1237" i="20"/>
  <c r="I1235" i="20"/>
  <c r="D1237" i="20" l="1"/>
  <c r="H1237" i="20" s="1"/>
  <c r="E1237" i="20"/>
  <c r="G1237" i="20" s="1"/>
  <c r="B1238" i="20"/>
  <c r="I1236" i="20"/>
  <c r="I1237" i="20" l="1"/>
  <c r="D1238" i="20"/>
  <c r="H1238" i="20" s="1"/>
  <c r="E1238" i="20"/>
  <c r="G1238" i="20" s="1"/>
  <c r="B1239" i="20"/>
  <c r="I1238" i="20" l="1"/>
  <c r="E1239" i="20"/>
  <c r="G1239" i="20" s="1"/>
  <c r="D1239" i="20"/>
  <c r="H1239" i="20" s="1"/>
  <c r="B1240" i="20"/>
  <c r="D1240" i="20" l="1"/>
  <c r="H1240" i="20" s="1"/>
  <c r="E1240" i="20"/>
  <c r="G1240" i="20" s="1"/>
  <c r="B1241" i="20"/>
  <c r="I1239" i="20"/>
  <c r="D1241" i="20" l="1"/>
  <c r="H1241" i="20" s="1"/>
  <c r="E1241" i="20"/>
  <c r="G1241" i="20" s="1"/>
  <c r="B1242" i="20"/>
  <c r="I1240" i="20"/>
  <c r="I1241" i="20" l="1"/>
  <c r="E1242" i="20"/>
  <c r="G1242" i="20" s="1"/>
  <c r="D1242" i="20"/>
  <c r="H1242" i="20" s="1"/>
  <c r="B1243" i="20"/>
  <c r="I1242" i="20" l="1"/>
  <c r="D1243" i="20"/>
  <c r="H1243" i="20" s="1"/>
  <c r="E1243" i="20"/>
  <c r="G1243" i="20" s="1"/>
  <c r="B1244" i="20"/>
  <c r="D1244" i="20" l="1"/>
  <c r="H1244" i="20" s="1"/>
  <c r="E1244" i="20"/>
  <c r="G1244" i="20" s="1"/>
  <c r="B1245" i="20"/>
  <c r="I1243" i="20"/>
  <c r="E1245" i="20" l="1"/>
  <c r="G1245" i="20" s="1"/>
  <c r="D1245" i="20"/>
  <c r="H1245" i="20" s="1"/>
  <c r="B1246" i="20"/>
  <c r="I1244" i="20"/>
  <c r="I1245" i="20" l="1"/>
  <c r="E1246" i="20"/>
  <c r="G1246" i="20" s="1"/>
  <c r="D1246" i="20"/>
  <c r="H1246" i="20" s="1"/>
  <c r="B1247" i="20"/>
  <c r="I1246" i="20" l="1"/>
  <c r="E1247" i="20"/>
  <c r="G1247" i="20" s="1"/>
  <c r="D1247" i="20"/>
  <c r="H1247" i="20" s="1"/>
  <c r="B1248" i="20"/>
  <c r="E1248" i="20" l="1"/>
  <c r="G1248" i="20" s="1"/>
  <c r="D1248" i="20"/>
  <c r="H1248" i="20" s="1"/>
  <c r="I1247" i="20"/>
  <c r="B1249" i="20"/>
  <c r="E1249" i="20" l="1"/>
  <c r="G1249" i="20" s="1"/>
  <c r="D1249" i="20"/>
  <c r="H1249" i="20" s="1"/>
  <c r="B1250" i="20"/>
  <c r="I1248" i="20"/>
  <c r="I1249" i="20" l="1"/>
  <c r="E1250" i="20"/>
  <c r="G1250" i="20" s="1"/>
  <c r="D1250" i="20"/>
  <c r="H1250" i="20" s="1"/>
  <c r="B1251" i="20"/>
  <c r="I1250" i="20" l="1"/>
  <c r="D1251" i="20"/>
  <c r="H1251" i="20" s="1"/>
  <c r="E1251" i="20"/>
  <c r="G1251" i="20" s="1"/>
  <c r="B1252" i="20"/>
  <c r="E1252" i="20" l="1"/>
  <c r="G1252" i="20" s="1"/>
  <c r="D1252" i="20"/>
  <c r="H1252" i="20" s="1"/>
  <c r="I1251" i="20"/>
  <c r="B1253" i="20"/>
  <c r="E1253" i="20" l="1"/>
  <c r="G1253" i="20" s="1"/>
  <c r="D1253" i="20"/>
  <c r="H1253" i="20" s="1"/>
  <c r="B1254" i="20"/>
  <c r="I1252" i="20"/>
  <c r="I1253" i="20" l="1"/>
  <c r="E1254" i="20"/>
  <c r="G1254" i="20" s="1"/>
  <c r="D1254" i="20"/>
  <c r="H1254" i="20" s="1"/>
  <c r="B1255" i="20"/>
  <c r="I1254" i="20" l="1"/>
  <c r="E1255" i="20"/>
  <c r="G1255" i="20" s="1"/>
  <c r="D1255" i="20"/>
  <c r="H1255" i="20" s="1"/>
  <c r="B1256" i="20"/>
  <c r="E1256" i="20" l="1"/>
  <c r="G1256" i="20" s="1"/>
  <c r="D1256" i="20"/>
  <c r="H1256" i="20" s="1"/>
  <c r="B1257" i="20"/>
  <c r="I1255" i="20"/>
  <c r="E1257" i="20" l="1"/>
  <c r="G1257" i="20" s="1"/>
  <c r="D1257" i="20"/>
  <c r="H1257" i="20" s="1"/>
  <c r="B1258" i="20"/>
  <c r="I1256" i="20"/>
  <c r="I1257" i="20" l="1"/>
  <c r="E1258" i="20"/>
  <c r="G1258" i="20" s="1"/>
  <c r="D1258" i="20"/>
  <c r="H1258" i="20" s="1"/>
  <c r="B1259" i="20"/>
  <c r="I1258" i="20" l="1"/>
  <c r="D1259" i="20"/>
  <c r="H1259" i="20" s="1"/>
  <c r="E1259" i="20"/>
  <c r="G1259" i="20" s="1"/>
  <c r="B1260" i="20"/>
  <c r="D1260" i="20" l="1"/>
  <c r="H1260" i="20" s="1"/>
  <c r="E1260" i="20"/>
  <c r="G1260" i="20" s="1"/>
  <c r="B1261" i="20"/>
  <c r="I1259" i="20"/>
  <c r="E1261" i="20" l="1"/>
  <c r="G1261" i="20" s="1"/>
  <c r="D1261" i="20"/>
  <c r="H1261" i="20" s="1"/>
  <c r="B1262" i="20"/>
  <c r="I1260" i="20"/>
  <c r="I1261" i="20" l="1"/>
  <c r="E1262" i="20"/>
  <c r="G1262" i="20" s="1"/>
  <c r="D1262" i="20"/>
  <c r="H1262" i="20" s="1"/>
  <c r="B1263" i="20"/>
  <c r="I1262" i="20" l="1"/>
  <c r="E1263" i="20"/>
  <c r="G1263" i="20" s="1"/>
  <c r="D1263" i="20"/>
  <c r="H1263" i="20" s="1"/>
  <c r="B1264" i="20"/>
  <c r="E1264" i="20" l="1"/>
  <c r="G1264" i="20" s="1"/>
  <c r="D1264" i="20"/>
  <c r="H1264" i="20" s="1"/>
  <c r="B1265" i="20"/>
  <c r="I1263" i="20"/>
  <c r="E1265" i="20" l="1"/>
  <c r="G1265" i="20" s="1"/>
  <c r="D1265" i="20"/>
  <c r="H1265" i="20" s="1"/>
  <c r="B1266" i="20"/>
  <c r="I1264" i="20"/>
  <c r="I1265" i="20" l="1"/>
  <c r="E1266" i="20"/>
  <c r="G1266" i="20" s="1"/>
  <c r="D1266" i="20"/>
  <c r="H1266" i="20" s="1"/>
  <c r="B1267" i="20"/>
  <c r="I1266" i="20" l="1"/>
  <c r="D1267" i="20"/>
  <c r="H1267" i="20" s="1"/>
  <c r="E1267" i="20"/>
  <c r="G1267" i="20" s="1"/>
  <c r="B1268" i="20"/>
  <c r="D1268" i="20" l="1"/>
  <c r="H1268" i="20" s="1"/>
  <c r="E1268" i="20"/>
  <c r="G1268" i="20" s="1"/>
  <c r="B1269" i="20"/>
  <c r="I1267" i="20"/>
  <c r="E1269" i="20" l="1"/>
  <c r="G1269" i="20" s="1"/>
  <c r="D1269" i="20"/>
  <c r="H1269" i="20" s="1"/>
  <c r="B1270" i="20"/>
  <c r="I1268" i="20"/>
  <c r="I1269" i="20" l="1"/>
  <c r="E1270" i="20"/>
  <c r="G1270" i="20" s="1"/>
  <c r="D1270" i="20"/>
  <c r="H1270" i="20" s="1"/>
  <c r="B1271" i="20"/>
  <c r="I1270" i="20" l="1"/>
  <c r="E1271" i="20"/>
  <c r="G1271" i="20" s="1"/>
  <c r="D1271" i="20"/>
  <c r="H1271" i="20" s="1"/>
  <c r="B1272" i="20"/>
  <c r="D1272" i="20" l="1"/>
  <c r="H1272" i="20" s="1"/>
  <c r="E1272" i="20"/>
  <c r="G1272" i="20" s="1"/>
  <c r="B1273" i="20"/>
  <c r="I1271" i="20"/>
  <c r="E1273" i="20" l="1"/>
  <c r="G1273" i="20" s="1"/>
  <c r="D1273" i="20"/>
  <c r="H1273" i="20" s="1"/>
  <c r="B1274" i="20"/>
  <c r="I1272" i="20"/>
  <c r="I1273" i="20" l="1"/>
  <c r="E1274" i="20"/>
  <c r="G1274" i="20" s="1"/>
  <c r="D1274" i="20"/>
  <c r="H1274" i="20" s="1"/>
  <c r="B1275" i="20"/>
  <c r="D1275" i="20" l="1"/>
  <c r="H1275" i="20" s="1"/>
  <c r="E1275" i="20"/>
  <c r="G1275" i="20" s="1"/>
  <c r="B1276" i="20"/>
  <c r="I1274" i="20"/>
  <c r="D1276" i="20" l="1"/>
  <c r="H1276" i="20" s="1"/>
  <c r="E1276" i="20"/>
  <c r="G1276" i="20" s="1"/>
  <c r="I1275" i="20"/>
  <c r="B1277" i="20"/>
  <c r="D1277" i="20" l="1"/>
  <c r="H1277" i="20" s="1"/>
  <c r="E1277" i="20"/>
  <c r="G1277" i="20" s="1"/>
  <c r="I1276" i="20"/>
  <c r="B1278" i="20"/>
  <c r="I1277" i="20" l="1"/>
  <c r="D1278" i="20"/>
  <c r="H1278" i="20" s="1"/>
  <c r="E1278" i="20"/>
  <c r="G1278" i="20" s="1"/>
  <c r="B1279" i="20"/>
  <c r="E1279" i="20" l="1"/>
  <c r="G1279" i="20" s="1"/>
  <c r="D1279" i="20"/>
  <c r="H1279" i="20" s="1"/>
  <c r="B1280" i="20"/>
  <c r="I1278" i="20"/>
  <c r="D1280" i="20" l="1"/>
  <c r="H1280" i="20" s="1"/>
  <c r="E1280" i="20"/>
  <c r="G1280" i="20" s="1"/>
  <c r="I1279" i="20"/>
  <c r="B1281" i="20"/>
  <c r="E1281" i="20" l="1"/>
  <c r="G1281" i="20" s="1"/>
  <c r="D1281" i="20"/>
  <c r="H1281" i="20" s="1"/>
  <c r="I1280" i="20"/>
  <c r="B1282" i="20"/>
  <c r="E1282" i="20" l="1"/>
  <c r="G1282" i="20" s="1"/>
  <c r="D1282" i="20"/>
  <c r="H1282" i="20" s="1"/>
  <c r="I1281" i="20"/>
  <c r="B1283" i="20"/>
  <c r="D1283" i="20" l="1"/>
  <c r="H1283" i="20" s="1"/>
  <c r="E1283" i="20"/>
  <c r="G1283" i="20" s="1"/>
  <c r="B1284" i="20"/>
  <c r="I1282" i="20"/>
  <c r="E1284" i="20" l="1"/>
  <c r="G1284" i="20" s="1"/>
  <c r="D1284" i="20"/>
  <c r="H1284" i="20" s="1"/>
  <c r="I1283" i="20"/>
  <c r="B1285" i="20"/>
  <c r="E1285" i="20" l="1"/>
  <c r="G1285" i="20" s="1"/>
  <c r="D1285" i="20"/>
  <c r="H1285" i="20" s="1"/>
  <c r="I1284" i="20"/>
  <c r="B1286" i="20"/>
  <c r="I1285" i="20" l="1"/>
  <c r="E1286" i="20"/>
  <c r="G1286" i="20" s="1"/>
  <c r="D1286" i="20"/>
  <c r="H1286" i="20" s="1"/>
  <c r="B1287" i="20"/>
  <c r="D1287" i="20" l="1"/>
  <c r="H1287" i="20" s="1"/>
  <c r="E1287" i="20"/>
  <c r="G1287" i="20" s="1"/>
  <c r="B1288" i="20"/>
  <c r="I1286" i="20"/>
  <c r="D1288" i="20" l="1"/>
  <c r="H1288" i="20" s="1"/>
  <c r="E1288" i="20"/>
  <c r="G1288" i="20" s="1"/>
  <c r="I1287" i="20"/>
  <c r="B1289" i="20"/>
  <c r="I1288" i="20" l="1"/>
  <c r="E1289" i="20"/>
  <c r="G1289" i="20" s="1"/>
  <c r="D1289" i="20"/>
  <c r="H1289" i="20" s="1"/>
  <c r="B1290" i="20"/>
  <c r="I1289" i="20" l="1"/>
  <c r="E1290" i="20"/>
  <c r="G1290" i="20" s="1"/>
  <c r="D1290" i="20"/>
  <c r="H1290" i="20" s="1"/>
  <c r="B1291" i="20"/>
  <c r="I1290" i="20" l="1"/>
  <c r="E1291" i="20"/>
  <c r="G1291" i="20" s="1"/>
  <c r="D1291" i="20"/>
  <c r="H1291" i="20" s="1"/>
  <c r="B1292" i="20"/>
  <c r="E1292" i="20" l="1"/>
  <c r="G1292" i="20" s="1"/>
  <c r="D1292" i="20"/>
  <c r="H1292" i="20" s="1"/>
  <c r="I1291" i="20"/>
  <c r="B1293" i="20"/>
  <c r="E1293" i="20" l="1"/>
  <c r="G1293" i="20" s="1"/>
  <c r="D1293" i="20"/>
  <c r="H1293" i="20" s="1"/>
  <c r="B1294" i="20"/>
  <c r="I1292" i="20"/>
  <c r="I1293" i="20" l="1"/>
  <c r="E1294" i="20"/>
  <c r="G1294" i="20" s="1"/>
  <c r="D1294" i="20"/>
  <c r="H1294" i="20" s="1"/>
  <c r="B1295" i="20"/>
  <c r="I1294" i="20" l="1"/>
  <c r="E1295" i="20"/>
  <c r="G1295" i="20" s="1"/>
  <c r="D1295" i="20"/>
  <c r="H1295" i="20" s="1"/>
  <c r="B1296" i="20"/>
  <c r="E1296" i="20" l="1"/>
  <c r="G1296" i="20" s="1"/>
  <c r="D1296" i="20"/>
  <c r="H1296" i="20" s="1"/>
  <c r="B1297" i="20"/>
  <c r="I1295" i="20"/>
  <c r="E1297" i="20" l="1"/>
  <c r="G1297" i="20" s="1"/>
  <c r="D1297" i="20"/>
  <c r="H1297" i="20" s="1"/>
  <c r="B1298" i="20"/>
  <c r="I1296" i="20"/>
  <c r="I1297" i="20" l="1"/>
  <c r="E1298" i="20"/>
  <c r="G1298" i="20" s="1"/>
  <c r="D1298" i="20"/>
  <c r="H1298" i="20" s="1"/>
  <c r="B1299" i="20"/>
  <c r="I1298" i="20" l="1"/>
  <c r="E1299" i="20"/>
  <c r="G1299" i="20" s="1"/>
  <c r="D1299" i="20"/>
  <c r="H1299" i="20" s="1"/>
  <c r="B1300" i="20"/>
  <c r="E1300" i="20" l="1"/>
  <c r="G1300" i="20" s="1"/>
  <c r="D1300" i="20"/>
  <c r="H1300" i="20" s="1"/>
  <c r="B1301" i="20"/>
  <c r="I1299" i="20"/>
  <c r="E1301" i="20" l="1"/>
  <c r="G1301" i="20" s="1"/>
  <c r="D1301" i="20"/>
  <c r="H1301" i="20" s="1"/>
  <c r="B1302" i="20"/>
  <c r="I1300" i="20"/>
  <c r="I1301" i="20" l="1"/>
  <c r="E1302" i="20"/>
  <c r="G1302" i="20" s="1"/>
  <c r="D1302" i="20"/>
  <c r="H1302" i="20" s="1"/>
  <c r="B1303" i="20"/>
  <c r="I1302" i="20" l="1"/>
  <c r="D1303" i="20"/>
  <c r="H1303" i="20" s="1"/>
  <c r="E1303" i="20"/>
  <c r="G1303" i="20" s="1"/>
  <c r="B1304" i="20"/>
  <c r="E1304" i="20" l="1"/>
  <c r="G1304" i="20" s="1"/>
  <c r="D1304" i="20"/>
  <c r="H1304" i="20" s="1"/>
  <c r="B1305" i="20"/>
  <c r="I1303" i="20"/>
  <c r="E1305" i="20" l="1"/>
  <c r="G1305" i="20" s="1"/>
  <c r="D1305" i="20"/>
  <c r="H1305" i="20" s="1"/>
  <c r="B1306" i="20"/>
  <c r="I1304" i="20"/>
  <c r="I1305" i="20" l="1"/>
  <c r="E1306" i="20"/>
  <c r="G1306" i="20" s="1"/>
  <c r="D1306" i="20"/>
  <c r="H1306" i="20" s="1"/>
  <c r="B1307" i="20"/>
  <c r="I1306" i="20" l="1"/>
  <c r="E1307" i="20"/>
  <c r="G1307" i="20" s="1"/>
  <c r="D1307" i="20"/>
  <c r="H1307" i="20" s="1"/>
  <c r="B1308" i="20"/>
  <c r="E1308" i="20" l="1"/>
  <c r="G1308" i="20" s="1"/>
  <c r="D1308" i="20"/>
  <c r="H1308" i="20" s="1"/>
  <c r="B1309" i="20"/>
  <c r="I1307" i="20"/>
  <c r="E1309" i="20" l="1"/>
  <c r="G1309" i="20" s="1"/>
  <c r="D1309" i="20"/>
  <c r="H1309" i="20" s="1"/>
  <c r="B1310" i="20"/>
  <c r="I1308" i="20"/>
  <c r="I1309" i="20" l="1"/>
  <c r="E1310" i="20"/>
  <c r="G1310" i="20" s="1"/>
  <c r="D1310" i="20"/>
  <c r="H1310" i="20" s="1"/>
  <c r="B1311" i="20"/>
  <c r="I1310" i="20" l="1"/>
  <c r="D1311" i="20"/>
  <c r="H1311" i="20" s="1"/>
  <c r="E1311" i="20"/>
  <c r="G1311" i="20" s="1"/>
  <c r="B1312" i="20"/>
  <c r="D1312" i="20" l="1"/>
  <c r="H1312" i="20" s="1"/>
  <c r="E1312" i="20"/>
  <c r="G1312" i="20" s="1"/>
  <c r="B1313" i="20"/>
  <c r="I1311" i="20"/>
  <c r="E1313" i="20" l="1"/>
  <c r="G1313" i="20" s="1"/>
  <c r="D1313" i="20"/>
  <c r="H1313" i="20" s="1"/>
  <c r="B1314" i="20"/>
  <c r="I1312" i="20"/>
  <c r="I1313" i="20" l="1"/>
  <c r="E1314" i="20"/>
  <c r="G1314" i="20" s="1"/>
  <c r="D1314" i="20"/>
  <c r="H1314" i="20" s="1"/>
  <c r="B1315" i="20"/>
  <c r="I1314" i="20" l="1"/>
  <c r="E1315" i="20"/>
  <c r="G1315" i="20" s="1"/>
  <c r="D1315" i="20"/>
  <c r="H1315" i="20" s="1"/>
  <c r="B1316" i="20"/>
  <c r="E1316" i="20" l="1"/>
  <c r="G1316" i="20" s="1"/>
  <c r="D1316" i="20"/>
  <c r="H1316" i="20" s="1"/>
  <c r="B1317" i="20"/>
  <c r="I1315" i="20"/>
  <c r="E1317" i="20" l="1"/>
  <c r="G1317" i="20" s="1"/>
  <c r="D1317" i="20"/>
  <c r="H1317" i="20" s="1"/>
  <c r="B1318" i="20"/>
  <c r="I1316" i="20"/>
  <c r="I1317" i="20" l="1"/>
  <c r="E1318" i="20"/>
  <c r="G1318" i="20" s="1"/>
  <c r="D1318" i="20"/>
  <c r="H1318" i="20" s="1"/>
  <c r="B1319" i="20"/>
  <c r="I1318" i="20" l="1"/>
  <c r="E1319" i="20"/>
  <c r="G1319" i="20" s="1"/>
  <c r="D1319" i="20"/>
  <c r="H1319" i="20" s="1"/>
  <c r="B1320" i="20"/>
  <c r="D1320" i="20" l="1"/>
  <c r="H1320" i="20" s="1"/>
  <c r="E1320" i="20"/>
  <c r="G1320" i="20" s="1"/>
  <c r="B1321" i="20"/>
  <c r="I1319" i="20"/>
  <c r="D1321" i="20" l="1"/>
  <c r="H1321" i="20" s="1"/>
  <c r="E1321" i="20"/>
  <c r="G1321" i="20" s="1"/>
  <c r="B1322" i="20"/>
  <c r="I1320" i="20"/>
  <c r="I1321" i="20" l="1"/>
  <c r="E1322" i="20"/>
  <c r="G1322" i="20" s="1"/>
  <c r="D1322" i="20"/>
  <c r="H1322" i="20" s="1"/>
  <c r="B1323" i="20"/>
  <c r="I1322" i="20" l="1"/>
  <c r="D1323" i="20"/>
  <c r="H1323" i="20" s="1"/>
  <c r="E1323" i="20"/>
  <c r="G1323" i="20" s="1"/>
  <c r="B1324" i="20"/>
  <c r="E1324" i="20" l="1"/>
  <c r="G1324" i="20" s="1"/>
  <c r="D1324" i="20"/>
  <c r="H1324" i="20" s="1"/>
  <c r="B1325" i="20"/>
  <c r="I1323" i="20"/>
  <c r="D1325" i="20" l="1"/>
  <c r="H1325" i="20" s="1"/>
  <c r="E1325" i="20"/>
  <c r="G1325" i="20" s="1"/>
  <c r="B1326" i="20"/>
  <c r="I1324" i="20"/>
  <c r="I1325" i="20" l="1"/>
  <c r="E1326" i="20"/>
  <c r="G1326" i="20" s="1"/>
  <c r="D1326" i="20"/>
  <c r="H1326" i="20" s="1"/>
  <c r="B1327" i="20"/>
  <c r="I1326" i="20" l="1"/>
  <c r="E1327" i="20"/>
  <c r="G1327" i="20" s="1"/>
  <c r="D1327" i="20"/>
  <c r="H1327" i="20" s="1"/>
  <c r="B1328" i="20"/>
  <c r="E1328" i="20" l="1"/>
  <c r="G1328" i="20" s="1"/>
  <c r="D1328" i="20"/>
  <c r="H1328" i="20" s="1"/>
  <c r="I1327" i="20"/>
  <c r="B1329" i="20"/>
  <c r="D1329" i="20" l="1"/>
  <c r="H1329" i="20" s="1"/>
  <c r="E1329" i="20"/>
  <c r="G1329" i="20" s="1"/>
  <c r="B1330" i="20"/>
  <c r="I1328" i="20"/>
  <c r="D1330" i="20" l="1"/>
  <c r="H1330" i="20" s="1"/>
  <c r="E1330" i="20"/>
  <c r="G1330" i="20" s="1"/>
  <c r="I1329" i="20"/>
  <c r="B1331" i="20"/>
  <c r="I1330" i="20" l="1"/>
  <c r="E1331" i="20"/>
  <c r="G1331" i="20" s="1"/>
  <c r="D1331" i="20"/>
  <c r="H1331" i="20" s="1"/>
  <c r="B1332" i="20"/>
  <c r="I1331" i="20" l="1"/>
  <c r="D1332" i="20"/>
  <c r="H1332" i="20" s="1"/>
  <c r="E1332" i="20"/>
  <c r="G1332" i="20" s="1"/>
  <c r="B1333" i="20"/>
  <c r="E1333" i="20" l="1"/>
  <c r="G1333" i="20" s="1"/>
  <c r="D1333" i="20"/>
  <c r="H1333" i="20" s="1"/>
  <c r="I1332" i="20"/>
  <c r="B1334" i="20"/>
  <c r="I1333" i="20" l="1"/>
  <c r="D1334" i="20"/>
  <c r="H1334" i="20" s="1"/>
  <c r="E1334" i="20"/>
  <c r="G1334" i="20" s="1"/>
  <c r="B1335" i="20"/>
  <c r="D1335" i="20" l="1"/>
  <c r="H1335" i="20" s="1"/>
  <c r="E1335" i="20"/>
  <c r="G1335" i="20" s="1"/>
  <c r="I1334" i="20"/>
  <c r="B1336" i="20"/>
  <c r="I1335" i="20" l="1"/>
  <c r="D1336" i="20"/>
  <c r="H1336" i="20" s="1"/>
  <c r="E1336" i="20"/>
  <c r="G1336" i="20" s="1"/>
  <c r="B1337" i="20"/>
  <c r="I1336" i="20" l="1"/>
  <c r="D1337" i="20"/>
  <c r="H1337" i="20" s="1"/>
  <c r="E1337" i="20"/>
  <c r="G1337" i="20" s="1"/>
  <c r="B1338" i="20"/>
  <c r="E1338" i="20" l="1"/>
  <c r="G1338" i="20" s="1"/>
  <c r="D1338" i="20"/>
  <c r="H1338" i="20" s="1"/>
  <c r="B1339" i="20"/>
  <c r="I1337" i="20"/>
  <c r="E1339" i="20" l="1"/>
  <c r="G1339" i="20" s="1"/>
  <c r="D1339" i="20"/>
  <c r="H1339" i="20" s="1"/>
  <c r="B1340" i="20"/>
  <c r="I1338" i="20"/>
  <c r="I1339" i="20" l="1"/>
  <c r="E1340" i="20"/>
  <c r="G1340" i="20" s="1"/>
  <c r="D1340" i="20"/>
  <c r="H1340" i="20" s="1"/>
  <c r="B1341" i="20"/>
  <c r="I1340" i="20" l="1"/>
  <c r="E1341" i="20"/>
  <c r="G1341" i="20" s="1"/>
  <c r="D1341" i="20"/>
  <c r="H1341" i="20" s="1"/>
  <c r="B1342" i="20"/>
  <c r="E1342" i="20" l="1"/>
  <c r="G1342" i="20" s="1"/>
  <c r="D1342" i="20"/>
  <c r="H1342" i="20" s="1"/>
  <c r="B1343" i="20"/>
  <c r="I1341" i="20"/>
  <c r="E1343" i="20" l="1"/>
  <c r="G1343" i="20" s="1"/>
  <c r="D1343" i="20"/>
  <c r="H1343" i="20" s="1"/>
  <c r="I1342" i="20"/>
  <c r="B1344" i="20"/>
  <c r="I1343" i="20" l="1"/>
  <c r="E1344" i="20"/>
  <c r="G1344" i="20" s="1"/>
  <c r="D1344" i="20"/>
  <c r="H1344" i="20" s="1"/>
  <c r="B1345" i="20"/>
  <c r="I1344" i="20" l="1"/>
  <c r="E1345" i="20"/>
  <c r="G1345" i="20" s="1"/>
  <c r="D1345" i="20"/>
  <c r="H1345" i="20" s="1"/>
  <c r="B1346" i="20"/>
  <c r="D1346" i="20" l="1"/>
  <c r="H1346" i="20" s="1"/>
  <c r="E1346" i="20"/>
  <c r="G1346" i="20" s="1"/>
  <c r="B1347" i="20"/>
  <c r="I1345" i="20"/>
  <c r="D1347" i="20" l="1"/>
  <c r="H1347" i="20" s="1"/>
  <c r="E1347" i="20"/>
  <c r="G1347" i="20" s="1"/>
  <c r="I1346" i="20"/>
  <c r="B1348" i="20"/>
  <c r="I1347" i="20" l="1"/>
  <c r="E1348" i="20"/>
  <c r="G1348" i="20" s="1"/>
  <c r="D1348" i="20"/>
  <c r="H1348" i="20" s="1"/>
  <c r="B1349" i="20"/>
  <c r="I1348" i="20" l="1"/>
  <c r="E1349" i="20"/>
  <c r="G1349" i="20" s="1"/>
  <c r="D1349" i="20"/>
  <c r="H1349" i="20" s="1"/>
  <c r="B1350" i="20"/>
  <c r="E1350" i="20" l="1"/>
  <c r="G1350" i="20" s="1"/>
  <c r="D1350" i="20"/>
  <c r="H1350" i="20" s="1"/>
  <c r="B1351" i="20"/>
  <c r="I1349" i="20"/>
  <c r="E1351" i="20" l="1"/>
  <c r="G1351" i="20" s="1"/>
  <c r="D1351" i="20"/>
  <c r="H1351" i="20" s="1"/>
  <c r="I1350" i="20"/>
  <c r="B1352" i="20"/>
  <c r="E1352" i="20" l="1"/>
  <c r="G1352" i="20" s="1"/>
  <c r="D1352" i="20"/>
  <c r="H1352" i="20" s="1"/>
  <c r="I1351" i="20"/>
  <c r="B1353" i="20"/>
  <c r="I1352" i="20" l="1"/>
  <c r="E1353" i="20"/>
  <c r="G1353" i="20" s="1"/>
  <c r="D1353" i="20"/>
  <c r="H1353" i="20" s="1"/>
  <c r="B1354" i="20"/>
  <c r="D1354" i="20" l="1"/>
  <c r="H1354" i="20" s="1"/>
  <c r="E1354" i="20"/>
  <c r="G1354" i="20" s="1"/>
  <c r="B1355" i="20"/>
  <c r="I1353" i="20"/>
  <c r="E1355" i="20" l="1"/>
  <c r="G1355" i="20" s="1"/>
  <c r="D1355" i="20"/>
  <c r="H1355" i="20" s="1"/>
  <c r="I1354" i="20"/>
  <c r="B1356" i="20"/>
  <c r="I1355" i="20" l="1"/>
  <c r="E1356" i="20"/>
  <c r="G1356" i="20" s="1"/>
  <c r="D1356" i="20"/>
  <c r="H1356" i="20" s="1"/>
  <c r="B1357" i="20"/>
  <c r="I1356" i="20" l="1"/>
  <c r="E1357" i="20"/>
  <c r="G1357" i="20" s="1"/>
  <c r="D1357" i="20"/>
  <c r="H1357" i="20" s="1"/>
  <c r="B1358" i="20"/>
  <c r="E1358" i="20" l="1"/>
  <c r="G1358" i="20" s="1"/>
  <c r="D1358" i="20"/>
  <c r="H1358" i="20" s="1"/>
  <c r="B1359" i="20"/>
  <c r="I1357" i="20"/>
  <c r="E1359" i="20" l="1"/>
  <c r="G1359" i="20" s="1"/>
  <c r="D1359" i="20"/>
  <c r="H1359" i="20" s="1"/>
  <c r="I1358" i="20"/>
  <c r="B1360" i="20"/>
  <c r="I1359" i="20" l="1"/>
  <c r="E1360" i="20"/>
  <c r="G1360" i="20" s="1"/>
  <c r="D1360" i="20"/>
  <c r="H1360" i="20" s="1"/>
  <c r="B1361" i="20"/>
  <c r="I1360" i="20" l="1"/>
  <c r="E1361" i="20"/>
  <c r="G1361" i="20" s="1"/>
  <c r="D1361" i="20"/>
  <c r="H1361" i="20" s="1"/>
  <c r="B1362" i="20"/>
  <c r="D1362" i="20" l="1"/>
  <c r="H1362" i="20" s="1"/>
  <c r="E1362" i="20"/>
  <c r="G1362" i="20" s="1"/>
  <c r="I1361" i="20"/>
  <c r="B1363" i="20"/>
  <c r="I1362" i="20" l="1"/>
  <c r="D1363" i="20"/>
  <c r="H1363" i="20" s="1"/>
  <c r="E1363" i="20"/>
  <c r="G1363" i="20" s="1"/>
  <c r="B1364" i="20"/>
  <c r="I1363" i="20" l="1"/>
  <c r="E1364" i="20"/>
  <c r="G1364" i="20" s="1"/>
  <c r="D1364" i="20"/>
  <c r="H1364" i="20" s="1"/>
  <c r="B1365" i="20"/>
  <c r="I1364" i="20" l="1"/>
  <c r="E1365" i="20"/>
  <c r="G1365" i="20" s="1"/>
  <c r="D1365" i="20"/>
  <c r="H1365" i="20" s="1"/>
  <c r="B1366" i="20"/>
  <c r="E1366" i="20" l="1"/>
  <c r="G1366" i="20" s="1"/>
  <c r="D1366" i="20"/>
  <c r="H1366" i="20" s="1"/>
  <c r="B1367" i="20"/>
  <c r="I1365" i="20"/>
  <c r="E1367" i="20" l="1"/>
  <c r="G1367" i="20" s="1"/>
  <c r="D1367" i="20"/>
  <c r="H1367" i="20" s="1"/>
  <c r="I1366" i="20"/>
  <c r="B1368" i="20"/>
  <c r="I1367" i="20" l="1"/>
  <c r="E1368" i="20"/>
  <c r="G1368" i="20" s="1"/>
  <c r="D1368" i="20"/>
  <c r="H1368" i="20" s="1"/>
  <c r="B1369" i="20"/>
  <c r="I1368" i="20" l="1"/>
  <c r="E1369" i="20"/>
  <c r="G1369" i="20" s="1"/>
  <c r="D1369" i="20"/>
  <c r="H1369" i="20" s="1"/>
  <c r="B1370" i="20"/>
  <c r="D1370" i="20" l="1"/>
  <c r="H1370" i="20" s="1"/>
  <c r="E1370" i="20"/>
  <c r="G1370" i="20" s="1"/>
  <c r="B1371" i="20"/>
  <c r="I1369" i="20"/>
  <c r="D1371" i="20" l="1"/>
  <c r="H1371" i="20" s="1"/>
  <c r="E1371" i="20"/>
  <c r="G1371" i="20" s="1"/>
  <c r="I1370" i="20"/>
  <c r="B1372" i="20"/>
  <c r="E1372" i="20" l="1"/>
  <c r="G1372" i="20" s="1"/>
  <c r="D1372" i="20"/>
  <c r="H1372" i="20" s="1"/>
  <c r="I1371" i="20"/>
  <c r="B1373" i="20"/>
  <c r="I1372" i="20" l="1"/>
  <c r="E1373" i="20"/>
  <c r="G1373" i="20" s="1"/>
  <c r="D1373" i="20"/>
  <c r="H1373" i="20" s="1"/>
  <c r="B1374" i="20"/>
  <c r="E1374" i="20" l="1"/>
  <c r="G1374" i="20" s="1"/>
  <c r="D1374" i="20"/>
  <c r="H1374" i="20" s="1"/>
  <c r="I1373" i="20"/>
  <c r="B1375" i="20"/>
  <c r="I1374" i="20" l="1"/>
  <c r="E1375" i="20"/>
  <c r="G1375" i="20" s="1"/>
  <c r="D1375" i="20"/>
  <c r="H1375" i="20" s="1"/>
  <c r="B1376" i="20"/>
  <c r="I1375" i="20" l="1"/>
  <c r="D1376" i="20"/>
  <c r="H1376" i="20" s="1"/>
  <c r="E1376" i="20"/>
  <c r="G1376" i="20" s="1"/>
  <c r="B1377" i="20"/>
  <c r="I1376" i="20" l="1"/>
  <c r="E1377" i="20"/>
  <c r="G1377" i="20" s="1"/>
  <c r="D1377" i="20"/>
  <c r="H1377" i="20" s="1"/>
  <c r="B1378" i="20"/>
  <c r="E1378" i="20" l="1"/>
  <c r="G1378" i="20" s="1"/>
  <c r="D1378" i="20"/>
  <c r="H1378" i="20" s="1"/>
  <c r="I1377" i="20"/>
  <c r="B1379" i="20"/>
  <c r="I1378" i="20" l="1"/>
  <c r="E1379" i="20"/>
  <c r="G1379" i="20" s="1"/>
  <c r="D1379" i="20"/>
  <c r="H1379" i="20" s="1"/>
  <c r="B1380" i="20"/>
  <c r="I1379" i="20" l="1"/>
  <c r="E1380" i="20"/>
  <c r="G1380" i="20" s="1"/>
  <c r="D1380" i="20"/>
  <c r="H1380" i="20" s="1"/>
  <c r="B1381" i="20"/>
  <c r="I1380" i="20" l="1"/>
  <c r="E1381" i="20"/>
  <c r="G1381" i="20" s="1"/>
  <c r="D1381" i="20"/>
  <c r="H1381" i="20" s="1"/>
  <c r="B1382" i="20"/>
  <c r="E1382" i="20" l="1"/>
  <c r="G1382" i="20" s="1"/>
  <c r="D1382" i="20"/>
  <c r="H1382" i="20" s="1"/>
  <c r="B1383" i="20"/>
  <c r="I1381" i="20"/>
  <c r="E1383" i="20" l="1"/>
  <c r="G1383" i="20" s="1"/>
  <c r="D1383" i="20"/>
  <c r="H1383" i="20" s="1"/>
  <c r="B1384" i="20"/>
  <c r="I1382" i="20"/>
  <c r="I1383" i="20" l="1"/>
  <c r="E1384" i="20"/>
  <c r="G1384" i="20" s="1"/>
  <c r="D1384" i="20"/>
  <c r="H1384" i="20" s="1"/>
  <c r="B1385" i="20"/>
  <c r="I1384" i="20" l="1"/>
  <c r="E1385" i="20"/>
  <c r="G1385" i="20" s="1"/>
  <c r="D1385" i="20"/>
  <c r="H1385" i="20" s="1"/>
  <c r="B1386" i="20"/>
  <c r="D1386" i="20" l="1"/>
  <c r="H1386" i="20" s="1"/>
  <c r="E1386" i="20"/>
  <c r="G1386" i="20" s="1"/>
  <c r="B1387" i="20"/>
  <c r="I1385" i="20"/>
  <c r="D1387" i="20" l="1"/>
  <c r="H1387" i="20" s="1"/>
  <c r="E1387" i="20"/>
  <c r="G1387" i="20" s="1"/>
  <c r="I1386" i="20"/>
  <c r="B1388" i="20"/>
  <c r="I1387" i="20" l="1"/>
  <c r="E1388" i="20"/>
  <c r="G1388" i="20" s="1"/>
  <c r="D1388" i="20"/>
  <c r="H1388" i="20" s="1"/>
  <c r="B1389" i="20"/>
  <c r="I1388" i="20" l="1"/>
  <c r="E1389" i="20"/>
  <c r="G1389" i="20" s="1"/>
  <c r="D1389" i="20"/>
  <c r="H1389" i="20" s="1"/>
  <c r="B1390" i="20"/>
  <c r="E1390" i="20" l="1"/>
  <c r="G1390" i="20" s="1"/>
  <c r="D1390" i="20"/>
  <c r="H1390" i="20" s="1"/>
  <c r="B1391" i="20"/>
  <c r="I1389" i="20"/>
  <c r="E1391" i="20" l="1"/>
  <c r="G1391" i="20" s="1"/>
  <c r="D1391" i="20"/>
  <c r="H1391" i="20" s="1"/>
  <c r="I1390" i="20"/>
  <c r="B1392" i="20"/>
  <c r="I1391" i="20" l="1"/>
  <c r="E1392" i="20"/>
  <c r="G1392" i="20" s="1"/>
  <c r="D1392" i="20"/>
  <c r="H1392" i="20" s="1"/>
  <c r="B1393" i="20"/>
  <c r="I1392" i="20" l="1"/>
  <c r="E1393" i="20"/>
  <c r="G1393" i="20" s="1"/>
  <c r="D1393" i="20"/>
  <c r="H1393" i="20" s="1"/>
  <c r="B1394" i="20"/>
  <c r="D1394" i="20" l="1"/>
  <c r="H1394" i="20" s="1"/>
  <c r="E1394" i="20"/>
  <c r="G1394" i="20" s="1"/>
  <c r="B1395" i="20"/>
  <c r="I1393" i="20"/>
  <c r="D1395" i="20" l="1"/>
  <c r="H1395" i="20" s="1"/>
  <c r="E1395" i="20"/>
  <c r="G1395" i="20" s="1"/>
  <c r="I1394" i="20"/>
  <c r="B1396" i="20"/>
  <c r="I1395" i="20" l="1"/>
  <c r="E1396" i="20"/>
  <c r="G1396" i="20" s="1"/>
  <c r="D1396" i="20"/>
  <c r="H1396" i="20" s="1"/>
  <c r="B1397" i="20"/>
  <c r="I1396" i="20" l="1"/>
  <c r="E1397" i="20"/>
  <c r="G1397" i="20" s="1"/>
  <c r="D1397" i="20"/>
  <c r="H1397" i="20" s="1"/>
  <c r="B1398" i="20"/>
  <c r="E1398" i="20" l="1"/>
  <c r="G1398" i="20" s="1"/>
  <c r="D1398" i="20"/>
  <c r="H1398" i="20" s="1"/>
  <c r="B1399" i="20"/>
  <c r="I1397" i="20"/>
  <c r="E1399" i="20" l="1"/>
  <c r="G1399" i="20" s="1"/>
  <c r="D1399" i="20"/>
  <c r="H1399" i="20" s="1"/>
  <c r="I1398" i="20"/>
  <c r="B1400" i="20"/>
  <c r="I1399" i="20" l="1"/>
  <c r="E1400" i="20"/>
  <c r="G1400" i="20" s="1"/>
  <c r="D1400" i="20"/>
  <c r="H1400" i="20" s="1"/>
  <c r="B1401" i="20"/>
  <c r="I1400" i="20" l="1"/>
  <c r="E1401" i="20"/>
  <c r="G1401" i="20" s="1"/>
  <c r="D1401" i="20"/>
  <c r="H1401" i="20" s="1"/>
  <c r="B1402" i="20"/>
  <c r="E1402" i="20" l="1"/>
  <c r="G1402" i="20" s="1"/>
  <c r="D1402" i="20"/>
  <c r="H1402" i="20" s="1"/>
  <c r="B1403" i="20"/>
  <c r="I1401" i="20"/>
  <c r="D1403" i="20" l="1"/>
  <c r="H1403" i="20" s="1"/>
  <c r="E1403" i="20"/>
  <c r="G1403" i="20" s="1"/>
  <c r="I1402" i="20"/>
  <c r="B1404" i="20"/>
  <c r="I1403" i="20" l="1"/>
  <c r="E1404" i="20"/>
  <c r="G1404" i="20" s="1"/>
  <c r="D1404" i="20"/>
  <c r="H1404" i="20" s="1"/>
  <c r="B1405" i="20"/>
  <c r="I1404" i="20" l="1"/>
  <c r="E1405" i="20"/>
  <c r="G1405" i="20" s="1"/>
  <c r="D1405" i="20"/>
  <c r="H1405" i="20" s="1"/>
  <c r="B1406" i="20"/>
  <c r="E1406" i="20" l="1"/>
  <c r="G1406" i="20" s="1"/>
  <c r="D1406" i="20"/>
  <c r="H1406" i="20" s="1"/>
  <c r="B1407" i="20"/>
  <c r="I1405" i="20"/>
  <c r="E1407" i="20" l="1"/>
  <c r="G1407" i="20" s="1"/>
  <c r="D1407" i="20"/>
  <c r="H1407" i="20" s="1"/>
  <c r="I1406" i="20"/>
  <c r="B1408" i="20"/>
  <c r="I1407" i="20" l="1"/>
  <c r="E1408" i="20"/>
  <c r="G1408" i="20" s="1"/>
  <c r="D1408" i="20"/>
  <c r="H1408" i="20" s="1"/>
  <c r="B1409" i="20"/>
  <c r="I1408" i="20" l="1"/>
  <c r="E1409" i="20"/>
  <c r="G1409" i="20" s="1"/>
  <c r="D1409" i="20"/>
  <c r="H1409" i="20" s="1"/>
  <c r="B1410" i="20"/>
  <c r="D1410" i="20" l="1"/>
  <c r="H1410" i="20" s="1"/>
  <c r="E1410" i="20"/>
  <c r="G1410" i="20" s="1"/>
  <c r="B1411" i="20"/>
  <c r="I1409" i="20"/>
  <c r="D1411" i="20" l="1"/>
  <c r="H1411" i="20" s="1"/>
  <c r="E1411" i="20"/>
  <c r="G1411" i="20" s="1"/>
  <c r="I1410" i="20"/>
  <c r="B1412" i="20"/>
  <c r="I1411" i="20" l="1"/>
  <c r="E1412" i="20"/>
  <c r="G1412" i="20" s="1"/>
  <c r="D1412" i="20"/>
  <c r="H1412" i="20" s="1"/>
  <c r="B1413" i="20"/>
  <c r="I1412" i="20" l="1"/>
  <c r="E1413" i="20"/>
  <c r="G1413" i="20" s="1"/>
  <c r="D1413" i="20"/>
  <c r="H1413" i="20" s="1"/>
  <c r="B1414" i="20"/>
  <c r="E1414" i="20" l="1"/>
  <c r="G1414" i="20" s="1"/>
  <c r="D1414" i="20"/>
  <c r="H1414" i="20" s="1"/>
  <c r="B1415" i="20"/>
  <c r="I1413" i="20"/>
  <c r="E1415" i="20" l="1"/>
  <c r="G1415" i="20" s="1"/>
  <c r="D1415" i="20"/>
  <c r="H1415" i="20" s="1"/>
  <c r="I1414" i="20"/>
  <c r="B1416" i="20"/>
  <c r="I1415" i="20" l="1"/>
  <c r="E1416" i="20"/>
  <c r="G1416" i="20" s="1"/>
  <c r="D1416" i="20"/>
  <c r="H1416" i="20" s="1"/>
  <c r="B1417" i="20"/>
  <c r="I1416" i="20" l="1"/>
  <c r="E1417" i="20"/>
  <c r="G1417" i="20" s="1"/>
  <c r="D1417" i="20"/>
  <c r="H1417" i="20" s="1"/>
  <c r="B1418" i="20"/>
  <c r="D1418" i="20" l="1"/>
  <c r="H1418" i="20" s="1"/>
  <c r="E1418" i="20"/>
  <c r="G1418" i="20" s="1"/>
  <c r="B1419" i="20"/>
  <c r="I1417" i="20"/>
  <c r="E1419" i="20" l="1"/>
  <c r="G1419" i="20" s="1"/>
  <c r="D1419" i="20"/>
  <c r="H1419" i="20" s="1"/>
  <c r="I1418" i="20"/>
  <c r="B1420" i="20"/>
  <c r="I1419" i="20" l="1"/>
  <c r="E1420" i="20"/>
  <c r="G1420" i="20" s="1"/>
  <c r="D1420" i="20"/>
  <c r="H1420" i="20" s="1"/>
  <c r="B1421" i="20"/>
  <c r="E1421" i="20" l="1"/>
  <c r="G1421" i="20" s="1"/>
  <c r="D1421" i="20"/>
  <c r="H1421" i="20" s="1"/>
  <c r="I1420" i="20"/>
  <c r="B1422" i="20"/>
  <c r="I1421" i="20" l="1"/>
  <c r="E1422" i="20"/>
  <c r="G1422" i="20" s="1"/>
  <c r="D1422" i="20"/>
  <c r="H1422" i="20" s="1"/>
  <c r="B1423" i="20"/>
  <c r="E1423" i="20" l="1"/>
  <c r="G1423" i="20" s="1"/>
  <c r="D1423" i="20"/>
  <c r="H1423" i="20" s="1"/>
  <c r="B1424" i="20"/>
  <c r="I1422" i="20"/>
  <c r="I1423" i="20" l="1"/>
  <c r="E1424" i="20"/>
  <c r="G1424" i="20" s="1"/>
  <c r="D1424" i="20"/>
  <c r="H1424" i="20" s="1"/>
  <c r="B1425" i="20"/>
  <c r="I1424" i="20" l="1"/>
  <c r="E1425" i="20"/>
  <c r="G1425" i="20" s="1"/>
  <c r="D1425" i="20"/>
  <c r="H1425" i="20" s="1"/>
  <c r="B1426" i="20"/>
  <c r="D1426" i="20" l="1"/>
  <c r="H1426" i="20" s="1"/>
  <c r="E1426" i="20"/>
  <c r="G1426" i="20" s="1"/>
  <c r="B1427" i="20"/>
  <c r="I1425" i="20"/>
  <c r="D1427" i="20" l="1"/>
  <c r="H1427" i="20" s="1"/>
  <c r="E1427" i="20"/>
  <c r="G1427" i="20" s="1"/>
  <c r="B1428" i="20"/>
  <c r="I1426" i="20"/>
  <c r="I1427" i="20" l="1"/>
  <c r="E1428" i="20"/>
  <c r="G1428" i="20" s="1"/>
  <c r="D1428" i="20"/>
  <c r="H1428" i="20" s="1"/>
  <c r="B1429" i="20"/>
  <c r="E1429" i="20" l="1"/>
  <c r="G1429" i="20" s="1"/>
  <c r="D1429" i="20"/>
  <c r="H1429" i="20" s="1"/>
  <c r="I1428" i="20"/>
  <c r="B1430" i="20"/>
  <c r="I1429" i="20" l="1"/>
  <c r="E1430" i="20"/>
  <c r="G1430" i="20" s="1"/>
  <c r="D1430" i="20"/>
  <c r="H1430" i="20" s="1"/>
  <c r="B1431" i="20"/>
  <c r="E1431" i="20" l="1"/>
  <c r="G1431" i="20" s="1"/>
  <c r="D1431" i="20"/>
  <c r="H1431" i="20" s="1"/>
  <c r="I1430" i="20"/>
  <c r="B1432" i="20"/>
  <c r="E1432" i="20" l="1"/>
  <c r="G1432" i="20" s="1"/>
  <c r="D1432" i="20"/>
  <c r="H1432" i="20" s="1"/>
  <c r="I1431" i="20"/>
  <c r="B1433" i="20"/>
  <c r="I1432" i="20" l="1"/>
  <c r="E1433" i="20"/>
  <c r="G1433" i="20" s="1"/>
  <c r="D1433" i="20"/>
  <c r="H1433" i="20" s="1"/>
  <c r="B1434" i="20"/>
  <c r="D1434" i="20" l="1"/>
  <c r="H1434" i="20" s="1"/>
  <c r="E1434" i="20"/>
  <c r="G1434" i="20" s="1"/>
  <c r="B1435" i="20"/>
  <c r="I1433" i="20"/>
  <c r="D1435" i="20" l="1"/>
  <c r="H1435" i="20" s="1"/>
  <c r="E1435" i="20"/>
  <c r="G1435" i="20" s="1"/>
  <c r="I1434" i="20"/>
  <c r="B1436" i="20"/>
  <c r="I1435" i="20" l="1"/>
  <c r="E1436" i="20"/>
  <c r="G1436" i="20" s="1"/>
  <c r="D1436" i="20"/>
  <c r="H1436" i="20" s="1"/>
  <c r="B1437" i="20"/>
  <c r="E1437" i="20" l="1"/>
  <c r="G1437" i="20" s="1"/>
  <c r="D1437" i="20"/>
  <c r="H1437" i="20" s="1"/>
  <c r="I1436" i="20"/>
  <c r="B1438" i="20"/>
  <c r="I1437" i="20" l="1"/>
  <c r="E1438" i="20"/>
  <c r="G1438" i="20" s="1"/>
  <c r="D1438" i="20"/>
  <c r="H1438" i="20" s="1"/>
  <c r="B1439" i="20"/>
  <c r="E1439" i="20" l="1"/>
  <c r="G1439" i="20" s="1"/>
  <c r="D1439" i="20"/>
  <c r="H1439" i="20" s="1"/>
  <c r="I1438" i="20"/>
  <c r="B1440" i="20"/>
  <c r="E1440" i="20" l="1"/>
  <c r="G1440" i="20" s="1"/>
  <c r="D1440" i="20"/>
  <c r="H1440" i="20" s="1"/>
  <c r="I1439" i="20"/>
  <c r="B1441" i="20"/>
  <c r="I1440" i="20" l="1"/>
  <c r="E1441" i="20"/>
  <c r="G1441" i="20" s="1"/>
  <c r="D1441" i="20"/>
  <c r="H1441" i="20" s="1"/>
  <c r="B1442" i="20"/>
  <c r="E1442" i="20" l="1"/>
  <c r="G1442" i="20" s="1"/>
  <c r="D1442" i="20"/>
  <c r="H1442" i="20" s="1"/>
  <c r="I1441" i="20"/>
  <c r="B1443" i="20"/>
  <c r="E1443" i="20" l="1"/>
  <c r="G1443" i="20" s="1"/>
  <c r="D1443" i="20"/>
  <c r="H1443" i="20" s="1"/>
  <c r="I1442" i="20"/>
  <c r="B1444" i="20"/>
  <c r="I1443" i="20" l="1"/>
  <c r="E1444" i="20"/>
  <c r="G1444" i="20" s="1"/>
  <c r="D1444" i="20"/>
  <c r="H1444" i="20" s="1"/>
  <c r="B1445" i="20"/>
  <c r="E1445" i="20" l="1"/>
  <c r="G1445" i="20" s="1"/>
  <c r="D1445" i="20"/>
  <c r="H1445" i="20" s="1"/>
  <c r="I1444" i="20"/>
  <c r="B1446" i="20"/>
  <c r="E1446" i="20" l="1"/>
  <c r="G1446" i="20" s="1"/>
  <c r="D1446" i="20"/>
  <c r="H1446" i="20" s="1"/>
  <c r="B1447" i="20"/>
  <c r="I1445" i="20"/>
  <c r="E1447" i="20" l="1"/>
  <c r="G1447" i="20" s="1"/>
  <c r="D1447" i="20"/>
  <c r="H1447" i="20" s="1"/>
  <c r="I1446" i="20"/>
  <c r="B1448" i="20"/>
  <c r="E1448" i="20" l="1"/>
  <c r="G1448" i="20" s="1"/>
  <c r="D1448" i="20"/>
  <c r="H1448" i="20" s="1"/>
  <c r="I1447" i="20"/>
  <c r="B1449" i="20"/>
  <c r="E1449" i="20" l="1"/>
  <c r="G1449" i="20" s="1"/>
  <c r="D1449" i="20"/>
  <c r="H1449" i="20" s="1"/>
  <c r="B1450" i="20"/>
  <c r="I1448" i="20"/>
  <c r="D1450" i="20" l="1"/>
  <c r="H1450" i="20" s="1"/>
  <c r="E1450" i="20"/>
  <c r="G1450" i="20" s="1"/>
  <c r="I1449" i="20"/>
  <c r="B1451" i="20"/>
  <c r="I1450" i="20" l="1"/>
  <c r="E1451" i="20"/>
  <c r="G1451" i="20" s="1"/>
  <c r="D1451" i="20"/>
  <c r="H1451" i="20" s="1"/>
  <c r="B1452" i="20"/>
  <c r="I1451" i="20" l="1"/>
  <c r="E1452" i="20"/>
  <c r="G1452" i="20" s="1"/>
  <c r="D1452" i="20"/>
  <c r="H1452" i="20" s="1"/>
  <c r="B1453" i="20"/>
  <c r="E1453" i="20" l="1"/>
  <c r="G1453" i="20" s="1"/>
  <c r="D1453" i="20"/>
  <c r="H1453" i="20" s="1"/>
  <c r="B1454" i="20"/>
  <c r="I1452" i="20"/>
  <c r="E1454" i="20" l="1"/>
  <c r="G1454" i="20" s="1"/>
  <c r="D1454" i="20"/>
  <c r="H1454" i="20" s="1"/>
  <c r="I1453" i="20"/>
  <c r="B1455" i="20"/>
  <c r="I1454" i="20" l="1"/>
  <c r="E1455" i="20"/>
  <c r="G1455" i="20" s="1"/>
  <c r="D1455" i="20"/>
  <c r="H1455" i="20" s="1"/>
  <c r="B1456" i="20"/>
  <c r="I1455" i="20" l="1"/>
  <c r="E1456" i="20"/>
  <c r="G1456" i="20" s="1"/>
  <c r="D1456" i="20"/>
  <c r="H1456" i="20" s="1"/>
  <c r="B1457" i="20"/>
  <c r="E1457" i="20" l="1"/>
  <c r="G1457" i="20" s="1"/>
  <c r="D1457" i="20"/>
  <c r="H1457" i="20" s="1"/>
  <c r="I1456" i="20"/>
  <c r="B1458" i="20"/>
  <c r="D1458" i="20" l="1"/>
  <c r="H1458" i="20" s="1"/>
  <c r="E1458" i="20"/>
  <c r="G1458" i="20" s="1"/>
  <c r="I1457" i="20"/>
  <c r="B1459" i="20"/>
  <c r="D1459" i="20" l="1"/>
  <c r="H1459" i="20" s="1"/>
  <c r="E1459" i="20"/>
  <c r="G1459" i="20" s="1"/>
  <c r="I1458" i="20"/>
  <c r="B1460" i="20"/>
  <c r="E1460" i="20" l="1"/>
  <c r="G1460" i="20" s="1"/>
  <c r="D1460" i="20"/>
  <c r="H1460" i="20" s="1"/>
  <c r="I1459" i="20"/>
  <c r="B1461" i="20"/>
  <c r="E1461" i="20" l="1"/>
  <c r="G1461" i="20" s="1"/>
  <c r="D1461" i="20"/>
  <c r="H1461" i="20" s="1"/>
  <c r="B1462" i="20"/>
  <c r="I1460" i="20"/>
  <c r="E1462" i="20" l="1"/>
  <c r="G1462" i="20" s="1"/>
  <c r="D1462" i="20"/>
  <c r="H1462" i="20" s="1"/>
  <c r="I1461" i="20"/>
  <c r="B1463" i="20"/>
  <c r="I1462" i="20" l="1"/>
  <c r="E1463" i="20"/>
  <c r="G1463" i="20" s="1"/>
  <c r="D1463" i="20"/>
  <c r="H1463" i="20" s="1"/>
  <c r="B1464" i="20"/>
  <c r="I1463" i="20" l="1"/>
  <c r="E1464" i="20"/>
  <c r="G1464" i="20" s="1"/>
  <c r="D1464" i="20"/>
  <c r="H1464" i="20" s="1"/>
  <c r="B1465" i="20"/>
  <c r="E1465" i="20" l="1"/>
  <c r="G1465" i="20" s="1"/>
  <c r="D1465" i="20"/>
  <c r="H1465" i="20" s="1"/>
  <c r="B1466" i="20"/>
  <c r="I1464" i="20"/>
  <c r="E1466" i="20" l="1"/>
  <c r="G1466" i="20" s="1"/>
  <c r="D1466" i="20"/>
  <c r="H1466" i="20" s="1"/>
  <c r="I1465" i="20"/>
  <c r="B1467" i="20"/>
  <c r="E1467" i="20" l="1"/>
  <c r="G1467" i="20" s="1"/>
  <c r="D1467" i="20"/>
  <c r="H1467" i="20" s="1"/>
  <c r="I1466" i="20"/>
  <c r="B1468" i="20"/>
  <c r="I1467" i="20" l="1"/>
  <c r="E1468" i="20"/>
  <c r="G1468" i="20" s="1"/>
  <c r="D1468" i="20"/>
  <c r="H1468" i="20" s="1"/>
  <c r="B1469" i="20"/>
  <c r="E1469" i="20" l="1"/>
  <c r="G1469" i="20" s="1"/>
  <c r="D1469" i="20"/>
  <c r="H1469" i="20" s="1"/>
  <c r="B1470" i="20"/>
  <c r="I1468" i="20"/>
  <c r="E1470" i="20" l="1"/>
  <c r="G1470" i="20" s="1"/>
  <c r="D1470" i="20"/>
  <c r="H1470" i="20" s="1"/>
  <c r="I1469" i="20"/>
  <c r="B1471" i="20"/>
  <c r="I1470" i="20" l="1"/>
  <c r="E1471" i="20"/>
  <c r="G1471" i="20" s="1"/>
  <c r="D1471" i="20"/>
  <c r="H1471" i="20" s="1"/>
  <c r="B1472" i="20"/>
  <c r="I1471" i="20" l="1"/>
  <c r="E1472" i="20"/>
  <c r="G1472" i="20" s="1"/>
  <c r="D1472" i="20"/>
  <c r="H1472" i="20" s="1"/>
  <c r="B1473" i="20"/>
  <c r="E1473" i="20" l="1"/>
  <c r="G1473" i="20" s="1"/>
  <c r="D1473" i="20"/>
  <c r="H1473" i="20" s="1"/>
  <c r="B1474" i="20"/>
  <c r="I1472" i="20"/>
  <c r="E1474" i="20" l="1"/>
  <c r="G1474" i="20" s="1"/>
  <c r="D1474" i="20"/>
  <c r="H1474" i="20" s="1"/>
  <c r="I1473" i="20"/>
  <c r="B1475" i="20"/>
  <c r="E1475" i="20" l="1"/>
  <c r="G1475" i="20" s="1"/>
  <c r="D1475" i="20"/>
  <c r="H1475" i="20" s="1"/>
  <c r="I1474" i="20"/>
  <c r="B1476" i="20"/>
  <c r="I1475" i="20" l="1"/>
  <c r="D1476" i="20"/>
  <c r="H1476" i="20" s="1"/>
  <c r="E1476" i="20"/>
  <c r="G1476" i="20" s="1"/>
  <c r="B1477" i="20"/>
  <c r="E1477" i="20" l="1"/>
  <c r="G1477" i="20" s="1"/>
  <c r="D1477" i="20"/>
  <c r="H1477" i="20" s="1"/>
  <c r="B1478" i="20"/>
  <c r="I1476" i="20"/>
  <c r="E1478" i="20" l="1"/>
  <c r="G1478" i="20" s="1"/>
  <c r="D1478" i="20"/>
  <c r="H1478" i="20" s="1"/>
  <c r="I1477" i="20"/>
  <c r="B1479" i="20"/>
  <c r="D1479" i="20" l="1"/>
  <c r="H1479" i="20" s="1"/>
  <c r="E1479" i="20"/>
  <c r="G1479" i="20" s="1"/>
  <c r="I1478" i="20"/>
  <c r="B1480" i="20"/>
  <c r="I1479" i="20" l="1"/>
  <c r="E1480" i="20"/>
  <c r="G1480" i="20" s="1"/>
  <c r="D1480" i="20"/>
  <c r="H1480" i="20" s="1"/>
  <c r="B1481" i="20"/>
  <c r="D1481" i="20" l="1"/>
  <c r="H1481" i="20" s="1"/>
  <c r="E1481" i="20"/>
  <c r="G1481" i="20" s="1"/>
  <c r="B1482" i="20"/>
  <c r="I1480" i="20"/>
  <c r="D1482" i="20" l="1"/>
  <c r="H1482" i="20" s="1"/>
  <c r="E1482" i="20"/>
  <c r="G1482" i="20" s="1"/>
  <c r="I1481" i="20"/>
  <c r="B1483" i="20"/>
  <c r="I1482" i="20" l="1"/>
  <c r="E1483" i="20"/>
  <c r="G1483" i="20" s="1"/>
  <c r="D1483" i="20"/>
  <c r="H1483" i="20" s="1"/>
  <c r="B1484" i="20"/>
  <c r="I1483" i="20" l="1"/>
  <c r="E1484" i="20"/>
  <c r="G1484" i="20" s="1"/>
  <c r="D1484" i="20"/>
  <c r="H1484" i="20" s="1"/>
  <c r="B1485" i="20"/>
  <c r="E1485" i="20" l="1"/>
  <c r="G1485" i="20" s="1"/>
  <c r="D1485" i="20"/>
  <c r="H1485" i="20" s="1"/>
  <c r="B1486" i="20"/>
  <c r="I1484" i="20"/>
  <c r="E1486" i="20" l="1"/>
  <c r="G1486" i="20" s="1"/>
  <c r="D1486" i="20"/>
  <c r="H1486" i="20" s="1"/>
  <c r="I1485" i="20"/>
  <c r="B1487" i="20"/>
  <c r="D1487" i="20" l="1"/>
  <c r="H1487" i="20" s="1"/>
  <c r="E1487" i="20"/>
  <c r="G1487" i="20" s="1"/>
  <c r="I1486" i="20"/>
  <c r="B1488" i="20"/>
  <c r="I1487" i="20" l="1"/>
  <c r="E1488" i="20"/>
  <c r="G1488" i="20" s="1"/>
  <c r="D1488" i="20"/>
  <c r="H1488" i="20" s="1"/>
  <c r="B1489" i="20"/>
  <c r="D1489" i="20" l="1"/>
  <c r="H1489" i="20" s="1"/>
  <c r="E1489" i="20"/>
  <c r="G1489" i="20" s="1"/>
  <c r="B1490" i="20"/>
  <c r="I1488" i="20"/>
  <c r="E1490" i="20" l="1"/>
  <c r="G1490" i="20" s="1"/>
  <c r="D1490" i="20"/>
  <c r="H1490" i="20" s="1"/>
  <c r="I1489" i="20"/>
  <c r="B1491" i="20"/>
  <c r="I1490" i="20" l="1"/>
  <c r="E1491" i="20"/>
  <c r="G1491" i="20" s="1"/>
  <c r="D1491" i="20"/>
  <c r="H1491" i="20" s="1"/>
  <c r="B1492" i="20"/>
  <c r="I1491" i="20" l="1"/>
  <c r="E1492" i="20"/>
  <c r="G1492" i="20" s="1"/>
  <c r="D1492" i="20"/>
  <c r="H1492" i="20" s="1"/>
  <c r="B1493" i="20"/>
  <c r="E1493" i="20" l="1"/>
  <c r="G1493" i="20" s="1"/>
  <c r="D1493" i="20"/>
  <c r="H1493" i="20" s="1"/>
  <c r="M36" i="20"/>
  <c r="O36" i="20" s="1"/>
  <c r="M16" i="20"/>
  <c r="M13" i="20"/>
  <c r="M14" i="20"/>
  <c r="M15" i="20"/>
  <c r="M19" i="20"/>
  <c r="M17" i="20"/>
  <c r="M18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Z12" i="20"/>
  <c r="X13" i="20"/>
  <c r="Y31" i="20"/>
  <c r="Z7" i="20"/>
  <c r="Z8" i="20"/>
  <c r="Z9" i="20"/>
  <c r="X10" i="20"/>
  <c r="Y11" i="20"/>
  <c r="X12" i="20"/>
  <c r="Y13" i="20"/>
  <c r="Z14" i="20"/>
  <c r="X15" i="20"/>
  <c r="Y15" i="20"/>
  <c r="Z16" i="20"/>
  <c r="X17" i="20"/>
  <c r="Z17" i="20"/>
  <c r="Y17" i="20"/>
  <c r="Z18" i="20"/>
  <c r="X19" i="20"/>
  <c r="Y19" i="20"/>
  <c r="Z20" i="20"/>
  <c r="X21" i="20"/>
  <c r="Y21" i="20"/>
  <c r="Z22" i="20"/>
  <c r="X23" i="20"/>
  <c r="Y23" i="20"/>
  <c r="Z24" i="20"/>
  <c r="X25" i="20"/>
  <c r="Y25" i="20"/>
  <c r="X26" i="20"/>
  <c r="Z26" i="20"/>
  <c r="X27" i="20"/>
  <c r="Y27" i="20"/>
  <c r="Z28" i="20"/>
  <c r="X28" i="20"/>
  <c r="X29" i="20"/>
  <c r="Y29" i="20"/>
  <c r="Y30" i="20"/>
  <c r="Z30" i="20"/>
  <c r="X30" i="20"/>
  <c r="X31" i="20"/>
  <c r="X32" i="20"/>
  <c r="Y32" i="20"/>
  <c r="Z32" i="20"/>
  <c r="X5" i="20"/>
  <c r="Y5" i="20"/>
  <c r="Z5" i="20"/>
  <c r="Z6" i="20"/>
  <c r="X6" i="20"/>
  <c r="Y6" i="20"/>
  <c r="X7" i="20"/>
  <c r="Y7" i="20"/>
  <c r="Y8" i="20"/>
  <c r="X8" i="20"/>
  <c r="X9" i="20"/>
  <c r="Y9" i="20"/>
  <c r="Y10" i="20"/>
  <c r="Z10" i="20"/>
  <c r="X11" i="20"/>
  <c r="Z11" i="20"/>
  <c r="Y12" i="20"/>
  <c r="Z13" i="20"/>
  <c r="X14" i="20"/>
  <c r="Y14" i="20"/>
  <c r="Z15" i="20"/>
  <c r="Y16" i="20"/>
  <c r="X16" i="20"/>
  <c r="X18" i="20"/>
  <c r="Y18" i="20"/>
  <c r="Z19" i="20"/>
  <c r="X20" i="20"/>
  <c r="Y20" i="20"/>
  <c r="Z21" i="20"/>
  <c r="Y22" i="20"/>
  <c r="X22" i="20"/>
  <c r="Z23" i="20"/>
  <c r="Y24" i="20"/>
  <c r="X24" i="20"/>
  <c r="Z25" i="20"/>
  <c r="Y26" i="20"/>
  <c r="Z27" i="20"/>
  <c r="Y28" i="20"/>
  <c r="Z29" i="20"/>
  <c r="Z31" i="20"/>
  <c r="I1492" i="20"/>
  <c r="AA14" i="20" l="1"/>
  <c r="AA9" i="20"/>
  <c r="AA24" i="20"/>
  <c r="AA7" i="20"/>
  <c r="AA8" i="20"/>
  <c r="I1493" i="20"/>
  <c r="AA16" i="20"/>
  <c r="AA12" i="20"/>
  <c r="AA18" i="20"/>
  <c r="AA22" i="20"/>
  <c r="AA11" i="20"/>
  <c r="AA30" i="20"/>
  <c r="AA20" i="20"/>
  <c r="AA28" i="20"/>
  <c r="AA17" i="20"/>
  <c r="AA26" i="20"/>
  <c r="AA21" i="20"/>
  <c r="AA5" i="20"/>
  <c r="AO7" i="20"/>
  <c r="AA29" i="20"/>
  <c r="AA25" i="20"/>
  <c r="AA15" i="20"/>
  <c r="AA32" i="20"/>
  <c r="AA13" i="20"/>
  <c r="AA19" i="20"/>
  <c r="AA6" i="20"/>
  <c r="AA31" i="20"/>
  <c r="AA23" i="20"/>
  <c r="AA27" i="20"/>
  <c r="AO8" i="20"/>
  <c r="AA10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<sst xmlns="http://schemas.openxmlformats.org/spreadsheetml/2006/main" count="1036" uniqueCount="59">
  <si>
    <t>Fecha</t>
  </si>
  <si>
    <t>Intervalo</t>
  </si>
  <si>
    <t>Cola</t>
  </si>
  <si>
    <t>Tipo de medios</t>
  </si>
  <si>
    <t>Ofrecidas</t>
  </si>
  <si>
    <t>Contestadas</t>
  </si>
  <si>
    <t>Abandonadas</t>
  </si>
  <si>
    <t>% de nivel de servicio</t>
  </si>
  <si>
    <t>AHT</t>
  </si>
  <si>
    <t>Fecha2</t>
  </si>
  <si>
    <t>NDA INT</t>
  </si>
  <si>
    <t>Aten &lt; 20 seg</t>
  </si>
  <si>
    <t>cosas</t>
  </si>
  <si>
    <t>NDS Int</t>
  </si>
  <si>
    <t>TMO</t>
  </si>
  <si>
    <t>Skill</t>
  </si>
  <si>
    <t>Skill2</t>
  </si>
  <si>
    <t>Agrupación</t>
  </si>
  <si>
    <t>voz</t>
  </si>
  <si>
    <t>None</t>
  </si>
  <si>
    <t>nan</t>
  </si>
  <si>
    <t>TOTAL</t>
  </si>
  <si>
    <t>Ingresar Fecha a revisar</t>
  </si>
  <si>
    <t>FECHA</t>
  </si>
  <si>
    <t>DIA</t>
  </si>
  <si>
    <t>Forecast</t>
  </si>
  <si>
    <t>Recibidas</t>
  </si>
  <si>
    <t>Llam At</t>
  </si>
  <si>
    <t>Ate &lt;20</t>
  </si>
  <si>
    <t>Abandono</t>
  </si>
  <si>
    <t>% Abandono</t>
  </si>
  <si>
    <t>NDS</t>
  </si>
  <si>
    <t>NDA</t>
  </si>
  <si>
    <t>INTERVALO</t>
  </si>
  <si>
    <t>RECIBIDAS</t>
  </si>
  <si>
    <t>FORECAST</t>
  </si>
  <si>
    <t>ATENDIDAS</t>
  </si>
  <si>
    <t>ABANDONO</t>
  </si>
  <si>
    <t>&lt; 20 Seg</t>
  </si>
  <si>
    <t>Atendidas</t>
  </si>
  <si>
    <t>NS</t>
  </si>
  <si>
    <t>NA</t>
  </si>
  <si>
    <t>Nivel Servicio</t>
  </si>
  <si>
    <t>quitar TMO con error y llamadas</t>
  </si>
  <si>
    <t>Nivel Atencion</t>
  </si>
  <si>
    <t>Intervalos</t>
  </si>
  <si>
    <t>BUPA_Reembolsos</t>
  </si>
  <si>
    <t>BUPA_Otras_Consultas</t>
  </si>
  <si>
    <t>BUPA_Cobros</t>
  </si>
  <si>
    <t>BUPA_Cambio_medio_de_pago</t>
  </si>
  <si>
    <t>BUPA_Servicio_al_Cliente_Nacional</t>
  </si>
  <si>
    <t>BUPA</t>
  </si>
  <si>
    <t>BUPA_Seguros_Empresas_Otras_Consultas</t>
  </si>
  <si>
    <t>BUPA_Consulta_Liquidacion_Reembolso</t>
  </si>
  <si>
    <t>BUPA_Acceso_Web</t>
  </si>
  <si>
    <t>BUPA_Modificacion_Datos_Personales</t>
  </si>
  <si>
    <t>BUPA_Consultas_Cobertura</t>
  </si>
  <si>
    <t>BUPA_Seguro_Colectivo_Representante</t>
  </si>
  <si>
    <t>Desv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</si>
</sst>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Roboto"/>
    </font>
    <font>
      <b/>
      <sz val="11"/>
      <color theme="0"/>
      <name val="Roboto"/>
    </font>
    <font>
      <b/>
      <sz val="11"/>
      <color theme="1"/>
      <name val="Roboto"/>
    </font>
    <font>
      <u/>
      <sz val="11"/>
      <color theme="10"/>
      <name val="Roboto"/>
    </font>
    <font>
      <b/>
      <sz val="11"/>
      <color indexed="9"/>
      <name val="Roboto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C4C4C"/>
      </patternFill>
    </fill>
    <fill>
      <patternFill patternType="solid">
        <fgColor rgb="FF4C4C4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2" xfId="0" applyFont="1" applyFill="1" applyBorder="1"/>
    <xf numFmtId="9" fontId="0" fillId="0" borderId="0" xfId="1" applyFont="1"/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4" xfId="0" applyFont="1" applyFill="1" applyBorder="1" applyAlignment="1">
      <alignment horizontal="left"/>
    </xf>
    <xf numFmtId="14" fontId="0" fillId="0" borderId="0" xfId="0" applyNumberFormat="1"/>
    <xf numFmtId="1" fontId="0" fillId="6" borderId="0" xfId="0" applyNumberFormat="1" applyFill="1"/>
    <xf numFmtId="165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0" applyNumberFormat="1"/>
    <xf numFmtId="0" fontId="0" fillId="3" borderId="1" xfId="0" applyFill="1" applyBorder="1"/>
    <xf numFmtId="9" fontId="0" fillId="6" borderId="0" xfId="1" applyFont="1" applyFill="1"/>
    <xf numFmtId="0" fontId="0" fillId="6" borderId="0" xfId="0" applyFill="1"/>
    <xf numFmtId="165" fontId="0" fillId="0" borderId="0" xfId="0" applyNumberFormat="1"/>
    <xf numFmtId="16" fontId="0" fillId="0" borderId="3" xfId="0" applyNumberForma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14" fontId="6" fillId="7" borderId="9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1" fontId="9" fillId="9" borderId="0" xfId="2" applyNumberFormat="1" applyFont="1" applyFill="1" applyBorder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16" fontId="6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6" fillId="0" borderId="20" xfId="1" applyNumberFormat="1" applyFont="1" applyBorder="1" applyAlignment="1">
      <alignment horizontal="center" vertical="center"/>
    </xf>
    <xf numFmtId="10" fontId="6" fillId="0" borderId="0" xfId="1" applyNumberFormat="1" applyFont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6" fontId="6" fillId="12" borderId="5" xfId="0" applyNumberFormat="1" applyFont="1" applyFill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4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13" formatCode="0%"/>
      <fill>
        <patternFill patternType="solid">
          <fgColor indexed="64"/>
          <bgColor theme="9" tint="0.59999389629810485"/>
        </patternFill>
      </fill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3" formatCode="0%"/>
    </dxf>
    <dxf>
      <numFmt numFmtId="19" formatCode="dd/mm/yyyy"/>
    </dxf>
    <dxf>
      <numFmt numFmtId="165" formatCode="[$-F400]h:mm:ss\ AM/PM"/>
    </dxf>
    <dxf>
      <numFmt numFmtId="165" formatCode="[$-F400]h:mm:ss\ AM/PM"/>
    </dxf>
    <dxf>
      <numFmt numFmtId="19" formatCode="dd/mm/yyyy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scheme val="minor"/>
      </font>
      <numFmt numFmtId="0" formatCode="General"/>
      <fill>
        <patternFill patternType="solid">
          <fgColor indexed="64"/>
          <bgColor rgb="FF4C4C4C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5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Roboto"/>
        <scheme val="none"/>
      </font>
      <numFmt numFmtId="0" formatCode="General"/>
      <fill>
        <patternFill patternType="solid">
          <fgColor indexed="64"/>
          <bgColor rgb="FF4C4C4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9999"/>
                </a:solidFill>
              </a:rPr>
              <a:t>Avance diario de tráfico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3.7162864023519468E-2"/>
          <c:y val="0.13360375925800158"/>
          <c:w val="0.9579083569314617"/>
          <c:h val="0.604080311211041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'BUPA Seguros'!$M$4</c:f>
              <c:strCache>
                <c:ptCount val="1"/>
                <c:pt idx="0">
                  <c:v>Forecast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'BUPA Seguros'!$L$5:$L$10</c:f>
              <c:numCache>
                <c:formatCode>d\-mmm</c:formatCode>
                <c:ptCount val="6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</c:numCache>
            </c:numRef>
          </c:cat>
          <c:val>
            <c:numRef>
              <c:f>'BUPA Seguros'!$M$5:$M$10</c:f>
              <c:numCache>
                <c:formatCode>#,##0</c:formatCode>
                <c:ptCount val="6"/>
                <c:pt idx="0">
                  <c:v>664.46310155517267</c:v>
                </c:pt>
                <c:pt idx="1">
                  <c:v>496.21216195829737</c:v>
                </c:pt>
                <c:pt idx="2">
                  <c:v>532.93698633731071</c:v>
                </c:pt>
                <c:pt idx="3">
                  <c:v>0</c:v>
                </c:pt>
                <c:pt idx="4">
                  <c:v>0</c:v>
                </c:pt>
                <c:pt idx="5">
                  <c:v>829.29777841911641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8-4037-AF1E-684028E006BA}"/>
            </c:ext>
          </c:extLst>
        </c:ser>
        <c:ser>
          <c:idx val="2"/>
          <c:order val="1"/>
          <c:tx>
            <c:strRef>
              <c:f>'BUPA Seguros'!$N$4</c:f>
              <c:strCache>
                <c:ptCount val="1"/>
                <c:pt idx="0">
                  <c:v>Recibidas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'BUPA Seguros'!$L$5:$L$10</c:f>
              <c:numCache>
                <c:formatCode>d\-mmm</c:formatCode>
                <c:ptCount val="6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</c:numCache>
            </c:numRef>
          </c:cat>
          <c:val>
            <c:numRef>
              <c:f>'BUPA Seguros'!$N$5:$N$10</c:f>
              <c:numCache>
                <c:formatCode>#,##0</c:formatCode>
                <c:ptCount val="6"/>
                <c:pt idx="0">
                  <c:v>687</c:v>
                </c:pt>
                <c:pt idx="1">
                  <c:v>576</c:v>
                </c:pt>
                <c:pt idx="2">
                  <c:v>525</c:v>
                </c:pt>
                <c:pt idx="3">
                  <c:v>0</c:v>
                </c:pt>
                <c:pt idx="4">
                  <c:v>0</c:v>
                </c:pt>
                <c:pt idx="5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8-4037-AF1E-684028E00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31608079"/>
        <c:axId val="1131608559"/>
      </c:barChart>
      <c:dateAx>
        <c:axId val="113160807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1608559"/>
        <c:crosses val="autoZero"/>
        <c:auto val="1"/>
        <c:lblOffset val="100"/>
        <c:baseTimeUnit val="days"/>
      </c:dateAx>
      <c:valAx>
        <c:axId val="11316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160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978015473632E-2"/>
          <c:y val="4.4458965891454774E-2"/>
          <c:w val="0.89833636303555098"/>
          <c:h val="0.7100225212084436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'BUPA Seguros'!$Z$4</c:f>
              <c:strCache>
                <c:ptCount val="1"/>
                <c:pt idx="0">
                  <c:v>ATENDIDAS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'BUPA Seguros'!$W$5:$W$32</c:f>
              <c:numCache>
                <c:formatCode>[$-F400]h:mm:ss\ AM/PM</c:formatCode>
                <c:ptCount val="28"/>
                <c:pt idx="0">
                  <c:v>0.27083333333333298</c:v>
                </c:pt>
                <c:pt idx="1">
                  <c:v>0.29166666666666702</c:v>
                </c:pt>
                <c:pt idx="2">
                  <c:v>0.3125</c:v>
                </c:pt>
                <c:pt idx="3">
                  <c:v>0.33333333333333298</c:v>
                </c:pt>
                <c:pt idx="4">
                  <c:v>0.35416666666666702</c:v>
                </c:pt>
                <c:pt idx="5">
                  <c:v>0.375</c:v>
                </c:pt>
                <c:pt idx="6">
                  <c:v>0.39583333333333298</c:v>
                </c:pt>
                <c:pt idx="7">
                  <c:v>0.41666666666666702</c:v>
                </c:pt>
                <c:pt idx="8">
                  <c:v>0.4375</c:v>
                </c:pt>
                <c:pt idx="9">
                  <c:v>0.45833333333333298</c:v>
                </c:pt>
                <c:pt idx="10">
                  <c:v>0.47916666666666702</c:v>
                </c:pt>
                <c:pt idx="11">
                  <c:v>0.5</c:v>
                </c:pt>
                <c:pt idx="12">
                  <c:v>0.52083333333333304</c:v>
                </c:pt>
                <c:pt idx="13">
                  <c:v>0.54166666666666696</c:v>
                </c:pt>
                <c:pt idx="14">
                  <c:v>0.5625</c:v>
                </c:pt>
                <c:pt idx="15">
                  <c:v>0.58333333333333304</c:v>
                </c:pt>
                <c:pt idx="16">
                  <c:v>0.60416666666666696</c:v>
                </c:pt>
                <c:pt idx="17">
                  <c:v>0.625</c:v>
                </c:pt>
                <c:pt idx="18">
                  <c:v>0.64583333333333304</c:v>
                </c:pt>
                <c:pt idx="19">
                  <c:v>0.66666666666666696</c:v>
                </c:pt>
                <c:pt idx="20">
                  <c:v>0.6875</c:v>
                </c:pt>
                <c:pt idx="21">
                  <c:v>0.70833333333333304</c:v>
                </c:pt>
                <c:pt idx="22">
                  <c:v>0.72916666666666696</c:v>
                </c:pt>
                <c:pt idx="23">
                  <c:v>0.75</c:v>
                </c:pt>
                <c:pt idx="24">
                  <c:v>0.77083333333333304</c:v>
                </c:pt>
                <c:pt idx="25">
                  <c:v>0.79166666666666696</c:v>
                </c:pt>
                <c:pt idx="26">
                  <c:v>0.8125</c:v>
                </c:pt>
                <c:pt idx="27">
                  <c:v>0.83333333333333304</c:v>
                </c:pt>
              </c:numCache>
            </c:numRef>
          </c:cat>
          <c:val>
            <c:numRef>
              <c:f>'BUPA Seguros'!$Z$5:$Z$32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F-49E1-ACCF-2EAF0587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67667632"/>
        <c:axId val="844494560"/>
      </c:barChart>
      <c:lineChart>
        <c:grouping val="standard"/>
        <c:varyColors val="0"/>
        <c:ser>
          <c:idx val="0"/>
          <c:order val="0"/>
          <c:tx>
            <c:strRef>
              <c:f>'BUPA Seguros'!$X$4</c:f>
              <c:strCache>
                <c:ptCount val="1"/>
                <c:pt idx="0">
                  <c:v>RECIBIDAS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'BUPA Seguros'!$W$5:$W$32</c:f>
              <c:numCache>
                <c:formatCode>[$-F400]h:mm:ss\ AM/PM</c:formatCode>
                <c:ptCount val="28"/>
                <c:pt idx="0">
                  <c:v>0.27083333333333298</c:v>
                </c:pt>
                <c:pt idx="1">
                  <c:v>0.29166666666666702</c:v>
                </c:pt>
                <c:pt idx="2">
                  <c:v>0.3125</c:v>
                </c:pt>
                <c:pt idx="3">
                  <c:v>0.33333333333333298</c:v>
                </c:pt>
                <c:pt idx="4">
                  <c:v>0.35416666666666702</c:v>
                </c:pt>
                <c:pt idx="5">
                  <c:v>0.375</c:v>
                </c:pt>
                <c:pt idx="6">
                  <c:v>0.39583333333333298</c:v>
                </c:pt>
                <c:pt idx="7">
                  <c:v>0.41666666666666702</c:v>
                </c:pt>
                <c:pt idx="8">
                  <c:v>0.4375</c:v>
                </c:pt>
                <c:pt idx="9">
                  <c:v>0.45833333333333298</c:v>
                </c:pt>
                <c:pt idx="10">
                  <c:v>0.47916666666666702</c:v>
                </c:pt>
                <c:pt idx="11">
                  <c:v>0.5</c:v>
                </c:pt>
                <c:pt idx="12">
                  <c:v>0.52083333333333304</c:v>
                </c:pt>
                <c:pt idx="13">
                  <c:v>0.54166666666666696</c:v>
                </c:pt>
                <c:pt idx="14">
                  <c:v>0.5625</c:v>
                </c:pt>
                <c:pt idx="15">
                  <c:v>0.58333333333333304</c:v>
                </c:pt>
                <c:pt idx="16">
                  <c:v>0.60416666666666696</c:v>
                </c:pt>
                <c:pt idx="17">
                  <c:v>0.625</c:v>
                </c:pt>
                <c:pt idx="18">
                  <c:v>0.64583333333333304</c:v>
                </c:pt>
                <c:pt idx="19">
                  <c:v>0.66666666666666696</c:v>
                </c:pt>
                <c:pt idx="20">
                  <c:v>0.6875</c:v>
                </c:pt>
                <c:pt idx="21">
                  <c:v>0.70833333333333304</c:v>
                </c:pt>
                <c:pt idx="22">
                  <c:v>0.72916666666666696</c:v>
                </c:pt>
                <c:pt idx="23">
                  <c:v>0.75</c:v>
                </c:pt>
                <c:pt idx="24">
                  <c:v>0.77083333333333304</c:v>
                </c:pt>
                <c:pt idx="25">
                  <c:v>0.79166666666666696</c:v>
                </c:pt>
                <c:pt idx="26">
                  <c:v>0.8125</c:v>
                </c:pt>
                <c:pt idx="27">
                  <c:v>0.83333333333333304</c:v>
                </c:pt>
              </c:numCache>
            </c:numRef>
          </c:cat>
          <c:val>
            <c:numRef>
              <c:f>'BUPA Seguros'!$X$5:$X$32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8F-49E1-ACCF-2EAF0587D0C0}"/>
            </c:ext>
          </c:extLst>
        </c:ser>
        <c:ser>
          <c:idx val="1"/>
          <c:order val="1"/>
          <c:tx>
            <c:strRef>
              <c:f>'BUPA Seguros'!$Y$4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'BUPA Seguros'!$W$5:$W$32</c:f>
              <c:numCache>
                <c:formatCode>[$-F400]h:mm:ss\ AM/PM</c:formatCode>
                <c:ptCount val="28"/>
                <c:pt idx="0">
                  <c:v>0.27083333333333298</c:v>
                </c:pt>
                <c:pt idx="1">
                  <c:v>0.29166666666666702</c:v>
                </c:pt>
                <c:pt idx="2">
                  <c:v>0.3125</c:v>
                </c:pt>
                <c:pt idx="3">
                  <c:v>0.33333333333333298</c:v>
                </c:pt>
                <c:pt idx="4">
                  <c:v>0.35416666666666702</c:v>
                </c:pt>
                <c:pt idx="5">
                  <c:v>0.375</c:v>
                </c:pt>
                <c:pt idx="6">
                  <c:v>0.39583333333333298</c:v>
                </c:pt>
                <c:pt idx="7">
                  <c:v>0.41666666666666702</c:v>
                </c:pt>
                <c:pt idx="8">
                  <c:v>0.4375</c:v>
                </c:pt>
                <c:pt idx="9">
                  <c:v>0.45833333333333298</c:v>
                </c:pt>
                <c:pt idx="10">
                  <c:v>0.47916666666666702</c:v>
                </c:pt>
                <c:pt idx="11">
                  <c:v>0.5</c:v>
                </c:pt>
                <c:pt idx="12">
                  <c:v>0.52083333333333304</c:v>
                </c:pt>
                <c:pt idx="13">
                  <c:v>0.54166666666666696</c:v>
                </c:pt>
                <c:pt idx="14">
                  <c:v>0.5625</c:v>
                </c:pt>
                <c:pt idx="15">
                  <c:v>0.58333333333333304</c:v>
                </c:pt>
                <c:pt idx="16">
                  <c:v>0.60416666666666696</c:v>
                </c:pt>
                <c:pt idx="17">
                  <c:v>0.625</c:v>
                </c:pt>
                <c:pt idx="18">
                  <c:v>0.64583333333333304</c:v>
                </c:pt>
                <c:pt idx="19">
                  <c:v>0.66666666666666696</c:v>
                </c:pt>
                <c:pt idx="20">
                  <c:v>0.6875</c:v>
                </c:pt>
                <c:pt idx="21">
                  <c:v>0.70833333333333304</c:v>
                </c:pt>
                <c:pt idx="22">
                  <c:v>0.72916666666666696</c:v>
                </c:pt>
                <c:pt idx="23">
                  <c:v>0.75</c:v>
                </c:pt>
                <c:pt idx="24">
                  <c:v>0.77083333333333304</c:v>
                </c:pt>
                <c:pt idx="25">
                  <c:v>0.79166666666666696</c:v>
                </c:pt>
                <c:pt idx="26">
                  <c:v>0.8125</c:v>
                </c:pt>
                <c:pt idx="27">
                  <c:v>0.83333333333333304</c:v>
                </c:pt>
              </c:numCache>
            </c:numRef>
          </c:cat>
          <c:val>
            <c:numRef>
              <c:f>'BUPA Seguros'!$Y$5:$Y$32</c:f>
            </c:numRef>
          </c:val>
          <c:smooth val="0"/>
          <c:extLst>
            <c:ext xmlns:c16="http://schemas.microsoft.com/office/drawing/2014/chart" uri="{C3380CC4-5D6E-409C-BE32-E72D297353CC}">
              <c16:uniqueId val="{00000003-368F-49E1-ACCF-2EAF0587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667632"/>
        <c:axId val="844494560"/>
      </c:lineChart>
      <c:catAx>
        <c:axId val="667667632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4494560"/>
        <c:crosses val="autoZero"/>
        <c:auto val="1"/>
        <c:lblAlgn val="ctr"/>
        <c:lblOffset val="100"/>
        <c:noMultiLvlLbl val="0"/>
      </c:catAx>
      <c:valAx>
        <c:axId val="8444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766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231363</xdr:colOff>
      <xdr:row>22</xdr:row>
      <xdr:rowOff>34351</xdr:rowOff>
    </xdr:from>
    <xdr:to>
      <xdr:col>51</xdr:col>
      <xdr:colOff>127000</xdr:colOff>
      <xdr:row>42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4A9235-AA4D-47E5-9008-0B179999E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54428</xdr:colOff>
      <xdr:row>2</xdr:row>
      <xdr:rowOff>231322</xdr:rowOff>
    </xdr:from>
    <xdr:to>
      <xdr:col>38</xdr:col>
      <xdr:colOff>340178</xdr:colOff>
      <xdr:row>20</xdr:row>
      <xdr:rowOff>149679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564012-50CE-4E71-B112-F35115C50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gsinc1-my.sharepoint.com/Users/rmorales/OneDrive%20-%20Computer%20Generated%20Solutions,%20Inc/Servicios/07%20-%20CGE/3%20-%20Forecast/Forecast%202.0/04%20-%20Para%20an&#225;lisis%20de%20llamadas%20CGE%20Abril%202020%20R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BDD"/>
      <sheetName val="Llamadas_Mes"/>
      <sheetName val="Llamadas_Semana"/>
      <sheetName val="Llamadas_Día"/>
      <sheetName val="Llamadas_Intervalo"/>
      <sheetName val="Curvas y suavización"/>
      <sheetName val="Análisis llamadas"/>
      <sheetName val="Forecast"/>
      <sheetName val="Niveles TMO y Au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giones" displayName="Regiones" ref="B2:R447" totalsRowShown="0" headerRowDxfId="28" tableBorderDxfId="27">
  <autoFilter ref="B2:R447" xr:uid="{00000000-0009-0000-0100-000002000000}"/>
  <tableColumns count="17">
    <tableColumn id="1" xr3:uid="{00000000-0010-0000-0200-000001000000}" name="Fecha" dataDxfId="26"/>
    <tableColumn id="2" xr3:uid="{00000000-0010-0000-0200-000002000000}" name="Intervalo" dataDxfId="25"/>
    <tableColumn id="3" xr3:uid="{00000000-0010-0000-0200-000003000000}" name="Cola"/>
    <tableColumn id="4" xr3:uid="{00000000-0010-0000-0200-000004000000}" name="Tipo de medios"/>
    <tableColumn id="5" xr3:uid="{00000000-0010-0000-0200-000005000000}" name="Ofrecidas"/>
    <tableColumn id="6" xr3:uid="{00000000-0010-0000-0200-000006000000}" name="Contestadas"/>
    <tableColumn id="7" xr3:uid="{00000000-0010-0000-0200-000007000000}" name="Abandonadas"/>
    <tableColumn id="9" xr3:uid="{00000000-0010-0000-0200-000009000000}" name="% de nivel de servicio" dataCellStyle="Porcentaje"/>
    <tableColumn id="13" xr3:uid="{00000000-0010-0000-0200-00000D000000}" name="AHT" dataDxfId="24"/>
    <tableColumn id="20" xr3:uid="{00000000-0010-0000-0200-000014000000}" name="Fecha2" dataDxfId="23">
      <calculatedColumnFormula>INT(Regiones[[#This Row],[Fecha]])</calculatedColumnFormula>
    </tableColumn>
    <tableColumn id="21" xr3:uid="{00000000-0010-0000-0200-000015000000}" name="NDA INT" dataDxfId="22">
      <calculatedColumnFormula>IFERROR(Regiones[[#This Row],[Contestadas]]/Regiones[[#This Row],[Ofrecidas]],"")</calculatedColumnFormula>
    </tableColumn>
    <tableColumn id="17" xr3:uid="{00000000-0010-0000-0200-000011000000}" name="Aten &lt; 20 seg" dataDxfId="21">
      <calculatedColumnFormula>IFERROR(Regiones[[#This Row],[Ofrecidas]]*Regiones[[#This Row],[% de nivel de servicio]],"")</calculatedColumnFormula>
    </tableColumn>
    <tableColumn id="23" xr3:uid="{00000000-0010-0000-0200-000017000000}" name="cosas" dataDxfId="20"/>
    <tableColumn id="18" xr3:uid="{00000000-0010-0000-0200-000012000000}" name="NDS Int" dataDxfId="19" dataCellStyle="Porcentaje">
      <calculatedColumnFormula>IFERROR(Regiones[[#This Row],[Aten &lt; 20 seg]]/Regiones[[#This Row],[Contestadas]],"")</calculatedColumnFormula>
    </tableColumn>
    <tableColumn id="19" xr3:uid="{00000000-0010-0000-0200-000013000000}" name="TMO" dataDxfId="18">
      <calculatedColumnFormula>IFERROR(Regiones[[#This Row],[AHT]]*86400,"error")</calculatedColumnFormula>
    </tableColumn>
    <tableColumn id="22" xr3:uid="{00000000-0010-0000-0200-000016000000}" name="Skill" dataDxfId="17">
      <calculatedColumnFormula>+VLOOKUP(Regiones[[#This Row],[Cola]],Tabla6[#Data],2,0)</calculatedColumnFormula>
    </tableColumn>
    <tableColumn id="24" xr3:uid="{1ADDE832-502A-4E1F-871F-FAFFEC390C9D}" name="Skill2" dataDxfId="16">
      <calculatedColumnFormula>+VLOOKUP(Regiones[[#This Row],[Cola]],Tabla68[],2,0)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T2:U13" totalsRowShown="0" headerRowDxfId="15" dataDxfId="13" headerRowBorderDxfId="14" tableBorderDxfId="12" totalsRowBorderDxfId="11">
  <autoFilter ref="T2:U13" xr:uid="{00000000-0009-0000-0100-000006000000}"/>
  <tableColumns count="2">
    <tableColumn id="1" xr3:uid="{00000000-0010-0000-0300-000001000000}" name="Cola" dataDxfId="10"/>
    <tableColumn id="2" xr3:uid="{00000000-0010-0000-0300-000002000000}" name="Agrupación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0AF81E-C937-4401-AB0E-1F1C67824116}" name="Tabla68" displayName="Tabla68" ref="T14:U20" totalsRowShown="0" headerRowDxfId="8" dataDxfId="6" headerRowBorderDxfId="7" tableBorderDxfId="5" totalsRowBorderDxfId="4">
  <autoFilter ref="T14:U20" xr:uid="{640AF81E-C937-4401-AB0E-1F1C67824116}"/>
  <tableColumns count="2">
    <tableColumn id="1" xr3:uid="{A056B729-F13B-4DF3-B1A3-7DCE71BC6921}" name="Cola" dataDxfId="3"/>
    <tableColumn id="2" xr3:uid="{BF6EB455-49C2-4F84-870F-CCF4B181476B}" name="Agrupación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C294E4-A537-4C0F-AAC8-6B4A7B1C6C2E}" name="Tabla54" displayName="Tabla54" ref="B5:I1493" totalsRowShown="0" headerRowDxfId="41" dataDxfId="39" headerRowBorderDxfId="40" tableBorderDxfId="38" totalsRowBorderDxfId="37">
  <tableColumns count="8">
    <tableColumn id="1" xr3:uid="{02854313-8BF6-472B-92B9-F2005F55F514}" name="Fecha" dataDxfId="36"/>
    <tableColumn id="2" xr3:uid="{A1853A93-2854-4FB8-8FE2-3CD5AB6D9663}" name="Intervalo" dataDxfId="35"/>
    <tableColumn id="3" xr3:uid="{29157904-0F4F-4E8D-83EB-85C320FE7648}" name="Recibidas" dataDxfId="34">
      <calculatedColumnFormula>+SUMIFS(Regiones[Ofrecidas],Regiones[Fecha],Tabla54[[#This Row],[Fecha]],Regiones[Intervalo],Tabla54[[#This Row],[Intervalo]],Regiones[Skill],'BUPA Seguros'!$L$3)</calculatedColumnFormula>
    </tableColumn>
    <tableColumn id="8" xr3:uid="{ABAACD97-DBBC-4470-B477-C07853F77974}" name="Atendidas" dataDxfId="33">
      <calculatedColumnFormula>+SUMIFS(Regiones[Contestadas],Regiones[Fecha],Tabla54[[#This Row],[Fecha]],Regiones[Intervalo],Tabla54[[#This Row],[Intervalo]],Regiones[Skill],'BUPA Seguros'!$L$3)</calculatedColumnFormula>
    </tableColumn>
    <tableColumn id="4" xr3:uid="{DB5F77BB-AB1D-47EA-8CE3-A5BFA3BD43B6}" name="Forecast" dataDxfId="32"/>
    <tableColumn id="5" xr3:uid="{D6DF7847-C356-4FF3-83A4-5C92F2D41CA4}" name="TMO" dataDxfId="31">
      <calculatedColumnFormula>IFERROR(SUMIFS(Regiones[TMO],Regiones[Fecha],Tabla54[[#This Row],[Fecha]],Regiones[Intervalo],Tabla54[[#This Row],[Intervalo]],Regiones[Skill],'BUPA Seguros'!$L$3)/Tabla54[[#This Row],[Atendidas]],0)</calculatedColumnFormula>
    </tableColumn>
    <tableColumn id="6" xr3:uid="{5B351B82-D098-4CED-B90F-F540421CA7D6}" name="NS" dataDxfId="30" dataCellStyle="Porcentaje">
      <calculatedColumnFormula>IFERROR(SUMIFS(Regiones[Aten &lt; 20 seg],Regiones[Fecha],Tabla54[[#This Row],[Fecha]],Regiones[Intervalo],Tabla54[[#This Row],[Intervalo]],Regiones[Skill],'BUPA Seguros'!$L$3)/Tabla54[[#This Row],[Recibidas]],0)</calculatedColumnFormula>
    </tableColumn>
    <tableColumn id="7" xr3:uid="{FAF9A9B1-984B-4773-9D97-23532E76B2B8}" name="NA" dataDxfId="29" dataCellStyle="Porcentaje">
      <calculatedColumnFormula>IFERROR(Tabla54[[#This Row],[Atendidas]]/Tabla54[[#This Row],[Recibidas]],0)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2:U447"/>
  <sheetViews>
    <sheetView showGridLines="0" topLeftCell="A413" zoomScale="70" zoomScaleNormal="70" workbookViewId="0">
      <selection activeCell="D449" sqref="D449"/>
    </sheetView>
  </sheetViews>
  <sheetFormatPr baseColWidth="10" defaultColWidth="11.44140625" defaultRowHeight="14.4" x14ac:dyDescent="0.3"/>
  <cols>
    <col min="1" max="1" width="3" customWidth="1"/>
    <col min="2" max="2" width="13.6640625" bestFit="1" customWidth="1"/>
    <col min="3" max="3" width="12.6640625" customWidth="1"/>
    <col min="4" max="4" width="33.109375" bestFit="1" customWidth="1"/>
    <col min="5" max="5" width="19.44140625" customWidth="1"/>
    <col min="6" max="6" width="13.44140625" customWidth="1"/>
    <col min="7" max="7" width="16.6640625" customWidth="1"/>
    <col min="8" max="8" width="17.5546875" customWidth="1"/>
    <col min="9" max="9" width="25.6640625" customWidth="1"/>
    <col min="10" max="10" width="10" bestFit="1" customWidth="1"/>
    <col min="11" max="15" width="22.44140625" customWidth="1"/>
    <col min="16" max="16" width="11" customWidth="1"/>
    <col min="17" max="17" width="16.33203125" bestFit="1" customWidth="1"/>
    <col min="18" max="18" width="13.109375" bestFit="1" customWidth="1"/>
    <col min="19" max="19" width="20" customWidth="1"/>
    <col min="20" max="20" width="44.5546875" bestFit="1" customWidth="1"/>
  </cols>
  <sheetData>
    <row r="2" spans="2:2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</v>
      </c>
      <c r="N2" s="4" t="s">
        <v>12</v>
      </c>
      <c r="O2" s="4" t="s">
        <v>13</v>
      </c>
      <c r="P2" s="5" t="s">
        <v>14</v>
      </c>
      <c r="Q2" s="5" t="s">
        <v>15</v>
      </c>
      <c r="R2" s="5" t="s">
        <v>16</v>
      </c>
      <c r="T2" s="1" t="s">
        <v>2</v>
      </c>
      <c r="U2" s="1" t="s">
        <v>17</v>
      </c>
    </row>
    <row r="3" spans="2:21" x14ac:dyDescent="0.3">
      <c r="B3" s="6">
        <v>46204</v>
      </c>
      <c r="C3" s="14">
        <v>0.375</v>
      </c>
      <c r="D3" t="s">
        <v>52</v>
      </c>
      <c r="E3" t="s">
        <v>18</v>
      </c>
      <c r="F3">
        <v>1</v>
      </c>
      <c r="G3">
        <v>1</v>
      </c>
      <c r="H3">
        <v>0</v>
      </c>
      <c r="I3" s="2">
        <v>0</v>
      </c>
      <c r="J3" s="14" t="s">
        <v>19</v>
      </c>
      <c r="K3" s="6">
        <f>INT(Regiones[[#This Row],[Fecha]])</f>
        <v>46204</v>
      </c>
      <c r="L3" s="10">
        <f>IFERROR(Regiones[[#This Row],[Contestadas]]/Regiones[[#This Row],[Ofrecidas]],"")</f>
        <v>1</v>
      </c>
      <c r="M3" s="7">
        <f>IFERROR(Regiones[[#This Row],[Ofrecidas]]*Regiones[[#This Row],[% de nivel de servicio]],"")</f>
        <v>0</v>
      </c>
      <c r="N3" s="7"/>
      <c r="O3" s="12">
        <f>IFERROR(Regiones[[#This Row],[Aten &lt; 20 seg]]/Regiones[[#This Row],[Contestadas]],"")</f>
        <v>0</v>
      </c>
      <c r="P3" s="13" t="str">
        <f>IFERROR(Regiones[[#This Row],[AHT]]*86400,"error")</f>
        <v>error</v>
      </c>
      <c r="Q3" s="13" t="str">
        <f>+VLOOKUP(Regiones[[#This Row],[Cola]],Tabla6[#Data],2,0)</f>
        <v>BUPA</v>
      </c>
      <c r="R3" s="13" t="e">
        <f>+VLOOKUP(Regiones[[#This Row],[Cola]],Tabla68[],2,0)</f>
        <v>#N/A</v>
      </c>
      <c r="T3" s="11" t="s">
        <v>49</v>
      </c>
      <c r="U3" s="11" t="s">
        <v>51</v>
      </c>
    </row>
    <row r="4" spans="2:21" x14ac:dyDescent="0.3">
      <c r="B4" s="6">
        <v>46204</v>
      </c>
      <c r="C4" s="14">
        <v>0.375</v>
      </c>
      <c r="D4" t="s">
        <v>50</v>
      </c>
      <c r="E4" t="s">
        <v>18</v>
      </c>
      <c r="F4">
        <v>2</v>
      </c>
      <c r="G4">
        <v>2</v>
      </c>
      <c r="H4">
        <v>0</v>
      </c>
      <c r="I4" s="2">
        <v>0.5</v>
      </c>
      <c r="J4" s="14">
        <v>5.7986111111111112E-3</v>
      </c>
      <c r="K4" s="6">
        <f>INT(Regiones[[#This Row],[Fecha]])</f>
        <v>46204</v>
      </c>
      <c r="L4" s="10">
        <f>IFERROR(Regiones[[#This Row],[Contestadas]]/Regiones[[#This Row],[Ofrecidas]],"")</f>
        <v>1</v>
      </c>
      <c r="M4" s="7">
        <f>IFERROR(Regiones[[#This Row],[Ofrecidas]]*Regiones[[#This Row],[% de nivel de servicio]],"")</f>
        <v>1</v>
      </c>
      <c r="N4" s="7"/>
      <c r="O4" s="12">
        <f>IFERROR(Regiones[[#This Row],[Aten &lt; 20 seg]]/Regiones[[#This Row],[Contestadas]],"")</f>
        <v>0.5</v>
      </c>
      <c r="P4" s="13">
        <f>IFERROR(Regiones[[#This Row],[AHT]]*86400,"error")</f>
        <v>501</v>
      </c>
      <c r="Q4" s="13" t="str">
        <f>+VLOOKUP(Regiones[[#This Row],[Cola]],Tabla6[#Data],2,0)</f>
        <v>BUPA</v>
      </c>
      <c r="R4" s="13" t="e">
        <f>+VLOOKUP(Regiones[[#This Row],[Cola]],Tabla68[],2,0)</f>
        <v>#N/A</v>
      </c>
      <c r="T4" s="11" t="s">
        <v>48</v>
      </c>
      <c r="U4" s="11" t="s">
        <v>51</v>
      </c>
    </row>
    <row r="5" spans="2:21" x14ac:dyDescent="0.3">
      <c r="B5" s="6">
        <v>46204</v>
      </c>
      <c r="C5" s="14">
        <v>0.375</v>
      </c>
      <c r="D5" t="s">
        <v>47</v>
      </c>
      <c r="E5" t="s">
        <v>18</v>
      </c>
      <c r="F5">
        <v>15</v>
      </c>
      <c r="G5">
        <v>14</v>
      </c>
      <c r="H5">
        <v>1</v>
      </c>
      <c r="I5" s="2">
        <v>0.47</v>
      </c>
      <c r="J5" s="14">
        <v>4.6064814814814814E-3</v>
      </c>
      <c r="K5" s="6">
        <f>INT(Regiones[[#This Row],[Fecha]])</f>
        <v>46204</v>
      </c>
      <c r="L5" s="10">
        <f>IFERROR(Regiones[[#This Row],[Contestadas]]/Regiones[[#This Row],[Ofrecidas]],"")</f>
        <v>0.93333333333333335</v>
      </c>
      <c r="M5" s="7">
        <f>IFERROR(Regiones[[#This Row],[Ofrecidas]]*Regiones[[#This Row],[% de nivel de servicio]],"")</f>
        <v>7.05</v>
      </c>
      <c r="N5" s="7"/>
      <c r="O5" s="12">
        <f>IFERROR(Regiones[[#This Row],[Aten &lt; 20 seg]]/Regiones[[#This Row],[Contestadas]],"")</f>
        <v>0.50357142857142856</v>
      </c>
      <c r="P5" s="13">
        <f>IFERROR(Regiones[[#This Row],[AHT]]*86400,"error")</f>
        <v>398</v>
      </c>
      <c r="Q5" s="13" t="str">
        <f>+VLOOKUP(Regiones[[#This Row],[Cola]],Tabla6[#Data],2,0)</f>
        <v>BUPA</v>
      </c>
      <c r="R5" s="13" t="e">
        <f>+VLOOKUP(Regiones[[#This Row],[Cola]],Tabla68[],2,0)</f>
        <v>#N/A</v>
      </c>
      <c r="T5" s="11" t="s">
        <v>47</v>
      </c>
      <c r="U5" s="11" t="s">
        <v>51</v>
      </c>
    </row>
    <row r="6" spans="2:21" x14ac:dyDescent="0.3">
      <c r="B6" s="6">
        <v>46204</v>
      </c>
      <c r="C6" s="14">
        <v>0.375</v>
      </c>
      <c r="D6" t="s">
        <v>46</v>
      </c>
      <c r="E6" t="s">
        <v>18</v>
      </c>
      <c r="F6">
        <v>3</v>
      </c>
      <c r="G6">
        <v>3</v>
      </c>
      <c r="H6">
        <v>0</v>
      </c>
      <c r="I6" s="2">
        <v>0.33</v>
      </c>
      <c r="J6" s="14">
        <v>4.4560185185185189E-3</v>
      </c>
      <c r="K6" s="6">
        <f>INT(Regiones[[#This Row],[Fecha]])</f>
        <v>46204</v>
      </c>
      <c r="L6" s="10">
        <f>IFERROR(Regiones[[#This Row],[Contestadas]]/Regiones[[#This Row],[Ofrecidas]],"")</f>
        <v>1</v>
      </c>
      <c r="M6" s="7">
        <f>IFERROR(Regiones[[#This Row],[Ofrecidas]]*Regiones[[#This Row],[% de nivel de servicio]],"")</f>
        <v>0.99</v>
      </c>
      <c r="N6" s="7"/>
      <c r="O6" s="12">
        <f>IFERROR(Regiones[[#This Row],[Aten &lt; 20 seg]]/Regiones[[#This Row],[Contestadas]],"")</f>
        <v>0.33</v>
      </c>
      <c r="P6" s="13">
        <f>IFERROR(Regiones[[#This Row],[AHT]]*86400,"error")</f>
        <v>385.00000000000006</v>
      </c>
      <c r="Q6" s="13" t="str">
        <f>+VLOOKUP(Regiones[[#This Row],[Cola]],Tabla6[#Data],2,0)</f>
        <v>BUPA</v>
      </c>
      <c r="R6" s="13" t="e">
        <f>+VLOOKUP(Regiones[[#This Row],[Cola]],Tabla68[],2,0)</f>
        <v>#N/A</v>
      </c>
      <c r="T6" s="11" t="s">
        <v>46</v>
      </c>
      <c r="U6" s="11" t="s">
        <v>51</v>
      </c>
    </row>
    <row r="7" spans="2:21" x14ac:dyDescent="0.3">
      <c r="B7" s="6">
        <v>46204</v>
      </c>
      <c r="C7" s="14">
        <v>0.375</v>
      </c>
      <c r="D7" t="s">
        <v>53</v>
      </c>
      <c r="E7" t="s">
        <v>18</v>
      </c>
      <c r="F7">
        <v>1</v>
      </c>
      <c r="G7">
        <v>1</v>
      </c>
      <c r="H7">
        <v>0</v>
      </c>
      <c r="I7" s="2">
        <v>0</v>
      </c>
      <c r="J7" s="14">
        <v>4.7222222222222223E-3</v>
      </c>
      <c r="K7" s="6">
        <f>INT(Regiones[[#This Row],[Fecha]])</f>
        <v>46204</v>
      </c>
      <c r="L7" s="10">
        <f>IFERROR(Regiones[[#This Row],[Contestadas]]/Regiones[[#This Row],[Ofrecidas]],"")</f>
        <v>1</v>
      </c>
      <c r="M7" s="7">
        <f>IFERROR(Regiones[[#This Row],[Ofrecidas]]*Regiones[[#This Row],[% de nivel de servicio]],"")</f>
        <v>0</v>
      </c>
      <c r="N7" s="7"/>
      <c r="O7" s="12">
        <f>IFERROR(Regiones[[#This Row],[Aten &lt; 20 seg]]/Regiones[[#This Row],[Contestadas]],"")</f>
        <v>0</v>
      </c>
      <c r="P7" s="13">
        <f>IFERROR(Regiones[[#This Row],[AHT]]*86400,"error")</f>
        <v>408</v>
      </c>
      <c r="Q7" s="13" t="str">
        <f>+VLOOKUP(Regiones[[#This Row],[Cola]],Tabla6[#Data],2,0)</f>
        <v>BUPA</v>
      </c>
      <c r="R7" s="13" t="e">
        <f>+VLOOKUP(Regiones[[#This Row],[Cola]],Tabla68[],2,0)</f>
        <v>#N/A</v>
      </c>
      <c r="T7" s="11" t="s">
        <v>50</v>
      </c>
      <c r="U7" s="11" t="s">
        <v>51</v>
      </c>
    </row>
    <row r="8" spans="2:21" x14ac:dyDescent="0.3">
      <c r="B8" s="6">
        <v>46204</v>
      </c>
      <c r="C8" s="14">
        <v>0.375</v>
      </c>
      <c r="D8" t="s">
        <v>48</v>
      </c>
      <c r="E8" t="s">
        <v>18</v>
      </c>
      <c r="F8">
        <v>13</v>
      </c>
      <c r="G8">
        <v>13</v>
      </c>
      <c r="H8">
        <v>0</v>
      </c>
      <c r="I8" s="2">
        <v>0.46</v>
      </c>
      <c r="J8" s="14">
        <v>5.115740740740741E-3</v>
      </c>
      <c r="K8" s="6">
        <f>INT(Regiones[[#This Row],[Fecha]])</f>
        <v>46204</v>
      </c>
      <c r="L8" s="10">
        <f>IFERROR(Regiones[[#This Row],[Contestadas]]/Regiones[[#This Row],[Ofrecidas]],"")</f>
        <v>1</v>
      </c>
      <c r="M8" s="7">
        <f>IFERROR(Regiones[[#This Row],[Ofrecidas]]*Regiones[[#This Row],[% de nivel de servicio]],"")</f>
        <v>5.98</v>
      </c>
      <c r="N8" s="7"/>
      <c r="O8" s="12">
        <f>IFERROR(Regiones[[#This Row],[Aten &lt; 20 seg]]/Regiones[[#This Row],[Contestadas]],"")</f>
        <v>0.46</v>
      </c>
      <c r="P8" s="13">
        <f>IFERROR(Regiones[[#This Row],[AHT]]*86400,"error")</f>
        <v>442</v>
      </c>
      <c r="Q8" s="13" t="str">
        <f>+VLOOKUP(Regiones[[#This Row],[Cola]],Tabla6[#Data],2,0)</f>
        <v>BUPA</v>
      </c>
      <c r="R8" s="13" t="e">
        <f>+VLOOKUP(Regiones[[#This Row],[Cola]],Tabla68[],2,0)</f>
        <v>#N/A</v>
      </c>
      <c r="T8" s="11" t="s">
        <v>57</v>
      </c>
      <c r="U8" s="11" t="s">
        <v>51</v>
      </c>
    </row>
    <row r="9" spans="2:21" x14ac:dyDescent="0.3">
      <c r="B9" s="6">
        <v>46204</v>
      </c>
      <c r="C9" s="14">
        <v>0.375</v>
      </c>
      <c r="D9" t="s">
        <v>49</v>
      </c>
      <c r="E9" t="s">
        <v>18</v>
      </c>
      <c r="F9">
        <v>2</v>
      </c>
      <c r="G9">
        <v>2</v>
      </c>
      <c r="H9">
        <v>0</v>
      </c>
      <c r="I9" s="2">
        <v>0</v>
      </c>
      <c r="J9" s="14">
        <v>3.1018518518518517E-3</v>
      </c>
      <c r="K9" s="6">
        <f>INT(Regiones[[#This Row],[Fecha]])</f>
        <v>46204</v>
      </c>
      <c r="L9" s="10">
        <f>IFERROR(Regiones[[#This Row],[Contestadas]]/Regiones[[#This Row],[Ofrecidas]],"")</f>
        <v>1</v>
      </c>
      <c r="M9" s="7">
        <f>IFERROR(Regiones[[#This Row],[Ofrecidas]]*Regiones[[#This Row],[% de nivel de servicio]],"")</f>
        <v>0</v>
      </c>
      <c r="N9" s="7"/>
      <c r="O9" s="12">
        <f>IFERROR(Regiones[[#This Row],[Aten &lt; 20 seg]]/Regiones[[#This Row],[Contestadas]],"")</f>
        <v>0</v>
      </c>
      <c r="P9" s="13">
        <f>IFERROR(Regiones[[#This Row],[AHT]]*86400,"error")</f>
        <v>268</v>
      </c>
      <c r="Q9" s="13" t="str">
        <f>+VLOOKUP(Regiones[[#This Row],[Cola]],Tabla6[#Data],2,0)</f>
        <v>BUPA</v>
      </c>
      <c r="R9" s="13" t="e">
        <f>+VLOOKUP(Regiones[[#This Row],[Cola]],Tabla68[],2,0)</f>
        <v>#N/A</v>
      </c>
      <c r="T9" s="11" t="s">
        <v>54</v>
      </c>
      <c r="U9" s="11" t="s">
        <v>51</v>
      </c>
    </row>
    <row r="10" spans="2:21" x14ac:dyDescent="0.3">
      <c r="B10" s="6">
        <v>46204</v>
      </c>
      <c r="C10" s="14">
        <v>0.39583333333333331</v>
      </c>
      <c r="D10" t="s">
        <v>54</v>
      </c>
      <c r="E10" t="s">
        <v>18</v>
      </c>
      <c r="F10">
        <v>1</v>
      </c>
      <c r="G10">
        <v>1</v>
      </c>
      <c r="H10">
        <v>0</v>
      </c>
      <c r="I10" s="2">
        <v>1</v>
      </c>
      <c r="J10" s="14">
        <v>1.4120370370370369E-3</v>
      </c>
      <c r="K10" s="6">
        <f>INT(Regiones[[#This Row],[Fecha]])</f>
        <v>46204</v>
      </c>
      <c r="L10" s="10">
        <f>IFERROR(Regiones[[#This Row],[Contestadas]]/Regiones[[#This Row],[Ofrecidas]],"")</f>
        <v>1</v>
      </c>
      <c r="M10" s="7">
        <f>IFERROR(Regiones[[#This Row],[Ofrecidas]]*Regiones[[#This Row],[% de nivel de servicio]],"")</f>
        <v>1</v>
      </c>
      <c r="N10" s="7"/>
      <c r="O10" s="12">
        <f>IFERROR(Regiones[[#This Row],[Aten &lt; 20 seg]]/Regiones[[#This Row],[Contestadas]],"")</f>
        <v>1</v>
      </c>
      <c r="P10" s="13">
        <f>IFERROR(Regiones[[#This Row],[AHT]]*86400,"error")</f>
        <v>121.99999999999999</v>
      </c>
      <c r="Q10" s="13" t="str">
        <f>+VLOOKUP(Regiones[[#This Row],[Cola]],Tabla6[#Data],2,0)</f>
        <v>BUPA</v>
      </c>
      <c r="R10" s="13" t="e">
        <f>+VLOOKUP(Regiones[[#This Row],[Cola]],Tabla68[],2,0)</f>
        <v>#N/A</v>
      </c>
      <c r="T10" s="11" t="s">
        <v>53</v>
      </c>
      <c r="U10" s="11" t="s">
        <v>51</v>
      </c>
    </row>
    <row r="11" spans="2:21" x14ac:dyDescent="0.3">
      <c r="B11" s="6">
        <v>46204</v>
      </c>
      <c r="C11" s="14">
        <v>0.39583333333333331</v>
      </c>
      <c r="D11" t="s">
        <v>46</v>
      </c>
      <c r="E11" t="s">
        <v>18</v>
      </c>
      <c r="F11">
        <v>8</v>
      </c>
      <c r="G11">
        <v>8</v>
      </c>
      <c r="H11">
        <v>0</v>
      </c>
      <c r="I11" s="2">
        <v>1</v>
      </c>
      <c r="J11" s="14">
        <v>2.9745370370370373E-3</v>
      </c>
      <c r="K11" s="6">
        <f>INT(Regiones[[#This Row],[Fecha]])</f>
        <v>46204</v>
      </c>
      <c r="L11" s="10">
        <f>IFERROR(Regiones[[#This Row],[Contestadas]]/Regiones[[#This Row],[Ofrecidas]],"")</f>
        <v>1</v>
      </c>
      <c r="M11" s="7">
        <f>IFERROR(Regiones[[#This Row],[Ofrecidas]]*Regiones[[#This Row],[% de nivel de servicio]],"")</f>
        <v>8</v>
      </c>
      <c r="N11" s="7"/>
      <c r="O11" s="12">
        <f>IFERROR(Regiones[[#This Row],[Aten &lt; 20 seg]]/Regiones[[#This Row],[Contestadas]],"")</f>
        <v>1</v>
      </c>
      <c r="P11" s="13">
        <f>IFERROR(Regiones[[#This Row],[AHT]]*86400,"error")</f>
        <v>257</v>
      </c>
      <c r="Q11" s="13" t="str">
        <f>+VLOOKUP(Regiones[[#This Row],[Cola]],Tabla6[#Data],2,0)</f>
        <v>BUPA</v>
      </c>
      <c r="R11" s="13" t="e">
        <f>+VLOOKUP(Regiones[[#This Row],[Cola]],Tabla68[],2,0)</f>
        <v>#N/A</v>
      </c>
      <c r="T11" s="11" t="s">
        <v>56</v>
      </c>
      <c r="U11" s="11" t="s">
        <v>51</v>
      </c>
    </row>
    <row r="12" spans="2:21" x14ac:dyDescent="0.3">
      <c r="B12" s="6">
        <v>46204</v>
      </c>
      <c r="C12" s="14">
        <v>0.39583333333333331</v>
      </c>
      <c r="D12" t="s">
        <v>49</v>
      </c>
      <c r="E12" t="s">
        <v>18</v>
      </c>
      <c r="F12">
        <v>1</v>
      </c>
      <c r="G12">
        <v>1</v>
      </c>
      <c r="H12">
        <v>0</v>
      </c>
      <c r="I12" s="2">
        <v>0</v>
      </c>
      <c r="J12" s="14">
        <v>4.8726851851851848E-3</v>
      </c>
      <c r="K12" s="6">
        <f>INT(Regiones[[#This Row],[Fecha]])</f>
        <v>46204</v>
      </c>
      <c r="L12" s="10">
        <f>IFERROR(Regiones[[#This Row],[Contestadas]]/Regiones[[#This Row],[Ofrecidas]],"")</f>
        <v>1</v>
      </c>
      <c r="M12" s="7">
        <f>IFERROR(Regiones[[#This Row],[Ofrecidas]]*Regiones[[#This Row],[% de nivel de servicio]],"")</f>
        <v>0</v>
      </c>
      <c r="N12" s="7"/>
      <c r="O12" s="12">
        <f>IFERROR(Regiones[[#This Row],[Aten &lt; 20 seg]]/Regiones[[#This Row],[Contestadas]],"")</f>
        <v>0</v>
      </c>
      <c r="P12" s="13">
        <f>IFERROR(Regiones[[#This Row],[AHT]]*86400,"error")</f>
        <v>420.99999999999994</v>
      </c>
      <c r="Q12" s="13" t="str">
        <f>+VLOOKUP(Regiones[[#This Row],[Cola]],Tabla6[#Data],2,0)</f>
        <v>BUPA</v>
      </c>
      <c r="R12" s="13" t="e">
        <f>+VLOOKUP(Regiones[[#This Row],[Cola]],Tabla68[],2,0)</f>
        <v>#N/A</v>
      </c>
      <c r="T12" s="11" t="s">
        <v>55</v>
      </c>
      <c r="U12" s="11" t="s">
        <v>51</v>
      </c>
    </row>
    <row r="13" spans="2:21" x14ac:dyDescent="0.3">
      <c r="B13" s="6">
        <v>46204</v>
      </c>
      <c r="C13" s="14">
        <v>0.39583333333333331</v>
      </c>
      <c r="D13" t="s">
        <v>47</v>
      </c>
      <c r="E13" t="s">
        <v>18</v>
      </c>
      <c r="F13">
        <v>21</v>
      </c>
      <c r="G13">
        <v>18</v>
      </c>
      <c r="H13">
        <v>0</v>
      </c>
      <c r="I13" s="2">
        <v>0.78</v>
      </c>
      <c r="J13" s="14">
        <v>3.8078703703703703E-3</v>
      </c>
      <c r="K13" s="6">
        <f>INT(Regiones[[#This Row],[Fecha]])</f>
        <v>46204</v>
      </c>
      <c r="L13" s="10">
        <f>IFERROR(Regiones[[#This Row],[Contestadas]]/Regiones[[#This Row],[Ofrecidas]],"")</f>
        <v>0.8571428571428571</v>
      </c>
      <c r="M13" s="7">
        <f>IFERROR(Regiones[[#This Row],[Ofrecidas]]*Regiones[[#This Row],[% de nivel de servicio]],"")</f>
        <v>16.38</v>
      </c>
      <c r="N13" s="7"/>
      <c r="O13" s="12">
        <f>IFERROR(Regiones[[#This Row],[Aten &lt; 20 seg]]/Regiones[[#This Row],[Contestadas]],"")</f>
        <v>0.90999999999999992</v>
      </c>
      <c r="P13" s="13">
        <f>IFERROR(Regiones[[#This Row],[AHT]]*86400,"error")</f>
        <v>329</v>
      </c>
      <c r="Q13" s="13" t="str">
        <f>+VLOOKUP(Regiones[[#This Row],[Cola]],Tabla6[#Data],2,0)</f>
        <v>BUPA</v>
      </c>
      <c r="R13" s="13" t="e">
        <f>+VLOOKUP(Regiones[[#This Row],[Cola]],Tabla68[],2,0)</f>
        <v>#N/A</v>
      </c>
      <c r="T13" s="11" t="s">
        <v>52</v>
      </c>
      <c r="U13" s="11" t="s">
        <v>51</v>
      </c>
    </row>
    <row r="14" spans="2:21" x14ac:dyDescent="0.3">
      <c r="B14" s="6">
        <v>46204</v>
      </c>
      <c r="C14" s="14">
        <v>0.39583333333333331</v>
      </c>
      <c r="D14" t="s">
        <v>48</v>
      </c>
      <c r="E14" t="s">
        <v>18</v>
      </c>
      <c r="F14">
        <v>11</v>
      </c>
      <c r="G14">
        <v>10</v>
      </c>
      <c r="H14">
        <v>0</v>
      </c>
      <c r="I14" s="2">
        <v>0.9</v>
      </c>
      <c r="J14" s="14">
        <v>4.2708333333333331E-3</v>
      </c>
      <c r="K14" s="6">
        <f>INT(Regiones[[#This Row],[Fecha]])</f>
        <v>46204</v>
      </c>
      <c r="L14" s="10">
        <f>IFERROR(Regiones[[#This Row],[Contestadas]]/Regiones[[#This Row],[Ofrecidas]],"")</f>
        <v>0.90909090909090906</v>
      </c>
      <c r="M14" s="7">
        <f>IFERROR(Regiones[[#This Row],[Ofrecidas]]*Regiones[[#This Row],[% de nivel de servicio]],"")</f>
        <v>9.9</v>
      </c>
      <c r="N14" s="7"/>
      <c r="O14" s="12">
        <f>IFERROR(Regiones[[#This Row],[Aten &lt; 20 seg]]/Regiones[[#This Row],[Contestadas]],"")</f>
        <v>0.99</v>
      </c>
      <c r="P14" s="13">
        <f>IFERROR(Regiones[[#This Row],[AHT]]*86400,"error")</f>
        <v>369</v>
      </c>
      <c r="Q14" s="13" t="str">
        <f>+VLOOKUP(Regiones[[#This Row],[Cola]],Tabla6[#Data],2,0)</f>
        <v>BUPA</v>
      </c>
      <c r="R14" s="13" t="e">
        <f>+VLOOKUP(Regiones[[#This Row],[Cola]],Tabla68[],2,0)</f>
        <v>#N/A</v>
      </c>
      <c r="T14" s="1" t="s">
        <v>2</v>
      </c>
      <c r="U14" s="1" t="s">
        <v>17</v>
      </c>
    </row>
    <row r="15" spans="2:21" x14ac:dyDescent="0.3">
      <c r="B15" s="6">
        <v>46204</v>
      </c>
      <c r="C15" s="14">
        <v>0.39583333333333331</v>
      </c>
      <c r="D15" t="s">
        <v>55</v>
      </c>
      <c r="E15" t="s">
        <v>18</v>
      </c>
      <c r="F15">
        <v>1</v>
      </c>
      <c r="G15">
        <v>1</v>
      </c>
      <c r="H15">
        <v>0</v>
      </c>
      <c r="I15" s="2">
        <v>1</v>
      </c>
      <c r="J15" s="14">
        <v>6.7939814814814816E-3</v>
      </c>
      <c r="K15" s="6">
        <f>INT(Regiones[[#This Row],[Fecha]])</f>
        <v>46204</v>
      </c>
      <c r="L15" s="10">
        <f>IFERROR(Regiones[[#This Row],[Contestadas]]/Regiones[[#This Row],[Ofrecidas]],"")</f>
        <v>1</v>
      </c>
      <c r="M15" s="7">
        <f>IFERROR(Regiones[[#This Row],[Ofrecidas]]*Regiones[[#This Row],[% de nivel de servicio]],"")</f>
        <v>1</v>
      </c>
      <c r="N15" s="7"/>
      <c r="O15" s="12">
        <f>IFERROR(Regiones[[#This Row],[Aten &lt; 20 seg]]/Regiones[[#This Row],[Contestadas]],"")</f>
        <v>1</v>
      </c>
      <c r="P15" s="13">
        <f>IFERROR(Regiones[[#This Row],[AHT]]*86400,"error")</f>
        <v>587</v>
      </c>
      <c r="Q15" s="13" t="str">
        <f>+VLOOKUP(Regiones[[#This Row],[Cola]],Tabla6[#Data],2,0)</f>
        <v>BUPA</v>
      </c>
      <c r="R15" s="13" t="e">
        <f>+VLOOKUP(Regiones[[#This Row],[Cola]],Tabla68[],2,0)</f>
        <v>#N/A</v>
      </c>
      <c r="T15" s="11"/>
      <c r="U15" s="11"/>
    </row>
    <row r="16" spans="2:21" x14ac:dyDescent="0.3">
      <c r="B16" s="6">
        <v>46204</v>
      </c>
      <c r="C16" s="14">
        <v>0.39583333333333331</v>
      </c>
      <c r="D16" t="s">
        <v>52</v>
      </c>
      <c r="E16" t="s">
        <v>18</v>
      </c>
      <c r="F16">
        <v>3</v>
      </c>
      <c r="G16">
        <v>2</v>
      </c>
      <c r="H16">
        <v>1</v>
      </c>
      <c r="I16" s="2">
        <v>0.67</v>
      </c>
      <c r="J16" s="14">
        <v>8.4953703703703701E-3</v>
      </c>
      <c r="K16" s="6">
        <f>INT(Regiones[[#This Row],[Fecha]])</f>
        <v>46204</v>
      </c>
      <c r="L16" s="10">
        <f>IFERROR(Regiones[[#This Row],[Contestadas]]/Regiones[[#This Row],[Ofrecidas]],"")</f>
        <v>0.66666666666666663</v>
      </c>
      <c r="M16" s="7">
        <f>IFERROR(Regiones[[#This Row],[Ofrecidas]]*Regiones[[#This Row],[% de nivel de servicio]],"")</f>
        <v>2.0100000000000002</v>
      </c>
      <c r="N16" s="7"/>
      <c r="O16" s="12">
        <f>IFERROR(Regiones[[#This Row],[Aten &lt; 20 seg]]/Regiones[[#This Row],[Contestadas]],"")</f>
        <v>1.0050000000000001</v>
      </c>
      <c r="P16" s="13">
        <f>IFERROR(Regiones[[#This Row],[AHT]]*86400,"error")</f>
        <v>734</v>
      </c>
      <c r="Q16" s="13" t="str">
        <f>+VLOOKUP(Regiones[[#This Row],[Cola]],Tabla6[#Data],2,0)</f>
        <v>BUPA</v>
      </c>
      <c r="R16" s="13" t="e">
        <f>+VLOOKUP(Regiones[[#This Row],[Cola]],Tabla68[],2,0)</f>
        <v>#N/A</v>
      </c>
      <c r="T16" s="11"/>
      <c r="U16" s="11"/>
    </row>
    <row r="17" spans="2:21" x14ac:dyDescent="0.3">
      <c r="B17" s="6">
        <v>46204</v>
      </c>
      <c r="C17" s="14">
        <v>0.41666666666666669</v>
      </c>
      <c r="D17" t="s">
        <v>52</v>
      </c>
      <c r="E17" t="s">
        <v>18</v>
      </c>
      <c r="F17">
        <v>2</v>
      </c>
      <c r="G17">
        <v>0</v>
      </c>
      <c r="H17">
        <v>2</v>
      </c>
      <c r="I17" s="2">
        <v>0</v>
      </c>
      <c r="J17" s="14" t="s">
        <v>19</v>
      </c>
      <c r="K17" s="6">
        <f>INT(Regiones[[#This Row],[Fecha]])</f>
        <v>46204</v>
      </c>
      <c r="L17" s="10">
        <f>IFERROR(Regiones[[#This Row],[Contestadas]]/Regiones[[#This Row],[Ofrecidas]],"")</f>
        <v>0</v>
      </c>
      <c r="M17" s="7">
        <f>IFERROR(Regiones[[#This Row],[Ofrecidas]]*Regiones[[#This Row],[% de nivel de servicio]],"")</f>
        <v>0</v>
      </c>
      <c r="N17" s="7"/>
      <c r="O17" s="12" t="str">
        <f>IFERROR(Regiones[[#This Row],[Aten &lt; 20 seg]]/Regiones[[#This Row],[Contestadas]],"")</f>
        <v/>
      </c>
      <c r="P17" s="13" t="str">
        <f>IFERROR(Regiones[[#This Row],[AHT]]*86400,"error")</f>
        <v>error</v>
      </c>
      <c r="Q17" s="13" t="str">
        <f>+VLOOKUP(Regiones[[#This Row],[Cola]],Tabla6[#Data],2,0)</f>
        <v>BUPA</v>
      </c>
      <c r="R17" s="13" t="e">
        <f>+VLOOKUP(Regiones[[#This Row],[Cola]],Tabla68[],2,0)</f>
        <v>#N/A</v>
      </c>
      <c r="T17" s="11"/>
      <c r="U17" s="11"/>
    </row>
    <row r="18" spans="2:21" x14ac:dyDescent="0.3">
      <c r="B18" s="6">
        <v>46204</v>
      </c>
      <c r="C18" s="14">
        <v>0.41666666666666669</v>
      </c>
      <c r="D18" t="s">
        <v>50</v>
      </c>
      <c r="E18" t="s">
        <v>18</v>
      </c>
      <c r="F18">
        <v>1</v>
      </c>
      <c r="G18">
        <v>1</v>
      </c>
      <c r="H18">
        <v>0</v>
      </c>
      <c r="I18" s="2">
        <v>0</v>
      </c>
      <c r="J18" s="14" t="s">
        <v>19</v>
      </c>
      <c r="K18" s="6">
        <f>INT(Regiones[[#This Row],[Fecha]])</f>
        <v>46204</v>
      </c>
      <c r="L18" s="10">
        <f>IFERROR(Regiones[[#This Row],[Contestadas]]/Regiones[[#This Row],[Ofrecidas]],"")</f>
        <v>1</v>
      </c>
      <c r="M18" s="7">
        <f>IFERROR(Regiones[[#This Row],[Ofrecidas]]*Regiones[[#This Row],[% de nivel de servicio]],"")</f>
        <v>0</v>
      </c>
      <c r="N18" s="7"/>
      <c r="O18" s="12">
        <f>IFERROR(Regiones[[#This Row],[Aten &lt; 20 seg]]/Regiones[[#This Row],[Contestadas]],"")</f>
        <v>0</v>
      </c>
      <c r="P18" s="13" t="str">
        <f>IFERROR(Regiones[[#This Row],[AHT]]*86400,"error")</f>
        <v>error</v>
      </c>
      <c r="Q18" s="13" t="str">
        <f>+VLOOKUP(Regiones[[#This Row],[Cola]],Tabla6[#Data],2,0)</f>
        <v>BUPA</v>
      </c>
      <c r="R18" s="13" t="e">
        <f>+VLOOKUP(Regiones[[#This Row],[Cola]],Tabla68[],2,0)</f>
        <v>#N/A</v>
      </c>
      <c r="T18" s="11"/>
      <c r="U18" s="11"/>
    </row>
    <row r="19" spans="2:21" x14ac:dyDescent="0.3">
      <c r="B19" s="6">
        <v>46204</v>
      </c>
      <c r="C19" s="14">
        <v>0.41666666666666669</v>
      </c>
      <c r="D19" t="s">
        <v>53</v>
      </c>
      <c r="E19" t="s">
        <v>18</v>
      </c>
      <c r="F19">
        <v>3</v>
      </c>
      <c r="G19">
        <v>3</v>
      </c>
      <c r="H19">
        <v>0</v>
      </c>
      <c r="I19" s="2">
        <v>0</v>
      </c>
      <c r="J19" s="14">
        <v>3.2986111111111111E-3</v>
      </c>
      <c r="K19" s="6">
        <f>INT(Regiones[[#This Row],[Fecha]])</f>
        <v>46204</v>
      </c>
      <c r="L19" s="10">
        <f>IFERROR(Regiones[[#This Row],[Contestadas]]/Regiones[[#This Row],[Ofrecidas]],"")</f>
        <v>1</v>
      </c>
      <c r="M19" s="7">
        <f>IFERROR(Regiones[[#This Row],[Ofrecidas]]*Regiones[[#This Row],[% de nivel de servicio]],"")</f>
        <v>0</v>
      </c>
      <c r="N19" s="7"/>
      <c r="O19" s="12">
        <f>IFERROR(Regiones[[#This Row],[Aten &lt; 20 seg]]/Regiones[[#This Row],[Contestadas]],"")</f>
        <v>0</v>
      </c>
      <c r="P19" s="13">
        <f>IFERROR(Regiones[[#This Row],[AHT]]*86400,"error")</f>
        <v>285</v>
      </c>
      <c r="Q19" s="13" t="str">
        <f>+VLOOKUP(Regiones[[#This Row],[Cola]],Tabla6[#Data],2,0)</f>
        <v>BUPA</v>
      </c>
      <c r="R19" s="13" t="e">
        <f>+VLOOKUP(Regiones[[#This Row],[Cola]],Tabla68[],2,0)</f>
        <v>#N/A</v>
      </c>
      <c r="T19" s="11"/>
      <c r="U19" s="11"/>
    </row>
    <row r="20" spans="2:21" x14ac:dyDescent="0.3">
      <c r="B20" s="6">
        <v>46204</v>
      </c>
      <c r="C20" s="14">
        <v>0.41666666666666669</v>
      </c>
      <c r="D20" t="s">
        <v>46</v>
      </c>
      <c r="E20" t="s">
        <v>18</v>
      </c>
      <c r="F20">
        <v>13</v>
      </c>
      <c r="G20">
        <v>6</v>
      </c>
      <c r="H20">
        <v>4</v>
      </c>
      <c r="I20" s="2">
        <v>0</v>
      </c>
      <c r="J20" s="14">
        <v>5.6018518518518518E-3</v>
      </c>
      <c r="K20" s="6">
        <f>INT(Regiones[[#This Row],[Fecha]])</f>
        <v>46204</v>
      </c>
      <c r="L20" s="10">
        <f>IFERROR(Regiones[[#This Row],[Contestadas]]/Regiones[[#This Row],[Ofrecidas]],"")</f>
        <v>0.46153846153846156</v>
      </c>
      <c r="M20" s="7">
        <f>IFERROR(Regiones[[#This Row],[Ofrecidas]]*Regiones[[#This Row],[% de nivel de servicio]],"")</f>
        <v>0</v>
      </c>
      <c r="N20" s="7"/>
      <c r="O20" s="12">
        <f>IFERROR(Regiones[[#This Row],[Aten &lt; 20 seg]]/Regiones[[#This Row],[Contestadas]],"")</f>
        <v>0</v>
      </c>
      <c r="P20" s="13">
        <f>IFERROR(Regiones[[#This Row],[AHT]]*86400,"error")</f>
        <v>484</v>
      </c>
      <c r="Q20" s="13" t="str">
        <f>+VLOOKUP(Regiones[[#This Row],[Cola]],Tabla6[#Data],2,0)</f>
        <v>BUPA</v>
      </c>
      <c r="R20" s="13" t="e">
        <f>+VLOOKUP(Regiones[[#This Row],[Cola]],Tabla68[],2,0)</f>
        <v>#N/A</v>
      </c>
      <c r="T20" s="11"/>
      <c r="U20" s="11"/>
    </row>
    <row r="21" spans="2:21" x14ac:dyDescent="0.3">
      <c r="B21" s="6">
        <v>46204</v>
      </c>
      <c r="C21" s="14">
        <v>0.41666666666666669</v>
      </c>
      <c r="D21" t="s">
        <v>49</v>
      </c>
      <c r="E21" t="s">
        <v>18</v>
      </c>
      <c r="F21">
        <v>4</v>
      </c>
      <c r="G21">
        <v>4</v>
      </c>
      <c r="H21">
        <v>0</v>
      </c>
      <c r="I21" s="2">
        <v>0</v>
      </c>
      <c r="J21" s="14">
        <v>6.030092592592593E-3</v>
      </c>
      <c r="K21" s="6">
        <f>INT(Regiones[[#This Row],[Fecha]])</f>
        <v>46204</v>
      </c>
      <c r="L21" s="10">
        <f>IFERROR(Regiones[[#This Row],[Contestadas]]/Regiones[[#This Row],[Ofrecidas]],"")</f>
        <v>1</v>
      </c>
      <c r="M21" s="7">
        <f>IFERROR(Regiones[[#This Row],[Ofrecidas]]*Regiones[[#This Row],[% de nivel de servicio]],"")</f>
        <v>0</v>
      </c>
      <c r="N21" s="7"/>
      <c r="O21" s="12">
        <f>IFERROR(Regiones[[#This Row],[Aten &lt; 20 seg]]/Regiones[[#This Row],[Contestadas]],"")</f>
        <v>0</v>
      </c>
      <c r="P21" s="13">
        <f>IFERROR(Regiones[[#This Row],[AHT]]*86400,"error")</f>
        <v>521</v>
      </c>
      <c r="Q21" s="13" t="str">
        <f>+VLOOKUP(Regiones[[#This Row],[Cola]],Tabla6[#Data],2,0)</f>
        <v>BUPA</v>
      </c>
      <c r="R21" s="13" t="e">
        <f>+VLOOKUP(Regiones[[#This Row],[Cola]],Tabla68[],2,0)</f>
        <v>#N/A</v>
      </c>
    </row>
    <row r="22" spans="2:21" x14ac:dyDescent="0.3">
      <c r="B22" s="6">
        <v>46204</v>
      </c>
      <c r="C22" s="14">
        <v>0.41666666666666669</v>
      </c>
      <c r="D22" t="s">
        <v>47</v>
      </c>
      <c r="E22" t="s">
        <v>18</v>
      </c>
      <c r="F22">
        <v>13</v>
      </c>
      <c r="G22">
        <v>11</v>
      </c>
      <c r="H22">
        <v>4</v>
      </c>
      <c r="I22" s="2">
        <v>0</v>
      </c>
      <c r="J22" s="14">
        <v>8.2754629629629636E-3</v>
      </c>
      <c r="K22" s="6">
        <f>INT(Regiones[[#This Row],[Fecha]])</f>
        <v>46204</v>
      </c>
      <c r="L22" s="10">
        <f>IFERROR(Regiones[[#This Row],[Contestadas]]/Regiones[[#This Row],[Ofrecidas]],"")</f>
        <v>0.84615384615384615</v>
      </c>
      <c r="M22" s="7">
        <f>IFERROR(Regiones[[#This Row],[Ofrecidas]]*Regiones[[#This Row],[% de nivel de servicio]],"")</f>
        <v>0</v>
      </c>
      <c r="N22" s="7"/>
      <c r="O22" s="12">
        <f>IFERROR(Regiones[[#This Row],[Aten &lt; 20 seg]]/Regiones[[#This Row],[Contestadas]],"")</f>
        <v>0</v>
      </c>
      <c r="P22" s="13">
        <f>IFERROR(Regiones[[#This Row],[AHT]]*86400,"error")</f>
        <v>715.00000000000011</v>
      </c>
      <c r="Q22" s="13" t="str">
        <f>+VLOOKUP(Regiones[[#This Row],[Cola]],Tabla6[#Data],2,0)</f>
        <v>BUPA</v>
      </c>
      <c r="R22" s="13" t="e">
        <f>+VLOOKUP(Regiones[[#This Row],[Cola]],Tabla68[],2,0)</f>
        <v>#N/A</v>
      </c>
    </row>
    <row r="23" spans="2:21" x14ac:dyDescent="0.3">
      <c r="B23" s="6">
        <v>46204</v>
      </c>
      <c r="C23" s="14">
        <v>0.41666666666666669</v>
      </c>
      <c r="D23" t="s">
        <v>48</v>
      </c>
      <c r="E23" t="s">
        <v>18</v>
      </c>
      <c r="F23">
        <v>14</v>
      </c>
      <c r="G23">
        <v>12</v>
      </c>
      <c r="H23">
        <v>3</v>
      </c>
      <c r="I23" s="2">
        <v>0.2</v>
      </c>
      <c r="J23" s="14">
        <v>4.363425925925926E-3</v>
      </c>
      <c r="K23" s="6">
        <f>INT(Regiones[[#This Row],[Fecha]])</f>
        <v>46204</v>
      </c>
      <c r="L23" s="10">
        <f>IFERROR(Regiones[[#This Row],[Contestadas]]/Regiones[[#This Row],[Ofrecidas]],"")</f>
        <v>0.8571428571428571</v>
      </c>
      <c r="M23" s="7">
        <f>IFERROR(Regiones[[#This Row],[Ofrecidas]]*Regiones[[#This Row],[% de nivel de servicio]],"")</f>
        <v>2.8000000000000003</v>
      </c>
      <c r="N23" s="7"/>
      <c r="O23" s="12">
        <f>IFERROR(Regiones[[#This Row],[Aten &lt; 20 seg]]/Regiones[[#This Row],[Contestadas]],"")</f>
        <v>0.23333333333333336</v>
      </c>
      <c r="P23" s="13">
        <f>IFERROR(Regiones[[#This Row],[AHT]]*86400,"error")</f>
        <v>377</v>
      </c>
      <c r="Q23" s="13" t="str">
        <f>+VLOOKUP(Regiones[[#This Row],[Cola]],Tabla6[#Data],2,0)</f>
        <v>BUPA</v>
      </c>
      <c r="R23" s="13" t="e">
        <f>+VLOOKUP(Regiones[[#This Row],[Cola]],Tabla68[],2,0)</f>
        <v>#N/A</v>
      </c>
    </row>
    <row r="24" spans="2:21" x14ac:dyDescent="0.3">
      <c r="B24" s="6">
        <v>46204</v>
      </c>
      <c r="C24" s="14">
        <v>0.4375</v>
      </c>
      <c r="D24" t="s">
        <v>53</v>
      </c>
      <c r="E24" t="s">
        <v>18</v>
      </c>
      <c r="F24">
        <v>6</v>
      </c>
      <c r="G24">
        <v>3</v>
      </c>
      <c r="H24">
        <v>2</v>
      </c>
      <c r="I24" s="2">
        <v>0</v>
      </c>
      <c r="J24" s="14">
        <v>2.4189814814814816E-3</v>
      </c>
      <c r="K24" s="6">
        <f>INT(Regiones[[#This Row],[Fecha]])</f>
        <v>46204</v>
      </c>
      <c r="L24" s="10">
        <f>IFERROR(Regiones[[#This Row],[Contestadas]]/Regiones[[#This Row],[Ofrecidas]],"")</f>
        <v>0.5</v>
      </c>
      <c r="M24" s="7">
        <f>IFERROR(Regiones[[#This Row],[Ofrecidas]]*Regiones[[#This Row],[% de nivel de servicio]],"")</f>
        <v>0</v>
      </c>
      <c r="N24" s="7"/>
      <c r="O24" s="12">
        <f>IFERROR(Regiones[[#This Row],[Aten &lt; 20 seg]]/Regiones[[#This Row],[Contestadas]],"")</f>
        <v>0</v>
      </c>
      <c r="P24" s="13">
        <f>IFERROR(Regiones[[#This Row],[AHT]]*86400,"error")</f>
        <v>209</v>
      </c>
      <c r="Q24" s="13" t="str">
        <f>+VLOOKUP(Regiones[[#This Row],[Cola]],Tabla6[#Data],2,0)</f>
        <v>BUPA</v>
      </c>
      <c r="R24" s="13" t="e">
        <f>+VLOOKUP(Regiones[[#This Row],[Cola]],Tabla68[],2,0)</f>
        <v>#N/A</v>
      </c>
    </row>
    <row r="25" spans="2:21" x14ac:dyDescent="0.3">
      <c r="B25" s="6">
        <v>46204</v>
      </c>
      <c r="C25" s="14">
        <v>0.4375</v>
      </c>
      <c r="D25" t="s">
        <v>48</v>
      </c>
      <c r="E25" t="s">
        <v>18</v>
      </c>
      <c r="F25">
        <v>7</v>
      </c>
      <c r="G25">
        <v>7</v>
      </c>
      <c r="H25">
        <v>0</v>
      </c>
      <c r="I25" s="2">
        <v>0.56999999999999995</v>
      </c>
      <c r="J25" s="14">
        <v>6.6550925925925927E-3</v>
      </c>
      <c r="K25" s="6">
        <f>INT(Regiones[[#This Row],[Fecha]])</f>
        <v>46204</v>
      </c>
      <c r="L25" s="10">
        <f>IFERROR(Regiones[[#This Row],[Contestadas]]/Regiones[[#This Row],[Ofrecidas]],"")</f>
        <v>1</v>
      </c>
      <c r="M25" s="7">
        <f>IFERROR(Regiones[[#This Row],[Ofrecidas]]*Regiones[[#This Row],[% de nivel de servicio]],"")</f>
        <v>3.9899999999999998</v>
      </c>
      <c r="N25" s="7"/>
      <c r="O25" s="12">
        <f>IFERROR(Regiones[[#This Row],[Aten &lt; 20 seg]]/Regiones[[#This Row],[Contestadas]],"")</f>
        <v>0.56999999999999995</v>
      </c>
      <c r="P25" s="13">
        <f>IFERROR(Regiones[[#This Row],[AHT]]*86400,"error")</f>
        <v>575</v>
      </c>
      <c r="Q25" s="13" t="str">
        <f>+VLOOKUP(Regiones[[#This Row],[Cola]],Tabla6[#Data],2,0)</f>
        <v>BUPA</v>
      </c>
      <c r="R25" s="13" t="e">
        <f>+VLOOKUP(Regiones[[#This Row],[Cola]],Tabla68[],2,0)</f>
        <v>#N/A</v>
      </c>
    </row>
    <row r="26" spans="2:21" x14ac:dyDescent="0.3">
      <c r="B26" s="6">
        <v>46204</v>
      </c>
      <c r="C26" s="14">
        <v>0.4375</v>
      </c>
      <c r="D26" t="s">
        <v>56</v>
      </c>
      <c r="E26" t="s">
        <v>18</v>
      </c>
      <c r="F26">
        <v>1</v>
      </c>
      <c r="G26">
        <v>1</v>
      </c>
      <c r="H26">
        <v>0</v>
      </c>
      <c r="I26" s="2">
        <v>0</v>
      </c>
      <c r="J26" s="14">
        <v>1.4930555555555556E-3</v>
      </c>
      <c r="K26" s="6">
        <f>INT(Regiones[[#This Row],[Fecha]])</f>
        <v>46204</v>
      </c>
      <c r="L26" s="10">
        <f>IFERROR(Regiones[[#This Row],[Contestadas]]/Regiones[[#This Row],[Ofrecidas]],"")</f>
        <v>1</v>
      </c>
      <c r="M26" s="7">
        <f>IFERROR(Regiones[[#This Row],[Ofrecidas]]*Regiones[[#This Row],[% de nivel de servicio]],"")</f>
        <v>0</v>
      </c>
      <c r="N26" s="7"/>
      <c r="O26" s="12">
        <f>IFERROR(Regiones[[#This Row],[Aten &lt; 20 seg]]/Regiones[[#This Row],[Contestadas]],"")</f>
        <v>0</v>
      </c>
      <c r="P26" s="13">
        <f>IFERROR(Regiones[[#This Row],[AHT]]*86400,"error")</f>
        <v>129</v>
      </c>
      <c r="Q26" s="13" t="str">
        <f>+VLOOKUP(Regiones[[#This Row],[Cola]],Tabla6[#Data],2,0)</f>
        <v>BUPA</v>
      </c>
      <c r="R26" s="13" t="e">
        <f>+VLOOKUP(Regiones[[#This Row],[Cola]],Tabla68[],2,0)</f>
        <v>#N/A</v>
      </c>
    </row>
    <row r="27" spans="2:21" x14ac:dyDescent="0.3">
      <c r="B27" s="6">
        <v>46204</v>
      </c>
      <c r="C27" s="14">
        <v>0.4375</v>
      </c>
      <c r="D27" t="s">
        <v>46</v>
      </c>
      <c r="E27" t="s">
        <v>18</v>
      </c>
      <c r="F27">
        <v>11</v>
      </c>
      <c r="G27">
        <v>11</v>
      </c>
      <c r="H27">
        <v>3</v>
      </c>
      <c r="I27" s="2">
        <v>0</v>
      </c>
      <c r="J27" s="14">
        <v>5.2662037037037035E-3</v>
      </c>
      <c r="K27" s="6">
        <f>INT(Regiones[[#This Row],[Fecha]])</f>
        <v>46204</v>
      </c>
      <c r="L27" s="10">
        <f>IFERROR(Regiones[[#This Row],[Contestadas]]/Regiones[[#This Row],[Ofrecidas]],"")</f>
        <v>1</v>
      </c>
      <c r="M27" s="7">
        <f>IFERROR(Regiones[[#This Row],[Ofrecidas]]*Regiones[[#This Row],[% de nivel de servicio]],"")</f>
        <v>0</v>
      </c>
      <c r="N27" s="7"/>
      <c r="O27" s="12">
        <f>IFERROR(Regiones[[#This Row],[Aten &lt; 20 seg]]/Regiones[[#This Row],[Contestadas]],"")</f>
        <v>0</v>
      </c>
      <c r="P27" s="13">
        <f>IFERROR(Regiones[[#This Row],[AHT]]*86400,"error")</f>
        <v>455</v>
      </c>
      <c r="Q27" s="13" t="str">
        <f>+VLOOKUP(Regiones[[#This Row],[Cola]],Tabla6[#Data],2,0)</f>
        <v>BUPA</v>
      </c>
      <c r="R27" s="13" t="e">
        <f>+VLOOKUP(Regiones[[#This Row],[Cola]],Tabla68[],2,0)</f>
        <v>#N/A</v>
      </c>
    </row>
    <row r="28" spans="2:21" x14ac:dyDescent="0.3">
      <c r="B28" s="6">
        <v>46204</v>
      </c>
      <c r="C28" s="14">
        <v>0.4375</v>
      </c>
      <c r="D28" t="s">
        <v>47</v>
      </c>
      <c r="E28" t="s">
        <v>18</v>
      </c>
      <c r="F28">
        <v>20</v>
      </c>
      <c r="G28">
        <v>11</v>
      </c>
      <c r="H28">
        <v>6</v>
      </c>
      <c r="I28" s="2">
        <v>0</v>
      </c>
      <c r="J28" s="14">
        <v>4.4560185185185189E-3</v>
      </c>
      <c r="K28" s="6">
        <f>INT(Regiones[[#This Row],[Fecha]])</f>
        <v>46204</v>
      </c>
      <c r="L28" s="10">
        <f>IFERROR(Regiones[[#This Row],[Contestadas]]/Regiones[[#This Row],[Ofrecidas]],"")</f>
        <v>0.55000000000000004</v>
      </c>
      <c r="M28" s="7">
        <f>IFERROR(Regiones[[#This Row],[Ofrecidas]]*Regiones[[#This Row],[% de nivel de servicio]],"")</f>
        <v>0</v>
      </c>
      <c r="N28" s="7"/>
      <c r="O28" s="12">
        <f>IFERROR(Regiones[[#This Row],[Aten &lt; 20 seg]]/Regiones[[#This Row],[Contestadas]],"")</f>
        <v>0</v>
      </c>
      <c r="P28" s="13">
        <f>IFERROR(Regiones[[#This Row],[AHT]]*86400,"error")</f>
        <v>385.00000000000006</v>
      </c>
      <c r="Q28" s="13" t="str">
        <f>+VLOOKUP(Regiones[[#This Row],[Cola]],Tabla6[#Data],2,0)</f>
        <v>BUPA</v>
      </c>
      <c r="R28" s="13" t="e">
        <f>+VLOOKUP(Regiones[[#This Row],[Cola]],Tabla68[],2,0)</f>
        <v>#N/A</v>
      </c>
    </row>
    <row r="29" spans="2:21" x14ac:dyDescent="0.3">
      <c r="B29" s="6">
        <v>46204</v>
      </c>
      <c r="C29" s="14">
        <v>0.4375</v>
      </c>
      <c r="D29" t="s">
        <v>49</v>
      </c>
      <c r="E29" t="s">
        <v>18</v>
      </c>
      <c r="F29">
        <v>1</v>
      </c>
      <c r="G29">
        <v>1</v>
      </c>
      <c r="H29">
        <v>0</v>
      </c>
      <c r="I29" s="2">
        <v>0</v>
      </c>
      <c r="J29" s="14">
        <v>8.2175925925925927E-4</v>
      </c>
      <c r="K29" s="6">
        <f>INT(Regiones[[#This Row],[Fecha]])</f>
        <v>46204</v>
      </c>
      <c r="L29" s="10">
        <f>IFERROR(Regiones[[#This Row],[Contestadas]]/Regiones[[#This Row],[Ofrecidas]],"")</f>
        <v>1</v>
      </c>
      <c r="M29" s="7">
        <f>IFERROR(Regiones[[#This Row],[Ofrecidas]]*Regiones[[#This Row],[% de nivel de servicio]],"")</f>
        <v>0</v>
      </c>
      <c r="N29" s="7"/>
      <c r="O29" s="12">
        <f>IFERROR(Regiones[[#This Row],[Aten &lt; 20 seg]]/Regiones[[#This Row],[Contestadas]],"")</f>
        <v>0</v>
      </c>
      <c r="P29" s="13">
        <f>IFERROR(Regiones[[#This Row],[AHT]]*86400,"error")</f>
        <v>71</v>
      </c>
      <c r="Q29" s="13" t="str">
        <f>+VLOOKUP(Regiones[[#This Row],[Cola]],Tabla6[#Data],2,0)</f>
        <v>BUPA</v>
      </c>
      <c r="R29" s="13" t="e">
        <f>+VLOOKUP(Regiones[[#This Row],[Cola]],Tabla68[],2,0)</f>
        <v>#N/A</v>
      </c>
    </row>
    <row r="30" spans="2:21" x14ac:dyDescent="0.3">
      <c r="B30" s="6">
        <v>46204</v>
      </c>
      <c r="C30" s="14">
        <v>0.4375</v>
      </c>
      <c r="D30" t="s">
        <v>50</v>
      </c>
      <c r="E30" t="s">
        <v>18</v>
      </c>
      <c r="F30">
        <v>3</v>
      </c>
      <c r="G30">
        <v>1</v>
      </c>
      <c r="H30">
        <v>1</v>
      </c>
      <c r="I30" s="2">
        <v>0</v>
      </c>
      <c r="J30" s="14">
        <v>8.7847222222222215E-3</v>
      </c>
      <c r="K30" s="6">
        <f>INT(Regiones[[#This Row],[Fecha]])</f>
        <v>46204</v>
      </c>
      <c r="L30" s="10">
        <f>IFERROR(Regiones[[#This Row],[Contestadas]]/Regiones[[#This Row],[Ofrecidas]],"")</f>
        <v>0.33333333333333331</v>
      </c>
      <c r="M30" s="7">
        <f>IFERROR(Regiones[[#This Row],[Ofrecidas]]*Regiones[[#This Row],[% de nivel de servicio]],"")</f>
        <v>0</v>
      </c>
      <c r="N30" s="7"/>
      <c r="O30" s="12">
        <f>IFERROR(Regiones[[#This Row],[Aten &lt; 20 seg]]/Regiones[[#This Row],[Contestadas]],"")</f>
        <v>0</v>
      </c>
      <c r="P30" s="13">
        <f>IFERROR(Regiones[[#This Row],[AHT]]*86400,"error")</f>
        <v>758.99999999999989</v>
      </c>
      <c r="Q30" s="13" t="str">
        <f>+VLOOKUP(Regiones[[#This Row],[Cola]],Tabla6[#Data],2,0)</f>
        <v>BUPA</v>
      </c>
      <c r="R30" s="13" t="e">
        <f>+VLOOKUP(Regiones[[#This Row],[Cola]],Tabla68[],2,0)</f>
        <v>#N/A</v>
      </c>
    </row>
    <row r="31" spans="2:21" x14ac:dyDescent="0.3">
      <c r="B31" s="6">
        <v>46204</v>
      </c>
      <c r="C31" s="14">
        <v>0.4375</v>
      </c>
      <c r="D31" t="s">
        <v>57</v>
      </c>
      <c r="E31" t="s">
        <v>18</v>
      </c>
      <c r="F31">
        <v>1</v>
      </c>
      <c r="G31">
        <v>0</v>
      </c>
      <c r="H31">
        <v>0</v>
      </c>
      <c r="I31" s="2" t="s">
        <v>20</v>
      </c>
      <c r="J31" s="14" t="s">
        <v>19</v>
      </c>
      <c r="K31" s="6">
        <f>INT(Regiones[[#This Row],[Fecha]])</f>
        <v>46204</v>
      </c>
      <c r="L31" s="10">
        <f>IFERROR(Regiones[[#This Row],[Contestadas]]/Regiones[[#This Row],[Ofrecidas]],"")</f>
        <v>0</v>
      </c>
      <c r="M31" s="7" t="str">
        <f>IFERROR(Regiones[[#This Row],[Ofrecidas]]*Regiones[[#This Row],[% de nivel de servicio]],"")</f>
        <v/>
      </c>
      <c r="N31" s="7"/>
      <c r="O31" s="12" t="str">
        <f>IFERROR(Regiones[[#This Row],[Aten &lt; 20 seg]]/Regiones[[#This Row],[Contestadas]],"")</f>
        <v/>
      </c>
      <c r="P31" s="13" t="str">
        <f>IFERROR(Regiones[[#This Row],[AHT]]*86400,"error")</f>
        <v>error</v>
      </c>
      <c r="Q31" s="13" t="str">
        <f>+VLOOKUP(Regiones[[#This Row],[Cola]],Tabla6[#Data],2,0)</f>
        <v>BUPA</v>
      </c>
      <c r="R31" s="13" t="e">
        <f>+VLOOKUP(Regiones[[#This Row],[Cola]],Tabla68[],2,0)</f>
        <v>#N/A</v>
      </c>
    </row>
    <row r="32" spans="2:21" x14ac:dyDescent="0.3">
      <c r="B32" s="6">
        <v>46204</v>
      </c>
      <c r="C32" s="14">
        <v>0.4375</v>
      </c>
      <c r="D32" t="s">
        <v>52</v>
      </c>
      <c r="E32" t="s">
        <v>18</v>
      </c>
      <c r="F32">
        <v>2</v>
      </c>
      <c r="G32">
        <v>2</v>
      </c>
      <c r="H32">
        <v>0</v>
      </c>
      <c r="I32" s="2">
        <v>0</v>
      </c>
      <c r="J32" s="14">
        <v>3.9351851851851848E-3</v>
      </c>
      <c r="K32" s="6">
        <f>INT(Regiones[[#This Row],[Fecha]])</f>
        <v>46204</v>
      </c>
      <c r="L32" s="10">
        <f>IFERROR(Regiones[[#This Row],[Contestadas]]/Regiones[[#This Row],[Ofrecidas]],"")</f>
        <v>1</v>
      </c>
      <c r="M32" s="7">
        <f>IFERROR(Regiones[[#This Row],[Ofrecidas]]*Regiones[[#This Row],[% de nivel de servicio]],"")</f>
        <v>0</v>
      </c>
      <c r="N32" s="7"/>
      <c r="O32" s="12">
        <f>IFERROR(Regiones[[#This Row],[Aten &lt; 20 seg]]/Regiones[[#This Row],[Contestadas]],"")</f>
        <v>0</v>
      </c>
      <c r="P32" s="13">
        <f>IFERROR(Regiones[[#This Row],[AHT]]*86400,"error")</f>
        <v>339.99999999999994</v>
      </c>
      <c r="Q32" s="13" t="str">
        <f>+VLOOKUP(Regiones[[#This Row],[Cola]],Tabla6[#Data],2,0)</f>
        <v>BUPA</v>
      </c>
      <c r="R32" s="13" t="e">
        <f>+VLOOKUP(Regiones[[#This Row],[Cola]],Tabla68[],2,0)</f>
        <v>#N/A</v>
      </c>
    </row>
    <row r="33" spans="2:18" x14ac:dyDescent="0.3">
      <c r="B33" s="6">
        <v>46204</v>
      </c>
      <c r="C33" s="14">
        <v>0.45833333333333331</v>
      </c>
      <c r="D33" t="s">
        <v>52</v>
      </c>
      <c r="E33" t="s">
        <v>18</v>
      </c>
      <c r="F33">
        <v>3</v>
      </c>
      <c r="G33">
        <v>2</v>
      </c>
      <c r="H33">
        <v>0</v>
      </c>
      <c r="I33" s="2">
        <v>0.5</v>
      </c>
      <c r="J33" s="14">
        <v>2.8819444444444444E-3</v>
      </c>
      <c r="K33" s="6">
        <f>INT(Regiones[[#This Row],[Fecha]])</f>
        <v>46204</v>
      </c>
      <c r="L33" s="10">
        <f>IFERROR(Regiones[[#This Row],[Contestadas]]/Regiones[[#This Row],[Ofrecidas]],"")</f>
        <v>0.66666666666666663</v>
      </c>
      <c r="M33" s="7">
        <f>IFERROR(Regiones[[#This Row],[Ofrecidas]]*Regiones[[#This Row],[% de nivel de servicio]],"")</f>
        <v>1.5</v>
      </c>
      <c r="N33" s="7"/>
      <c r="O33" s="12">
        <f>IFERROR(Regiones[[#This Row],[Aten &lt; 20 seg]]/Regiones[[#This Row],[Contestadas]],"")</f>
        <v>0.75</v>
      </c>
      <c r="P33" s="13">
        <f>IFERROR(Regiones[[#This Row],[AHT]]*86400,"error")</f>
        <v>249</v>
      </c>
      <c r="Q33" s="13" t="str">
        <f>+VLOOKUP(Regiones[[#This Row],[Cola]],Tabla6[#Data],2,0)</f>
        <v>BUPA</v>
      </c>
      <c r="R33" s="13" t="e">
        <f>+VLOOKUP(Regiones[[#This Row],[Cola]],Tabla68[],2,0)</f>
        <v>#N/A</v>
      </c>
    </row>
    <row r="34" spans="2:18" x14ac:dyDescent="0.3">
      <c r="B34" s="6">
        <v>46204</v>
      </c>
      <c r="C34" s="14">
        <v>0.45833333333333331</v>
      </c>
      <c r="D34" t="s">
        <v>50</v>
      </c>
      <c r="E34" t="s">
        <v>18</v>
      </c>
      <c r="F34">
        <v>4</v>
      </c>
      <c r="G34">
        <v>3</v>
      </c>
      <c r="H34">
        <v>2</v>
      </c>
      <c r="I34" s="2">
        <v>0</v>
      </c>
      <c r="J34" s="14">
        <v>7.083333333333333E-3</v>
      </c>
      <c r="K34" s="6">
        <f>INT(Regiones[[#This Row],[Fecha]])</f>
        <v>46204</v>
      </c>
      <c r="L34" s="10">
        <f>IFERROR(Regiones[[#This Row],[Contestadas]]/Regiones[[#This Row],[Ofrecidas]],"")</f>
        <v>0.75</v>
      </c>
      <c r="M34" s="7">
        <f>IFERROR(Regiones[[#This Row],[Ofrecidas]]*Regiones[[#This Row],[% de nivel de servicio]],"")</f>
        <v>0</v>
      </c>
      <c r="N34" s="7"/>
      <c r="O34" s="12">
        <f>IFERROR(Regiones[[#This Row],[Aten &lt; 20 seg]]/Regiones[[#This Row],[Contestadas]],"")</f>
        <v>0</v>
      </c>
      <c r="P34" s="13">
        <f>IFERROR(Regiones[[#This Row],[AHT]]*86400,"error")</f>
        <v>612</v>
      </c>
      <c r="Q34" s="13" t="str">
        <f>+VLOOKUP(Regiones[[#This Row],[Cola]],Tabla6[#Data],2,0)</f>
        <v>BUPA</v>
      </c>
      <c r="R34" s="13" t="e">
        <f>+VLOOKUP(Regiones[[#This Row],[Cola]],Tabla68[],2,0)</f>
        <v>#N/A</v>
      </c>
    </row>
    <row r="35" spans="2:18" x14ac:dyDescent="0.3">
      <c r="B35" s="6">
        <v>46204</v>
      </c>
      <c r="C35" s="14">
        <v>0.45833333333333331</v>
      </c>
      <c r="D35" t="s">
        <v>57</v>
      </c>
      <c r="E35" t="s">
        <v>18</v>
      </c>
      <c r="F35">
        <v>0</v>
      </c>
      <c r="G35">
        <v>0</v>
      </c>
      <c r="H35">
        <v>1</v>
      </c>
      <c r="I35" s="2">
        <v>0</v>
      </c>
      <c r="J35" s="14" t="s">
        <v>19</v>
      </c>
      <c r="K35" s="6">
        <f>INT(Regiones[[#This Row],[Fecha]])</f>
        <v>46204</v>
      </c>
      <c r="L35" s="10" t="str">
        <f>IFERROR(Regiones[[#This Row],[Contestadas]]/Regiones[[#This Row],[Ofrecidas]],"")</f>
        <v/>
      </c>
      <c r="M35" s="7">
        <f>IFERROR(Regiones[[#This Row],[Ofrecidas]]*Regiones[[#This Row],[% de nivel de servicio]],"")</f>
        <v>0</v>
      </c>
      <c r="N35" s="7"/>
      <c r="O35" s="12" t="str">
        <f>IFERROR(Regiones[[#This Row],[Aten &lt; 20 seg]]/Regiones[[#This Row],[Contestadas]],"")</f>
        <v/>
      </c>
      <c r="P35" s="13" t="str">
        <f>IFERROR(Regiones[[#This Row],[AHT]]*86400,"error")</f>
        <v>error</v>
      </c>
      <c r="Q35" s="13" t="str">
        <f>+VLOOKUP(Regiones[[#This Row],[Cola]],Tabla6[#Data],2,0)</f>
        <v>BUPA</v>
      </c>
      <c r="R35" s="13" t="e">
        <f>+VLOOKUP(Regiones[[#This Row],[Cola]],Tabla68[],2,0)</f>
        <v>#N/A</v>
      </c>
    </row>
    <row r="36" spans="2:18" x14ac:dyDescent="0.3">
      <c r="B36" s="6">
        <v>46204</v>
      </c>
      <c r="C36" s="14">
        <v>0.45833333333333331</v>
      </c>
      <c r="D36" t="s">
        <v>47</v>
      </c>
      <c r="E36" t="s">
        <v>18</v>
      </c>
      <c r="F36">
        <v>19</v>
      </c>
      <c r="G36">
        <v>21</v>
      </c>
      <c r="H36">
        <v>1</v>
      </c>
      <c r="I36" s="2">
        <v>0.09</v>
      </c>
      <c r="J36" s="14">
        <v>4.409722222222222E-3</v>
      </c>
      <c r="K36" s="6">
        <f>INT(Regiones[[#This Row],[Fecha]])</f>
        <v>46204</v>
      </c>
      <c r="L36" s="10">
        <f>IFERROR(Regiones[[#This Row],[Contestadas]]/Regiones[[#This Row],[Ofrecidas]],"")</f>
        <v>1.1052631578947369</v>
      </c>
      <c r="M36" s="7">
        <f>IFERROR(Regiones[[#This Row],[Ofrecidas]]*Regiones[[#This Row],[% de nivel de servicio]],"")</f>
        <v>1.71</v>
      </c>
      <c r="N36" s="7"/>
      <c r="O36" s="12">
        <f>IFERROR(Regiones[[#This Row],[Aten &lt; 20 seg]]/Regiones[[#This Row],[Contestadas]],"")</f>
        <v>8.1428571428571433E-2</v>
      </c>
      <c r="P36" s="13">
        <f>IFERROR(Regiones[[#This Row],[AHT]]*86400,"error")</f>
        <v>381</v>
      </c>
      <c r="Q36" s="13" t="str">
        <f>+VLOOKUP(Regiones[[#This Row],[Cola]],Tabla6[#Data],2,0)</f>
        <v>BUPA</v>
      </c>
      <c r="R36" s="13" t="e">
        <f>+VLOOKUP(Regiones[[#This Row],[Cola]],Tabla68[],2,0)</f>
        <v>#N/A</v>
      </c>
    </row>
    <row r="37" spans="2:18" x14ac:dyDescent="0.3">
      <c r="B37" s="6">
        <v>46204</v>
      </c>
      <c r="C37" s="14">
        <v>0.45833333333333331</v>
      </c>
      <c r="D37" t="s">
        <v>53</v>
      </c>
      <c r="E37" t="s">
        <v>18</v>
      </c>
      <c r="F37">
        <v>2</v>
      </c>
      <c r="G37">
        <v>2</v>
      </c>
      <c r="H37">
        <v>1</v>
      </c>
      <c r="I37" s="2">
        <v>0</v>
      </c>
      <c r="J37" s="14">
        <v>5.9606481481481481E-3</v>
      </c>
      <c r="K37" s="6">
        <f>INT(Regiones[[#This Row],[Fecha]])</f>
        <v>46204</v>
      </c>
      <c r="L37" s="10">
        <f>IFERROR(Regiones[[#This Row],[Contestadas]]/Regiones[[#This Row],[Ofrecidas]],"")</f>
        <v>1</v>
      </c>
      <c r="M37" s="7">
        <f>IFERROR(Regiones[[#This Row],[Ofrecidas]]*Regiones[[#This Row],[% de nivel de servicio]],"")</f>
        <v>0</v>
      </c>
      <c r="N37" s="7"/>
      <c r="O37" s="12">
        <f>IFERROR(Regiones[[#This Row],[Aten &lt; 20 seg]]/Regiones[[#This Row],[Contestadas]],"")</f>
        <v>0</v>
      </c>
      <c r="P37" s="13">
        <f>IFERROR(Regiones[[#This Row],[AHT]]*86400,"error")</f>
        <v>515</v>
      </c>
      <c r="Q37" s="13" t="str">
        <f>+VLOOKUP(Regiones[[#This Row],[Cola]],Tabla6[#Data],2,0)</f>
        <v>BUPA</v>
      </c>
      <c r="R37" s="13" t="e">
        <f>+VLOOKUP(Regiones[[#This Row],[Cola]],Tabla68[],2,0)</f>
        <v>#N/A</v>
      </c>
    </row>
    <row r="38" spans="2:18" x14ac:dyDescent="0.3">
      <c r="B38" s="6">
        <v>46204</v>
      </c>
      <c r="C38" s="14">
        <v>0.45833333333333331</v>
      </c>
      <c r="D38" t="s">
        <v>49</v>
      </c>
      <c r="E38" t="s">
        <v>18</v>
      </c>
      <c r="F38">
        <v>1</v>
      </c>
      <c r="G38">
        <v>1</v>
      </c>
      <c r="H38">
        <v>0</v>
      </c>
      <c r="I38" s="2">
        <v>0</v>
      </c>
      <c r="J38" s="14">
        <v>2.3148148148148147E-3</v>
      </c>
      <c r="K38" s="6">
        <f>INT(Regiones[[#This Row],[Fecha]])</f>
        <v>46204</v>
      </c>
      <c r="L38" s="10">
        <f>IFERROR(Regiones[[#This Row],[Contestadas]]/Regiones[[#This Row],[Ofrecidas]],"")</f>
        <v>1</v>
      </c>
      <c r="M38" s="7">
        <f>IFERROR(Regiones[[#This Row],[Ofrecidas]]*Regiones[[#This Row],[% de nivel de servicio]],"")</f>
        <v>0</v>
      </c>
      <c r="N38" s="7"/>
      <c r="O38" s="12">
        <f>IFERROR(Regiones[[#This Row],[Aten &lt; 20 seg]]/Regiones[[#This Row],[Contestadas]],"")</f>
        <v>0</v>
      </c>
      <c r="P38" s="13">
        <f>IFERROR(Regiones[[#This Row],[AHT]]*86400,"error")</f>
        <v>200</v>
      </c>
      <c r="Q38" s="13" t="str">
        <f>+VLOOKUP(Regiones[[#This Row],[Cola]],Tabla6[#Data],2,0)</f>
        <v>BUPA</v>
      </c>
      <c r="R38" s="13" t="e">
        <f>+VLOOKUP(Regiones[[#This Row],[Cola]],Tabla68[],2,0)</f>
        <v>#N/A</v>
      </c>
    </row>
    <row r="39" spans="2:18" x14ac:dyDescent="0.3">
      <c r="B39" s="6">
        <v>46204</v>
      </c>
      <c r="C39" s="14">
        <v>0.45833333333333331</v>
      </c>
      <c r="D39" t="s">
        <v>56</v>
      </c>
      <c r="E39" t="s">
        <v>18</v>
      </c>
      <c r="F39">
        <v>2</v>
      </c>
      <c r="G39">
        <v>1</v>
      </c>
      <c r="H39">
        <v>0</v>
      </c>
      <c r="I39" s="2">
        <v>0</v>
      </c>
      <c r="J39" s="14">
        <v>5.9722222222222225E-3</v>
      </c>
      <c r="K39" s="6">
        <f>INT(Regiones[[#This Row],[Fecha]])</f>
        <v>46204</v>
      </c>
      <c r="L39" s="10">
        <f>IFERROR(Regiones[[#This Row],[Contestadas]]/Regiones[[#This Row],[Ofrecidas]],"")</f>
        <v>0.5</v>
      </c>
      <c r="M39" s="7">
        <f>IFERROR(Regiones[[#This Row],[Ofrecidas]]*Regiones[[#This Row],[% de nivel de servicio]],"")</f>
        <v>0</v>
      </c>
      <c r="N39" s="7"/>
      <c r="O39" s="12">
        <f>IFERROR(Regiones[[#This Row],[Aten &lt; 20 seg]]/Regiones[[#This Row],[Contestadas]],"")</f>
        <v>0</v>
      </c>
      <c r="P39" s="13">
        <f>IFERROR(Regiones[[#This Row],[AHT]]*86400,"error")</f>
        <v>516</v>
      </c>
      <c r="Q39" s="13" t="str">
        <f>+VLOOKUP(Regiones[[#This Row],[Cola]],Tabla6[#Data],2,0)</f>
        <v>BUPA</v>
      </c>
      <c r="R39" s="13" t="e">
        <f>+VLOOKUP(Regiones[[#This Row],[Cola]],Tabla68[],2,0)</f>
        <v>#N/A</v>
      </c>
    </row>
    <row r="40" spans="2:18" x14ac:dyDescent="0.3">
      <c r="B40" s="6">
        <v>46204</v>
      </c>
      <c r="C40" s="14">
        <v>0.45833333333333331</v>
      </c>
      <c r="D40" t="s">
        <v>46</v>
      </c>
      <c r="E40" t="s">
        <v>18</v>
      </c>
      <c r="F40">
        <v>8</v>
      </c>
      <c r="G40">
        <v>6</v>
      </c>
      <c r="H40">
        <v>2</v>
      </c>
      <c r="I40" s="2">
        <v>0.12</v>
      </c>
      <c r="J40" s="14">
        <v>8.0902777777777778E-3</v>
      </c>
      <c r="K40" s="6">
        <f>INT(Regiones[[#This Row],[Fecha]])</f>
        <v>46204</v>
      </c>
      <c r="L40" s="10">
        <f>IFERROR(Regiones[[#This Row],[Contestadas]]/Regiones[[#This Row],[Ofrecidas]],"")</f>
        <v>0.75</v>
      </c>
      <c r="M40" s="7">
        <f>IFERROR(Regiones[[#This Row],[Ofrecidas]]*Regiones[[#This Row],[% de nivel de servicio]],"")</f>
        <v>0.96</v>
      </c>
      <c r="N40" s="7"/>
      <c r="O40" s="12">
        <f>IFERROR(Regiones[[#This Row],[Aten &lt; 20 seg]]/Regiones[[#This Row],[Contestadas]],"")</f>
        <v>0.16</v>
      </c>
      <c r="P40" s="13">
        <f>IFERROR(Regiones[[#This Row],[AHT]]*86400,"error")</f>
        <v>699</v>
      </c>
      <c r="Q40" s="13" t="str">
        <f>+VLOOKUP(Regiones[[#This Row],[Cola]],Tabla6[#Data],2,0)</f>
        <v>BUPA</v>
      </c>
      <c r="R40" s="13" t="e">
        <f>+VLOOKUP(Regiones[[#This Row],[Cola]],Tabla68[],2,0)</f>
        <v>#N/A</v>
      </c>
    </row>
    <row r="41" spans="2:18" x14ac:dyDescent="0.3">
      <c r="B41" s="6">
        <v>46204</v>
      </c>
      <c r="C41" s="14">
        <v>0.45833333333333331</v>
      </c>
      <c r="D41" t="s">
        <v>48</v>
      </c>
      <c r="E41" t="s">
        <v>18</v>
      </c>
      <c r="F41">
        <v>4</v>
      </c>
      <c r="G41">
        <v>3</v>
      </c>
      <c r="H41">
        <v>0</v>
      </c>
      <c r="I41" s="2">
        <v>0.33</v>
      </c>
      <c r="J41" s="14">
        <v>8.2523148148148148E-3</v>
      </c>
      <c r="K41" s="6">
        <f>INT(Regiones[[#This Row],[Fecha]])</f>
        <v>46204</v>
      </c>
      <c r="L41" s="10">
        <f>IFERROR(Regiones[[#This Row],[Contestadas]]/Regiones[[#This Row],[Ofrecidas]],"")</f>
        <v>0.75</v>
      </c>
      <c r="M41" s="7">
        <f>IFERROR(Regiones[[#This Row],[Ofrecidas]]*Regiones[[#This Row],[% de nivel de servicio]],"")</f>
        <v>1.32</v>
      </c>
      <c r="N41" s="7"/>
      <c r="O41" s="12">
        <f>IFERROR(Regiones[[#This Row],[Aten &lt; 20 seg]]/Regiones[[#This Row],[Contestadas]],"")</f>
        <v>0.44</v>
      </c>
      <c r="P41" s="13">
        <f>IFERROR(Regiones[[#This Row],[AHT]]*86400,"error")</f>
        <v>713</v>
      </c>
      <c r="Q41" s="13" t="str">
        <f>+VLOOKUP(Regiones[[#This Row],[Cola]],Tabla6[#Data],2,0)</f>
        <v>BUPA</v>
      </c>
      <c r="R41" s="13" t="e">
        <f>+VLOOKUP(Regiones[[#This Row],[Cola]],Tabla68[],2,0)</f>
        <v>#N/A</v>
      </c>
    </row>
    <row r="42" spans="2:18" x14ac:dyDescent="0.3">
      <c r="B42" s="6">
        <v>46204</v>
      </c>
      <c r="C42" s="14">
        <v>0.45833333333333331</v>
      </c>
      <c r="D42" t="s">
        <v>54</v>
      </c>
      <c r="E42" t="s">
        <v>18</v>
      </c>
      <c r="F42">
        <v>2</v>
      </c>
      <c r="G42">
        <v>1</v>
      </c>
      <c r="H42">
        <v>0</v>
      </c>
      <c r="I42" s="2">
        <v>0</v>
      </c>
      <c r="J42" s="14">
        <v>2.1296296296296298E-3</v>
      </c>
      <c r="K42" s="6">
        <f>INT(Regiones[[#This Row],[Fecha]])</f>
        <v>46204</v>
      </c>
      <c r="L42" s="10">
        <f>IFERROR(Regiones[[#This Row],[Contestadas]]/Regiones[[#This Row],[Ofrecidas]],"")</f>
        <v>0.5</v>
      </c>
      <c r="M42" s="7">
        <f>IFERROR(Regiones[[#This Row],[Ofrecidas]]*Regiones[[#This Row],[% de nivel de servicio]],"")</f>
        <v>0</v>
      </c>
      <c r="N42" s="7"/>
      <c r="O42" s="12">
        <f>IFERROR(Regiones[[#This Row],[Aten &lt; 20 seg]]/Regiones[[#This Row],[Contestadas]],"")</f>
        <v>0</v>
      </c>
      <c r="P42" s="13">
        <f>IFERROR(Regiones[[#This Row],[AHT]]*86400,"error")</f>
        <v>184</v>
      </c>
      <c r="Q42" s="13" t="str">
        <f>+VLOOKUP(Regiones[[#This Row],[Cola]],Tabla6[#Data],2,0)</f>
        <v>BUPA</v>
      </c>
      <c r="R42" s="13" t="e">
        <f>+VLOOKUP(Regiones[[#This Row],[Cola]],Tabla68[],2,0)</f>
        <v>#N/A</v>
      </c>
    </row>
    <row r="43" spans="2:18" x14ac:dyDescent="0.3">
      <c r="B43" s="6">
        <v>46204</v>
      </c>
      <c r="C43" s="14">
        <v>0.47916666666666669</v>
      </c>
      <c r="D43" t="s">
        <v>48</v>
      </c>
      <c r="E43" t="s">
        <v>18</v>
      </c>
      <c r="F43">
        <v>15</v>
      </c>
      <c r="G43">
        <v>16</v>
      </c>
      <c r="H43">
        <v>0</v>
      </c>
      <c r="I43" s="2">
        <v>0.44</v>
      </c>
      <c r="J43" s="14">
        <v>4.1319444444444442E-3</v>
      </c>
      <c r="K43" s="6">
        <f>INT(Regiones[[#This Row],[Fecha]])</f>
        <v>46204</v>
      </c>
      <c r="L43" s="10">
        <f>IFERROR(Regiones[[#This Row],[Contestadas]]/Regiones[[#This Row],[Ofrecidas]],"")</f>
        <v>1.0666666666666667</v>
      </c>
      <c r="M43" s="7">
        <f>IFERROR(Regiones[[#This Row],[Ofrecidas]]*Regiones[[#This Row],[% de nivel de servicio]],"")</f>
        <v>6.6</v>
      </c>
      <c r="N43" s="7"/>
      <c r="O43" s="12">
        <f>IFERROR(Regiones[[#This Row],[Aten &lt; 20 seg]]/Regiones[[#This Row],[Contestadas]],"")</f>
        <v>0.41249999999999998</v>
      </c>
      <c r="P43" s="13">
        <f>IFERROR(Regiones[[#This Row],[AHT]]*86400,"error")</f>
        <v>357</v>
      </c>
      <c r="Q43" s="13" t="str">
        <f>+VLOOKUP(Regiones[[#This Row],[Cola]],Tabla6[#Data],2,0)</f>
        <v>BUPA</v>
      </c>
      <c r="R43" s="13" t="e">
        <f>+VLOOKUP(Regiones[[#This Row],[Cola]],Tabla68[],2,0)</f>
        <v>#N/A</v>
      </c>
    </row>
    <row r="44" spans="2:18" x14ac:dyDescent="0.3">
      <c r="B44" s="6">
        <v>46204</v>
      </c>
      <c r="C44" s="14">
        <v>0.47916666666666669</v>
      </c>
      <c r="D44" t="s">
        <v>54</v>
      </c>
      <c r="E44" t="s">
        <v>18</v>
      </c>
      <c r="F44">
        <v>0</v>
      </c>
      <c r="G44">
        <v>1</v>
      </c>
      <c r="H44">
        <v>0</v>
      </c>
      <c r="I44" s="2">
        <v>0</v>
      </c>
      <c r="J44" s="14">
        <v>3.7268518518518519E-3</v>
      </c>
      <c r="K44" s="6">
        <f>INT(Regiones[[#This Row],[Fecha]])</f>
        <v>46204</v>
      </c>
      <c r="L44" s="10" t="str">
        <f>IFERROR(Regiones[[#This Row],[Contestadas]]/Regiones[[#This Row],[Ofrecidas]],"")</f>
        <v/>
      </c>
      <c r="M44" s="7">
        <f>IFERROR(Regiones[[#This Row],[Ofrecidas]]*Regiones[[#This Row],[% de nivel de servicio]],"")</f>
        <v>0</v>
      </c>
      <c r="N44" s="7"/>
      <c r="O44" s="12">
        <f>IFERROR(Regiones[[#This Row],[Aten &lt; 20 seg]]/Regiones[[#This Row],[Contestadas]],"")</f>
        <v>0</v>
      </c>
      <c r="P44" s="13">
        <f>IFERROR(Regiones[[#This Row],[AHT]]*86400,"error")</f>
        <v>322</v>
      </c>
      <c r="Q44" s="13" t="str">
        <f>+VLOOKUP(Regiones[[#This Row],[Cola]],Tabla6[#Data],2,0)</f>
        <v>BUPA</v>
      </c>
      <c r="R44" s="13" t="e">
        <f>+VLOOKUP(Regiones[[#This Row],[Cola]],Tabla68[],2,0)</f>
        <v>#N/A</v>
      </c>
    </row>
    <row r="45" spans="2:18" x14ac:dyDescent="0.3">
      <c r="B45" s="6">
        <v>46204</v>
      </c>
      <c r="C45" s="14">
        <v>0.47916666666666669</v>
      </c>
      <c r="D45" t="s">
        <v>53</v>
      </c>
      <c r="E45" t="s">
        <v>18</v>
      </c>
      <c r="F45">
        <v>2</v>
      </c>
      <c r="G45">
        <v>2</v>
      </c>
      <c r="H45">
        <v>0</v>
      </c>
      <c r="I45" s="2">
        <v>0.5</v>
      </c>
      <c r="J45" s="14">
        <v>5.37037037037037E-3</v>
      </c>
      <c r="K45" s="6">
        <f>INT(Regiones[[#This Row],[Fecha]])</f>
        <v>46204</v>
      </c>
      <c r="L45" s="10">
        <f>IFERROR(Regiones[[#This Row],[Contestadas]]/Regiones[[#This Row],[Ofrecidas]],"")</f>
        <v>1</v>
      </c>
      <c r="M45" s="7">
        <f>IFERROR(Regiones[[#This Row],[Ofrecidas]]*Regiones[[#This Row],[% de nivel de servicio]],"")</f>
        <v>1</v>
      </c>
      <c r="N45" s="7"/>
      <c r="O45" s="12">
        <f>IFERROR(Regiones[[#This Row],[Aten &lt; 20 seg]]/Regiones[[#This Row],[Contestadas]],"")</f>
        <v>0.5</v>
      </c>
      <c r="P45" s="13">
        <f>IFERROR(Regiones[[#This Row],[AHT]]*86400,"error")</f>
        <v>463.99999999999994</v>
      </c>
      <c r="Q45" s="13" t="str">
        <f>+VLOOKUP(Regiones[[#This Row],[Cola]],Tabla6[#Data],2,0)</f>
        <v>BUPA</v>
      </c>
      <c r="R45" s="13" t="e">
        <f>+VLOOKUP(Regiones[[#This Row],[Cola]],Tabla68[],2,0)</f>
        <v>#N/A</v>
      </c>
    </row>
    <row r="46" spans="2:18" x14ac:dyDescent="0.3">
      <c r="B46" s="6">
        <v>46204</v>
      </c>
      <c r="C46" s="14">
        <v>0.47916666666666669</v>
      </c>
      <c r="D46" t="s">
        <v>56</v>
      </c>
      <c r="E46" t="s">
        <v>18</v>
      </c>
      <c r="F46">
        <v>0</v>
      </c>
      <c r="G46">
        <v>1</v>
      </c>
      <c r="H46">
        <v>0</v>
      </c>
      <c r="I46" s="2">
        <v>0</v>
      </c>
      <c r="J46" s="14">
        <v>4.7800925925925927E-3</v>
      </c>
      <c r="K46" s="6">
        <f>INT(Regiones[[#This Row],[Fecha]])</f>
        <v>46204</v>
      </c>
      <c r="L46" s="10" t="str">
        <f>IFERROR(Regiones[[#This Row],[Contestadas]]/Regiones[[#This Row],[Ofrecidas]],"")</f>
        <v/>
      </c>
      <c r="M46" s="7">
        <f>IFERROR(Regiones[[#This Row],[Ofrecidas]]*Regiones[[#This Row],[% de nivel de servicio]],"")</f>
        <v>0</v>
      </c>
      <c r="N46" s="7"/>
      <c r="O46" s="12">
        <f>IFERROR(Regiones[[#This Row],[Aten &lt; 20 seg]]/Regiones[[#This Row],[Contestadas]],"")</f>
        <v>0</v>
      </c>
      <c r="P46" s="13">
        <f>IFERROR(Regiones[[#This Row],[AHT]]*86400,"error")</f>
        <v>413</v>
      </c>
      <c r="Q46" s="13" t="str">
        <f>+VLOOKUP(Regiones[[#This Row],[Cola]],Tabla6[#Data],2,0)</f>
        <v>BUPA</v>
      </c>
      <c r="R46" s="13" t="e">
        <f>+VLOOKUP(Regiones[[#This Row],[Cola]],Tabla68[],2,0)</f>
        <v>#N/A</v>
      </c>
    </row>
    <row r="47" spans="2:18" x14ac:dyDescent="0.3">
      <c r="B47" s="6">
        <v>46204</v>
      </c>
      <c r="C47" s="14">
        <v>0.47916666666666669</v>
      </c>
      <c r="D47" t="s">
        <v>55</v>
      </c>
      <c r="E47" t="s">
        <v>18</v>
      </c>
      <c r="F47">
        <v>1</v>
      </c>
      <c r="G47">
        <v>1</v>
      </c>
      <c r="H47">
        <v>0</v>
      </c>
      <c r="I47" s="2">
        <v>0</v>
      </c>
      <c r="J47" s="14">
        <v>4.8148148148148152E-3</v>
      </c>
      <c r="K47" s="6">
        <f>INT(Regiones[[#This Row],[Fecha]])</f>
        <v>46204</v>
      </c>
      <c r="L47" s="10">
        <f>IFERROR(Regiones[[#This Row],[Contestadas]]/Regiones[[#This Row],[Ofrecidas]],"")</f>
        <v>1</v>
      </c>
      <c r="M47" s="7">
        <f>IFERROR(Regiones[[#This Row],[Ofrecidas]]*Regiones[[#This Row],[% de nivel de servicio]],"")</f>
        <v>0</v>
      </c>
      <c r="N47" s="7"/>
      <c r="O47" s="12">
        <f>IFERROR(Regiones[[#This Row],[Aten &lt; 20 seg]]/Regiones[[#This Row],[Contestadas]],"")</f>
        <v>0</v>
      </c>
      <c r="P47" s="13">
        <f>IFERROR(Regiones[[#This Row],[AHT]]*86400,"error")</f>
        <v>416.00000000000006</v>
      </c>
      <c r="Q47" s="13" t="str">
        <f>+VLOOKUP(Regiones[[#This Row],[Cola]],Tabla6[#Data],2,0)</f>
        <v>BUPA</v>
      </c>
      <c r="R47" s="13" t="e">
        <f>+VLOOKUP(Regiones[[#This Row],[Cola]],Tabla68[],2,0)</f>
        <v>#N/A</v>
      </c>
    </row>
    <row r="48" spans="2:18" x14ac:dyDescent="0.3">
      <c r="B48" s="6">
        <v>46204</v>
      </c>
      <c r="C48" s="14">
        <v>0.47916666666666669</v>
      </c>
      <c r="D48" t="s">
        <v>47</v>
      </c>
      <c r="E48" t="s">
        <v>18</v>
      </c>
      <c r="F48">
        <v>19</v>
      </c>
      <c r="G48">
        <v>18</v>
      </c>
      <c r="H48">
        <v>1</v>
      </c>
      <c r="I48" s="2">
        <v>0.42</v>
      </c>
      <c r="J48" s="14">
        <v>4.7916666666666663E-3</v>
      </c>
      <c r="K48" s="6">
        <f>INT(Regiones[[#This Row],[Fecha]])</f>
        <v>46204</v>
      </c>
      <c r="L48" s="10">
        <f>IFERROR(Regiones[[#This Row],[Contestadas]]/Regiones[[#This Row],[Ofrecidas]],"")</f>
        <v>0.94736842105263153</v>
      </c>
      <c r="M48" s="7">
        <f>IFERROR(Regiones[[#This Row],[Ofrecidas]]*Regiones[[#This Row],[% de nivel de servicio]],"")</f>
        <v>7.9799999999999995</v>
      </c>
      <c r="N48" s="7"/>
      <c r="O48" s="12">
        <f>IFERROR(Regiones[[#This Row],[Aten &lt; 20 seg]]/Regiones[[#This Row],[Contestadas]],"")</f>
        <v>0.4433333333333333</v>
      </c>
      <c r="P48" s="13">
        <f>IFERROR(Regiones[[#This Row],[AHT]]*86400,"error")</f>
        <v>413.99999999999994</v>
      </c>
      <c r="Q48" s="13" t="str">
        <f>+VLOOKUP(Regiones[[#This Row],[Cola]],Tabla6[#Data],2,0)</f>
        <v>BUPA</v>
      </c>
      <c r="R48" s="13" t="e">
        <f>+VLOOKUP(Regiones[[#This Row],[Cola]],Tabla68[],2,0)</f>
        <v>#N/A</v>
      </c>
    </row>
    <row r="49" spans="2:18" x14ac:dyDescent="0.3">
      <c r="B49" s="6">
        <v>46204</v>
      </c>
      <c r="C49" s="14">
        <v>0.47916666666666669</v>
      </c>
      <c r="D49" t="s">
        <v>46</v>
      </c>
      <c r="E49" t="s">
        <v>18</v>
      </c>
      <c r="F49">
        <v>7</v>
      </c>
      <c r="G49">
        <v>7</v>
      </c>
      <c r="H49">
        <v>0</v>
      </c>
      <c r="I49" s="2">
        <v>0.43</v>
      </c>
      <c r="J49" s="14">
        <v>5.6481481481481478E-3</v>
      </c>
      <c r="K49" s="6">
        <f>INT(Regiones[[#This Row],[Fecha]])</f>
        <v>46204</v>
      </c>
      <c r="L49" s="10">
        <f>IFERROR(Regiones[[#This Row],[Contestadas]]/Regiones[[#This Row],[Ofrecidas]],"")</f>
        <v>1</v>
      </c>
      <c r="M49" s="7">
        <f>IFERROR(Regiones[[#This Row],[Ofrecidas]]*Regiones[[#This Row],[% de nivel de servicio]],"")</f>
        <v>3.01</v>
      </c>
      <c r="N49" s="7"/>
      <c r="O49" s="12">
        <f>IFERROR(Regiones[[#This Row],[Aten &lt; 20 seg]]/Regiones[[#This Row],[Contestadas]],"")</f>
        <v>0.43</v>
      </c>
      <c r="P49" s="13">
        <f>IFERROR(Regiones[[#This Row],[AHT]]*86400,"error")</f>
        <v>487.99999999999994</v>
      </c>
      <c r="Q49" s="13" t="str">
        <f>+VLOOKUP(Regiones[[#This Row],[Cola]],Tabla6[#Data],2,0)</f>
        <v>BUPA</v>
      </c>
      <c r="R49" s="13" t="e">
        <f>+VLOOKUP(Regiones[[#This Row],[Cola]],Tabla68[],2,0)</f>
        <v>#N/A</v>
      </c>
    </row>
    <row r="50" spans="2:18" x14ac:dyDescent="0.3">
      <c r="B50" s="6">
        <v>46204</v>
      </c>
      <c r="C50" s="14">
        <v>0.47916666666666669</v>
      </c>
      <c r="D50" t="s">
        <v>57</v>
      </c>
      <c r="E50" t="s">
        <v>18</v>
      </c>
      <c r="F50">
        <v>1</v>
      </c>
      <c r="G50">
        <v>1</v>
      </c>
      <c r="H50">
        <v>0</v>
      </c>
      <c r="I50" s="2">
        <v>1</v>
      </c>
      <c r="J50" s="14" t="s">
        <v>19</v>
      </c>
      <c r="K50" s="6">
        <f>INT(Regiones[[#This Row],[Fecha]])</f>
        <v>46204</v>
      </c>
      <c r="L50" s="10">
        <f>IFERROR(Regiones[[#This Row],[Contestadas]]/Regiones[[#This Row],[Ofrecidas]],"")</f>
        <v>1</v>
      </c>
      <c r="M50" s="7">
        <f>IFERROR(Regiones[[#This Row],[Ofrecidas]]*Regiones[[#This Row],[% de nivel de servicio]],"")</f>
        <v>1</v>
      </c>
      <c r="N50" s="7"/>
      <c r="O50" s="12">
        <f>IFERROR(Regiones[[#This Row],[Aten &lt; 20 seg]]/Regiones[[#This Row],[Contestadas]],"")</f>
        <v>1</v>
      </c>
      <c r="P50" s="13" t="str">
        <f>IFERROR(Regiones[[#This Row],[AHT]]*86400,"error")</f>
        <v>error</v>
      </c>
      <c r="Q50" s="13" t="str">
        <f>+VLOOKUP(Regiones[[#This Row],[Cola]],Tabla6[#Data],2,0)</f>
        <v>BUPA</v>
      </c>
      <c r="R50" s="13" t="e">
        <f>+VLOOKUP(Regiones[[#This Row],[Cola]],Tabla68[],2,0)</f>
        <v>#N/A</v>
      </c>
    </row>
    <row r="51" spans="2:18" x14ac:dyDescent="0.3">
      <c r="B51" s="6">
        <v>46204</v>
      </c>
      <c r="C51" s="14">
        <v>0.47916666666666669</v>
      </c>
      <c r="D51" t="s">
        <v>50</v>
      </c>
      <c r="E51" t="s">
        <v>18</v>
      </c>
      <c r="F51">
        <v>2</v>
      </c>
      <c r="G51">
        <v>2</v>
      </c>
      <c r="H51">
        <v>0</v>
      </c>
      <c r="I51" s="2">
        <v>0.5</v>
      </c>
      <c r="J51" s="14">
        <v>6.4467592592592588E-3</v>
      </c>
      <c r="K51" s="6">
        <f>INT(Regiones[[#This Row],[Fecha]])</f>
        <v>46204</v>
      </c>
      <c r="L51" s="10">
        <f>IFERROR(Regiones[[#This Row],[Contestadas]]/Regiones[[#This Row],[Ofrecidas]],"")</f>
        <v>1</v>
      </c>
      <c r="M51" s="7">
        <f>IFERROR(Regiones[[#This Row],[Ofrecidas]]*Regiones[[#This Row],[% de nivel de servicio]],"")</f>
        <v>1</v>
      </c>
      <c r="N51" s="7"/>
      <c r="O51" s="12">
        <f>IFERROR(Regiones[[#This Row],[Aten &lt; 20 seg]]/Regiones[[#This Row],[Contestadas]],"")</f>
        <v>0.5</v>
      </c>
      <c r="P51" s="13">
        <f>IFERROR(Regiones[[#This Row],[AHT]]*86400,"error")</f>
        <v>557</v>
      </c>
      <c r="Q51" s="13" t="str">
        <f>+VLOOKUP(Regiones[[#This Row],[Cola]],Tabla6[#Data],2,0)</f>
        <v>BUPA</v>
      </c>
      <c r="R51" s="13" t="e">
        <f>+VLOOKUP(Regiones[[#This Row],[Cola]],Tabla68[],2,0)</f>
        <v>#N/A</v>
      </c>
    </row>
    <row r="52" spans="2:18" x14ac:dyDescent="0.3">
      <c r="B52" s="6">
        <v>46204</v>
      </c>
      <c r="C52" s="14">
        <v>0.47916666666666669</v>
      </c>
      <c r="D52" t="s">
        <v>52</v>
      </c>
      <c r="E52" t="s">
        <v>18</v>
      </c>
      <c r="F52">
        <v>1</v>
      </c>
      <c r="G52">
        <v>2</v>
      </c>
      <c r="H52">
        <v>0</v>
      </c>
      <c r="I52" s="2">
        <v>0.5</v>
      </c>
      <c r="J52" s="14">
        <v>3.1134259259259257E-3</v>
      </c>
      <c r="K52" s="6">
        <f>INT(Regiones[[#This Row],[Fecha]])</f>
        <v>46204</v>
      </c>
      <c r="L52" s="10">
        <f>IFERROR(Regiones[[#This Row],[Contestadas]]/Regiones[[#This Row],[Ofrecidas]],"")</f>
        <v>2</v>
      </c>
      <c r="M52" s="7">
        <f>IFERROR(Regiones[[#This Row],[Ofrecidas]]*Regiones[[#This Row],[% de nivel de servicio]],"")</f>
        <v>0.5</v>
      </c>
      <c r="N52" s="7"/>
      <c r="O52" s="12">
        <f>IFERROR(Regiones[[#This Row],[Aten &lt; 20 seg]]/Regiones[[#This Row],[Contestadas]],"")</f>
        <v>0.25</v>
      </c>
      <c r="P52" s="13">
        <f>IFERROR(Regiones[[#This Row],[AHT]]*86400,"error")</f>
        <v>269</v>
      </c>
      <c r="Q52" s="13" t="str">
        <f>+VLOOKUP(Regiones[[#This Row],[Cola]],Tabla6[#Data],2,0)</f>
        <v>BUPA</v>
      </c>
      <c r="R52" s="13" t="e">
        <f>+VLOOKUP(Regiones[[#This Row],[Cola]],Tabla68[],2,0)</f>
        <v>#N/A</v>
      </c>
    </row>
    <row r="53" spans="2:18" x14ac:dyDescent="0.3">
      <c r="B53" s="6">
        <v>46204</v>
      </c>
      <c r="C53" s="14">
        <v>0.5</v>
      </c>
      <c r="D53" t="s">
        <v>52</v>
      </c>
      <c r="E53" t="s">
        <v>18</v>
      </c>
      <c r="F53">
        <v>1</v>
      </c>
      <c r="G53">
        <v>0</v>
      </c>
      <c r="H53">
        <v>1</v>
      </c>
      <c r="I53" s="2">
        <v>0</v>
      </c>
      <c r="J53" s="14" t="s">
        <v>19</v>
      </c>
      <c r="K53" s="6">
        <f>INT(Regiones[[#This Row],[Fecha]])</f>
        <v>46204</v>
      </c>
      <c r="L53" s="10">
        <f>IFERROR(Regiones[[#This Row],[Contestadas]]/Regiones[[#This Row],[Ofrecidas]],"")</f>
        <v>0</v>
      </c>
      <c r="M53" s="7">
        <f>IFERROR(Regiones[[#This Row],[Ofrecidas]]*Regiones[[#This Row],[% de nivel de servicio]],"")</f>
        <v>0</v>
      </c>
      <c r="N53" s="7"/>
      <c r="O53" s="12" t="str">
        <f>IFERROR(Regiones[[#This Row],[Aten &lt; 20 seg]]/Regiones[[#This Row],[Contestadas]],"")</f>
        <v/>
      </c>
      <c r="P53" s="13" t="str">
        <f>IFERROR(Regiones[[#This Row],[AHT]]*86400,"error")</f>
        <v>error</v>
      </c>
      <c r="Q53" s="13" t="str">
        <f>+VLOOKUP(Regiones[[#This Row],[Cola]],Tabla6[#Data],2,0)</f>
        <v>BUPA</v>
      </c>
      <c r="R53" s="13" t="e">
        <f>+VLOOKUP(Regiones[[#This Row],[Cola]],Tabla68[],2,0)</f>
        <v>#N/A</v>
      </c>
    </row>
    <row r="54" spans="2:18" x14ac:dyDescent="0.3">
      <c r="B54" s="6">
        <v>46204</v>
      </c>
      <c r="C54" s="14">
        <v>0.5</v>
      </c>
      <c r="D54" t="s">
        <v>50</v>
      </c>
      <c r="E54" t="s">
        <v>18</v>
      </c>
      <c r="F54">
        <v>2</v>
      </c>
      <c r="G54">
        <v>1</v>
      </c>
      <c r="H54">
        <v>1</v>
      </c>
      <c r="I54" s="2">
        <v>0.5</v>
      </c>
      <c r="J54" s="14">
        <v>2.9166666666666668E-3</v>
      </c>
      <c r="K54" s="6">
        <f>INT(Regiones[[#This Row],[Fecha]])</f>
        <v>46204</v>
      </c>
      <c r="L54" s="10">
        <f>IFERROR(Regiones[[#This Row],[Contestadas]]/Regiones[[#This Row],[Ofrecidas]],"")</f>
        <v>0.5</v>
      </c>
      <c r="M54" s="7">
        <f>IFERROR(Regiones[[#This Row],[Ofrecidas]]*Regiones[[#This Row],[% de nivel de servicio]],"")</f>
        <v>1</v>
      </c>
      <c r="N54" s="7"/>
      <c r="O54" s="12">
        <f>IFERROR(Regiones[[#This Row],[Aten &lt; 20 seg]]/Regiones[[#This Row],[Contestadas]],"")</f>
        <v>1</v>
      </c>
      <c r="P54" s="13">
        <f>IFERROR(Regiones[[#This Row],[AHT]]*86400,"error")</f>
        <v>252</v>
      </c>
      <c r="Q54" s="13" t="str">
        <f>+VLOOKUP(Regiones[[#This Row],[Cola]],Tabla6[#Data],2,0)</f>
        <v>BUPA</v>
      </c>
      <c r="R54" s="13" t="e">
        <f>+VLOOKUP(Regiones[[#This Row],[Cola]],Tabla68[],2,0)</f>
        <v>#N/A</v>
      </c>
    </row>
    <row r="55" spans="2:18" x14ac:dyDescent="0.3">
      <c r="B55" s="6">
        <v>46204</v>
      </c>
      <c r="C55" s="14">
        <v>0.5</v>
      </c>
      <c r="D55" t="s">
        <v>57</v>
      </c>
      <c r="E55" t="s">
        <v>18</v>
      </c>
      <c r="F55">
        <v>1</v>
      </c>
      <c r="G55">
        <v>1</v>
      </c>
      <c r="H55">
        <v>0</v>
      </c>
      <c r="I55" s="2">
        <v>1</v>
      </c>
      <c r="J55" s="14">
        <v>5.2546296296296299E-3</v>
      </c>
      <c r="K55" s="6">
        <f>INT(Regiones[[#This Row],[Fecha]])</f>
        <v>46204</v>
      </c>
      <c r="L55" s="10">
        <f>IFERROR(Regiones[[#This Row],[Contestadas]]/Regiones[[#This Row],[Ofrecidas]],"")</f>
        <v>1</v>
      </c>
      <c r="M55" s="7">
        <f>IFERROR(Regiones[[#This Row],[Ofrecidas]]*Regiones[[#This Row],[% de nivel de servicio]],"")</f>
        <v>1</v>
      </c>
      <c r="N55" s="7"/>
      <c r="O55" s="12">
        <f>IFERROR(Regiones[[#This Row],[Aten &lt; 20 seg]]/Regiones[[#This Row],[Contestadas]],"")</f>
        <v>1</v>
      </c>
      <c r="P55" s="13">
        <f>IFERROR(Regiones[[#This Row],[AHT]]*86400,"error")</f>
        <v>454</v>
      </c>
      <c r="Q55" s="13" t="str">
        <f>+VLOOKUP(Regiones[[#This Row],[Cola]],Tabla6[#Data],2,0)</f>
        <v>BUPA</v>
      </c>
      <c r="R55" s="13" t="e">
        <f>+VLOOKUP(Regiones[[#This Row],[Cola]],Tabla68[],2,0)</f>
        <v>#N/A</v>
      </c>
    </row>
    <row r="56" spans="2:18" x14ac:dyDescent="0.3">
      <c r="B56" s="6">
        <v>46204</v>
      </c>
      <c r="C56" s="14">
        <v>0.5</v>
      </c>
      <c r="D56" t="s">
        <v>49</v>
      </c>
      <c r="E56" t="s">
        <v>18</v>
      </c>
      <c r="F56">
        <v>4</v>
      </c>
      <c r="G56">
        <v>3</v>
      </c>
      <c r="H56">
        <v>0</v>
      </c>
      <c r="I56" s="2">
        <v>0.33</v>
      </c>
      <c r="J56" s="14">
        <v>3.5879629629629629E-3</v>
      </c>
      <c r="K56" s="6">
        <f>INT(Regiones[[#This Row],[Fecha]])</f>
        <v>46204</v>
      </c>
      <c r="L56" s="10">
        <f>IFERROR(Regiones[[#This Row],[Contestadas]]/Regiones[[#This Row],[Ofrecidas]],"")</f>
        <v>0.75</v>
      </c>
      <c r="M56" s="7">
        <f>IFERROR(Regiones[[#This Row],[Ofrecidas]]*Regiones[[#This Row],[% de nivel de servicio]],"")</f>
        <v>1.32</v>
      </c>
      <c r="N56" s="7"/>
      <c r="O56" s="12">
        <f>IFERROR(Regiones[[#This Row],[Aten &lt; 20 seg]]/Regiones[[#This Row],[Contestadas]],"")</f>
        <v>0.44</v>
      </c>
      <c r="P56" s="13">
        <f>IFERROR(Regiones[[#This Row],[AHT]]*86400,"error")</f>
        <v>310</v>
      </c>
      <c r="Q56" s="13" t="str">
        <f>+VLOOKUP(Regiones[[#This Row],[Cola]],Tabla6[#Data],2,0)</f>
        <v>BUPA</v>
      </c>
      <c r="R56" s="13" t="e">
        <f>+VLOOKUP(Regiones[[#This Row],[Cola]],Tabla68[],2,0)</f>
        <v>#N/A</v>
      </c>
    </row>
    <row r="57" spans="2:18" x14ac:dyDescent="0.3">
      <c r="B57" s="6">
        <v>46204</v>
      </c>
      <c r="C57" s="14">
        <v>0.5</v>
      </c>
      <c r="D57" t="s">
        <v>48</v>
      </c>
      <c r="E57" t="s">
        <v>18</v>
      </c>
      <c r="F57">
        <v>18</v>
      </c>
      <c r="G57">
        <v>17</v>
      </c>
      <c r="H57">
        <v>0</v>
      </c>
      <c r="I57" s="2">
        <v>0.59</v>
      </c>
      <c r="J57" s="14">
        <v>4.5138888888888885E-3</v>
      </c>
      <c r="K57" s="6">
        <f>INT(Regiones[[#This Row],[Fecha]])</f>
        <v>46204</v>
      </c>
      <c r="L57" s="10">
        <f>IFERROR(Regiones[[#This Row],[Contestadas]]/Regiones[[#This Row],[Ofrecidas]],"")</f>
        <v>0.94444444444444442</v>
      </c>
      <c r="M57" s="7">
        <f>IFERROR(Regiones[[#This Row],[Ofrecidas]]*Regiones[[#This Row],[% de nivel de servicio]],"")</f>
        <v>10.62</v>
      </c>
      <c r="N57" s="7"/>
      <c r="O57" s="12">
        <f>IFERROR(Regiones[[#This Row],[Aten &lt; 20 seg]]/Regiones[[#This Row],[Contestadas]],"")</f>
        <v>0.62470588235294111</v>
      </c>
      <c r="P57" s="13">
        <f>IFERROR(Regiones[[#This Row],[AHT]]*86400,"error")</f>
        <v>389.99999999999994</v>
      </c>
      <c r="Q57" s="13" t="str">
        <f>+VLOOKUP(Regiones[[#This Row],[Cola]],Tabla6[#Data],2,0)</f>
        <v>BUPA</v>
      </c>
      <c r="R57" s="13" t="e">
        <f>+VLOOKUP(Regiones[[#This Row],[Cola]],Tabla68[],2,0)</f>
        <v>#N/A</v>
      </c>
    </row>
    <row r="58" spans="2:18" x14ac:dyDescent="0.3">
      <c r="B58" s="6">
        <v>46204</v>
      </c>
      <c r="C58" s="14">
        <v>0.5</v>
      </c>
      <c r="D58" t="s">
        <v>47</v>
      </c>
      <c r="E58" t="s">
        <v>18</v>
      </c>
      <c r="F58">
        <v>16</v>
      </c>
      <c r="G58">
        <v>14</v>
      </c>
      <c r="H58">
        <v>1</v>
      </c>
      <c r="I58" s="2">
        <v>0.53</v>
      </c>
      <c r="J58" s="14">
        <v>4.2708333333333331E-3</v>
      </c>
      <c r="K58" s="6">
        <f>INT(Regiones[[#This Row],[Fecha]])</f>
        <v>46204</v>
      </c>
      <c r="L58" s="10">
        <f>IFERROR(Regiones[[#This Row],[Contestadas]]/Regiones[[#This Row],[Ofrecidas]],"")</f>
        <v>0.875</v>
      </c>
      <c r="M58" s="7">
        <f>IFERROR(Regiones[[#This Row],[Ofrecidas]]*Regiones[[#This Row],[% de nivel de servicio]],"")</f>
        <v>8.48</v>
      </c>
      <c r="N58" s="7"/>
      <c r="O58" s="12">
        <f>IFERROR(Regiones[[#This Row],[Aten &lt; 20 seg]]/Regiones[[#This Row],[Contestadas]],"")</f>
        <v>0.60571428571428576</v>
      </c>
      <c r="P58" s="13">
        <f>IFERROR(Regiones[[#This Row],[AHT]]*86400,"error")</f>
        <v>369</v>
      </c>
      <c r="Q58" s="13" t="str">
        <f>+VLOOKUP(Regiones[[#This Row],[Cola]],Tabla6[#Data],2,0)</f>
        <v>BUPA</v>
      </c>
      <c r="R58" s="13" t="e">
        <f>+VLOOKUP(Regiones[[#This Row],[Cola]],Tabla68[],2,0)</f>
        <v>#N/A</v>
      </c>
    </row>
    <row r="59" spans="2:18" x14ac:dyDescent="0.3">
      <c r="B59" s="6">
        <v>46204</v>
      </c>
      <c r="C59" s="14">
        <v>0.5</v>
      </c>
      <c r="D59" t="s">
        <v>46</v>
      </c>
      <c r="E59" t="s">
        <v>18</v>
      </c>
      <c r="F59">
        <v>9</v>
      </c>
      <c r="G59">
        <v>6</v>
      </c>
      <c r="H59">
        <v>2</v>
      </c>
      <c r="I59" s="2">
        <v>0.62</v>
      </c>
      <c r="J59" s="14">
        <v>7.4884259259259262E-3</v>
      </c>
      <c r="K59" s="6">
        <f>INT(Regiones[[#This Row],[Fecha]])</f>
        <v>46204</v>
      </c>
      <c r="L59" s="10">
        <f>IFERROR(Regiones[[#This Row],[Contestadas]]/Regiones[[#This Row],[Ofrecidas]],"")</f>
        <v>0.66666666666666663</v>
      </c>
      <c r="M59" s="7">
        <f>IFERROR(Regiones[[#This Row],[Ofrecidas]]*Regiones[[#This Row],[% de nivel de servicio]],"")</f>
        <v>5.58</v>
      </c>
      <c r="N59" s="7"/>
      <c r="O59" s="12">
        <f>IFERROR(Regiones[[#This Row],[Aten &lt; 20 seg]]/Regiones[[#This Row],[Contestadas]],"")</f>
        <v>0.93</v>
      </c>
      <c r="P59" s="13">
        <f>IFERROR(Regiones[[#This Row],[AHT]]*86400,"error")</f>
        <v>647</v>
      </c>
      <c r="Q59" s="13" t="str">
        <f>+VLOOKUP(Regiones[[#This Row],[Cola]],Tabla6[#Data],2,0)</f>
        <v>BUPA</v>
      </c>
      <c r="R59" s="13" t="e">
        <f>+VLOOKUP(Regiones[[#This Row],[Cola]],Tabla68[],2,0)</f>
        <v>#N/A</v>
      </c>
    </row>
    <row r="60" spans="2:18" x14ac:dyDescent="0.3">
      <c r="B60" s="6">
        <v>46204</v>
      </c>
      <c r="C60" s="14">
        <v>0.5</v>
      </c>
      <c r="D60" t="s">
        <v>56</v>
      </c>
      <c r="E60" t="s">
        <v>18</v>
      </c>
      <c r="F60">
        <v>1</v>
      </c>
      <c r="G60">
        <v>1</v>
      </c>
      <c r="H60">
        <v>0</v>
      </c>
      <c r="I60" s="2">
        <v>0</v>
      </c>
      <c r="J60" s="14">
        <v>4.6643518518518518E-3</v>
      </c>
      <c r="K60" s="6">
        <f>INT(Regiones[[#This Row],[Fecha]])</f>
        <v>46204</v>
      </c>
      <c r="L60" s="10">
        <f>IFERROR(Regiones[[#This Row],[Contestadas]]/Regiones[[#This Row],[Ofrecidas]],"")</f>
        <v>1</v>
      </c>
      <c r="M60" s="7">
        <f>IFERROR(Regiones[[#This Row],[Ofrecidas]]*Regiones[[#This Row],[% de nivel de servicio]],"")</f>
        <v>0</v>
      </c>
      <c r="N60" s="7"/>
      <c r="O60" s="12">
        <f>IFERROR(Regiones[[#This Row],[Aten &lt; 20 seg]]/Regiones[[#This Row],[Contestadas]],"")</f>
        <v>0</v>
      </c>
      <c r="P60" s="13">
        <f>IFERROR(Regiones[[#This Row],[AHT]]*86400,"error")</f>
        <v>403</v>
      </c>
      <c r="Q60" s="13" t="str">
        <f>+VLOOKUP(Regiones[[#This Row],[Cola]],Tabla6[#Data],2,0)</f>
        <v>BUPA</v>
      </c>
      <c r="R60" s="13" t="e">
        <f>+VLOOKUP(Regiones[[#This Row],[Cola]],Tabla68[],2,0)</f>
        <v>#N/A</v>
      </c>
    </row>
    <row r="61" spans="2:18" x14ac:dyDescent="0.3">
      <c r="B61" s="6">
        <v>46204</v>
      </c>
      <c r="C61" s="14">
        <v>0.5</v>
      </c>
      <c r="D61" t="s">
        <v>55</v>
      </c>
      <c r="E61" t="s">
        <v>18</v>
      </c>
      <c r="F61">
        <v>1</v>
      </c>
      <c r="G61">
        <v>1</v>
      </c>
      <c r="H61">
        <v>0</v>
      </c>
      <c r="I61" s="2">
        <v>1</v>
      </c>
      <c r="J61" s="14">
        <v>5.1736111111111115E-3</v>
      </c>
      <c r="K61" s="6">
        <f>INT(Regiones[[#This Row],[Fecha]])</f>
        <v>46204</v>
      </c>
      <c r="L61" s="10">
        <f>IFERROR(Regiones[[#This Row],[Contestadas]]/Regiones[[#This Row],[Ofrecidas]],"")</f>
        <v>1</v>
      </c>
      <c r="M61" s="7">
        <f>IFERROR(Regiones[[#This Row],[Ofrecidas]]*Regiones[[#This Row],[% de nivel de servicio]],"")</f>
        <v>1</v>
      </c>
      <c r="N61" s="7"/>
      <c r="O61" s="12">
        <f>IFERROR(Regiones[[#This Row],[Aten &lt; 20 seg]]/Regiones[[#This Row],[Contestadas]],"")</f>
        <v>1</v>
      </c>
      <c r="P61" s="13">
        <f>IFERROR(Regiones[[#This Row],[AHT]]*86400,"error")</f>
        <v>447.00000000000006</v>
      </c>
      <c r="Q61" s="13" t="str">
        <f>+VLOOKUP(Regiones[[#This Row],[Cola]],Tabla6[#Data],2,0)</f>
        <v>BUPA</v>
      </c>
      <c r="R61" s="13" t="e">
        <f>+VLOOKUP(Regiones[[#This Row],[Cola]],Tabla68[],2,0)</f>
        <v>#N/A</v>
      </c>
    </row>
    <row r="62" spans="2:18" x14ac:dyDescent="0.3">
      <c r="B62" s="6">
        <v>46204</v>
      </c>
      <c r="C62" s="14">
        <v>0.52083333333333337</v>
      </c>
      <c r="D62" t="s">
        <v>48</v>
      </c>
      <c r="E62" t="s">
        <v>18</v>
      </c>
      <c r="F62">
        <v>7</v>
      </c>
      <c r="G62">
        <v>8</v>
      </c>
      <c r="H62">
        <v>0</v>
      </c>
      <c r="I62" s="2">
        <v>0.75</v>
      </c>
      <c r="J62" s="14">
        <v>6.030092592592593E-3</v>
      </c>
      <c r="K62" s="6">
        <f>INT(Regiones[[#This Row],[Fecha]])</f>
        <v>46204</v>
      </c>
      <c r="L62" s="10">
        <f>IFERROR(Regiones[[#This Row],[Contestadas]]/Regiones[[#This Row],[Ofrecidas]],"")</f>
        <v>1.1428571428571428</v>
      </c>
      <c r="M62" s="7">
        <f>IFERROR(Regiones[[#This Row],[Ofrecidas]]*Regiones[[#This Row],[% de nivel de servicio]],"")</f>
        <v>5.25</v>
      </c>
      <c r="N62" s="7"/>
      <c r="O62" s="12">
        <f>IFERROR(Regiones[[#This Row],[Aten &lt; 20 seg]]/Regiones[[#This Row],[Contestadas]],"")</f>
        <v>0.65625</v>
      </c>
      <c r="P62" s="13">
        <f>IFERROR(Regiones[[#This Row],[AHT]]*86400,"error")</f>
        <v>521</v>
      </c>
      <c r="Q62" s="13" t="str">
        <f>+VLOOKUP(Regiones[[#This Row],[Cola]],Tabla6[#Data],2,0)</f>
        <v>BUPA</v>
      </c>
      <c r="R62" s="13" t="e">
        <f>+VLOOKUP(Regiones[[#This Row],[Cola]],Tabla68[],2,0)</f>
        <v>#N/A</v>
      </c>
    </row>
    <row r="63" spans="2:18" x14ac:dyDescent="0.3">
      <c r="B63" s="6">
        <v>46204</v>
      </c>
      <c r="C63" s="14">
        <v>0.52083333333333337</v>
      </c>
      <c r="D63" t="s">
        <v>56</v>
      </c>
      <c r="E63" t="s">
        <v>18</v>
      </c>
      <c r="F63">
        <v>1</v>
      </c>
      <c r="G63">
        <v>1</v>
      </c>
      <c r="H63">
        <v>0</v>
      </c>
      <c r="I63" s="2">
        <v>0</v>
      </c>
      <c r="J63" s="14">
        <v>3.1712962962962962E-3</v>
      </c>
      <c r="K63" s="6">
        <f>INT(Regiones[[#This Row],[Fecha]])</f>
        <v>46204</v>
      </c>
      <c r="L63" s="10">
        <f>IFERROR(Regiones[[#This Row],[Contestadas]]/Regiones[[#This Row],[Ofrecidas]],"")</f>
        <v>1</v>
      </c>
      <c r="M63" s="7">
        <f>IFERROR(Regiones[[#This Row],[Ofrecidas]]*Regiones[[#This Row],[% de nivel de servicio]],"")</f>
        <v>0</v>
      </c>
      <c r="N63" s="7"/>
      <c r="O63" s="12">
        <f>IFERROR(Regiones[[#This Row],[Aten &lt; 20 seg]]/Regiones[[#This Row],[Contestadas]],"")</f>
        <v>0</v>
      </c>
      <c r="P63" s="13">
        <f>IFERROR(Regiones[[#This Row],[AHT]]*86400,"error")</f>
        <v>274</v>
      </c>
      <c r="Q63" s="13" t="str">
        <f>+VLOOKUP(Regiones[[#This Row],[Cola]],Tabla6[#Data],2,0)</f>
        <v>BUPA</v>
      </c>
      <c r="R63" s="13" t="e">
        <f>+VLOOKUP(Regiones[[#This Row],[Cola]],Tabla68[],2,0)</f>
        <v>#N/A</v>
      </c>
    </row>
    <row r="64" spans="2:18" x14ac:dyDescent="0.3">
      <c r="B64" s="6">
        <v>46204</v>
      </c>
      <c r="C64" s="14">
        <v>0.52083333333333337</v>
      </c>
      <c r="D64" t="s">
        <v>47</v>
      </c>
      <c r="E64" t="s">
        <v>18</v>
      </c>
      <c r="F64">
        <v>10</v>
      </c>
      <c r="G64">
        <v>11</v>
      </c>
      <c r="H64">
        <v>1</v>
      </c>
      <c r="I64" s="2">
        <v>0.57999999999999996</v>
      </c>
      <c r="J64" s="14">
        <v>4.5138888888888885E-3</v>
      </c>
      <c r="K64" s="6">
        <f>INT(Regiones[[#This Row],[Fecha]])</f>
        <v>46204</v>
      </c>
      <c r="L64" s="10">
        <f>IFERROR(Regiones[[#This Row],[Contestadas]]/Regiones[[#This Row],[Ofrecidas]],"")</f>
        <v>1.1000000000000001</v>
      </c>
      <c r="M64" s="7">
        <f>IFERROR(Regiones[[#This Row],[Ofrecidas]]*Regiones[[#This Row],[% de nivel de servicio]],"")</f>
        <v>5.8</v>
      </c>
      <c r="N64" s="7"/>
      <c r="O64" s="12">
        <f>IFERROR(Regiones[[#This Row],[Aten &lt; 20 seg]]/Regiones[[#This Row],[Contestadas]],"")</f>
        <v>0.52727272727272723</v>
      </c>
      <c r="P64" s="13">
        <f>IFERROR(Regiones[[#This Row],[AHT]]*86400,"error")</f>
        <v>389.99999999999994</v>
      </c>
      <c r="Q64" s="13" t="str">
        <f>+VLOOKUP(Regiones[[#This Row],[Cola]],Tabla6[#Data],2,0)</f>
        <v>BUPA</v>
      </c>
      <c r="R64" s="13" t="e">
        <f>+VLOOKUP(Regiones[[#This Row],[Cola]],Tabla68[],2,0)</f>
        <v>#N/A</v>
      </c>
    </row>
    <row r="65" spans="2:18" x14ac:dyDescent="0.3">
      <c r="B65" s="6">
        <v>46204</v>
      </c>
      <c r="C65" s="14">
        <v>0.52083333333333337</v>
      </c>
      <c r="D65" t="s">
        <v>46</v>
      </c>
      <c r="E65" t="s">
        <v>18</v>
      </c>
      <c r="F65">
        <v>8</v>
      </c>
      <c r="G65">
        <v>9</v>
      </c>
      <c r="H65">
        <v>0</v>
      </c>
      <c r="I65" s="2">
        <v>0.89</v>
      </c>
      <c r="J65" s="14">
        <v>4.0277777777777777E-3</v>
      </c>
      <c r="K65" s="6">
        <f>INT(Regiones[[#This Row],[Fecha]])</f>
        <v>46204</v>
      </c>
      <c r="L65" s="10">
        <f>IFERROR(Regiones[[#This Row],[Contestadas]]/Regiones[[#This Row],[Ofrecidas]],"")</f>
        <v>1.125</v>
      </c>
      <c r="M65" s="7">
        <f>IFERROR(Regiones[[#This Row],[Ofrecidas]]*Regiones[[#This Row],[% de nivel de servicio]],"")</f>
        <v>7.12</v>
      </c>
      <c r="N65" s="7"/>
      <c r="O65" s="12">
        <f>IFERROR(Regiones[[#This Row],[Aten &lt; 20 seg]]/Regiones[[#This Row],[Contestadas]],"")</f>
        <v>0.7911111111111111</v>
      </c>
      <c r="P65" s="13">
        <f>IFERROR(Regiones[[#This Row],[AHT]]*86400,"error")</f>
        <v>348</v>
      </c>
      <c r="Q65" s="13" t="str">
        <f>+VLOOKUP(Regiones[[#This Row],[Cola]],Tabla6[#Data],2,0)</f>
        <v>BUPA</v>
      </c>
      <c r="R65" s="13" t="e">
        <f>+VLOOKUP(Regiones[[#This Row],[Cola]],Tabla68[],2,0)</f>
        <v>#N/A</v>
      </c>
    </row>
    <row r="66" spans="2:18" x14ac:dyDescent="0.3">
      <c r="B66" s="6">
        <v>46204</v>
      </c>
      <c r="C66" s="14">
        <v>0.52083333333333337</v>
      </c>
      <c r="D66" t="s">
        <v>53</v>
      </c>
      <c r="E66" t="s">
        <v>18</v>
      </c>
      <c r="F66">
        <v>2</v>
      </c>
      <c r="G66">
        <v>2</v>
      </c>
      <c r="H66">
        <v>0</v>
      </c>
      <c r="I66" s="2">
        <v>0.5</v>
      </c>
      <c r="J66" s="14">
        <v>4.363425925925926E-3</v>
      </c>
      <c r="K66" s="6">
        <f>INT(Regiones[[#This Row],[Fecha]])</f>
        <v>46204</v>
      </c>
      <c r="L66" s="10">
        <f>IFERROR(Regiones[[#This Row],[Contestadas]]/Regiones[[#This Row],[Ofrecidas]],"")</f>
        <v>1</v>
      </c>
      <c r="M66" s="7">
        <f>IFERROR(Regiones[[#This Row],[Ofrecidas]]*Regiones[[#This Row],[% de nivel de servicio]],"")</f>
        <v>1</v>
      </c>
      <c r="N66" s="7"/>
      <c r="O66" s="12">
        <f>IFERROR(Regiones[[#This Row],[Aten &lt; 20 seg]]/Regiones[[#This Row],[Contestadas]],"")</f>
        <v>0.5</v>
      </c>
      <c r="P66" s="13">
        <f>IFERROR(Regiones[[#This Row],[AHT]]*86400,"error")</f>
        <v>377</v>
      </c>
      <c r="Q66" s="13" t="str">
        <f>+VLOOKUP(Regiones[[#This Row],[Cola]],Tabla6[#Data],2,0)</f>
        <v>BUPA</v>
      </c>
      <c r="R66" s="13" t="e">
        <f>+VLOOKUP(Regiones[[#This Row],[Cola]],Tabla68[],2,0)</f>
        <v>#N/A</v>
      </c>
    </row>
    <row r="67" spans="2:18" x14ac:dyDescent="0.3">
      <c r="B67" s="6">
        <v>46204</v>
      </c>
      <c r="C67" s="14">
        <v>0.52083333333333337</v>
      </c>
      <c r="D67" t="s">
        <v>49</v>
      </c>
      <c r="E67" t="s">
        <v>18</v>
      </c>
      <c r="F67">
        <v>3</v>
      </c>
      <c r="G67">
        <v>4</v>
      </c>
      <c r="H67">
        <v>0</v>
      </c>
      <c r="I67" s="2">
        <v>0.25</v>
      </c>
      <c r="J67" s="14">
        <v>4.2245370370370371E-3</v>
      </c>
      <c r="K67" s="6">
        <f>INT(Regiones[[#This Row],[Fecha]])</f>
        <v>46204</v>
      </c>
      <c r="L67" s="10">
        <f>IFERROR(Regiones[[#This Row],[Contestadas]]/Regiones[[#This Row],[Ofrecidas]],"")</f>
        <v>1.3333333333333333</v>
      </c>
      <c r="M67" s="7">
        <f>IFERROR(Regiones[[#This Row],[Ofrecidas]]*Regiones[[#This Row],[% de nivel de servicio]],"")</f>
        <v>0.75</v>
      </c>
      <c r="N67" s="7"/>
      <c r="O67" s="12">
        <f>IFERROR(Regiones[[#This Row],[Aten &lt; 20 seg]]/Regiones[[#This Row],[Contestadas]],"")</f>
        <v>0.1875</v>
      </c>
      <c r="P67" s="13">
        <f>IFERROR(Regiones[[#This Row],[AHT]]*86400,"error")</f>
        <v>365</v>
      </c>
      <c r="Q67" s="13" t="str">
        <f>+VLOOKUP(Regiones[[#This Row],[Cola]],Tabla6[#Data],2,0)</f>
        <v>BUPA</v>
      </c>
      <c r="R67" s="13" t="e">
        <f>+VLOOKUP(Regiones[[#This Row],[Cola]],Tabla68[],2,0)</f>
        <v>#N/A</v>
      </c>
    </row>
    <row r="68" spans="2:18" x14ac:dyDescent="0.3">
      <c r="B68" s="6">
        <v>46204</v>
      </c>
      <c r="C68" s="14">
        <v>0.52083333333333337</v>
      </c>
      <c r="D68" t="s">
        <v>57</v>
      </c>
      <c r="E68" t="s">
        <v>18</v>
      </c>
      <c r="F68">
        <v>0</v>
      </c>
      <c r="G68">
        <v>0</v>
      </c>
      <c r="H68">
        <v>0</v>
      </c>
      <c r="I68" s="2" t="s">
        <v>20</v>
      </c>
      <c r="J68" s="14">
        <v>8.2638888888888883E-3</v>
      </c>
      <c r="K68" s="6">
        <f>INT(Regiones[[#This Row],[Fecha]])</f>
        <v>46204</v>
      </c>
      <c r="L68" s="10" t="str">
        <f>IFERROR(Regiones[[#This Row],[Contestadas]]/Regiones[[#This Row],[Ofrecidas]],"")</f>
        <v/>
      </c>
      <c r="M68" s="7" t="str">
        <f>IFERROR(Regiones[[#This Row],[Ofrecidas]]*Regiones[[#This Row],[% de nivel de servicio]],"")</f>
        <v/>
      </c>
      <c r="N68" s="7"/>
      <c r="O68" s="12" t="str">
        <f>IFERROR(Regiones[[#This Row],[Aten &lt; 20 seg]]/Regiones[[#This Row],[Contestadas]],"")</f>
        <v/>
      </c>
      <c r="P68" s="13">
        <f>IFERROR(Regiones[[#This Row],[AHT]]*86400,"error")</f>
        <v>714</v>
      </c>
      <c r="Q68" s="13" t="str">
        <f>+VLOOKUP(Regiones[[#This Row],[Cola]],Tabla6[#Data],2,0)</f>
        <v>BUPA</v>
      </c>
      <c r="R68" s="13" t="e">
        <f>+VLOOKUP(Regiones[[#This Row],[Cola]],Tabla68[],2,0)</f>
        <v>#N/A</v>
      </c>
    </row>
    <row r="69" spans="2:18" x14ac:dyDescent="0.3">
      <c r="B69" s="6">
        <v>46204</v>
      </c>
      <c r="C69" s="14">
        <v>0.52083333333333337</v>
      </c>
      <c r="D69" t="s">
        <v>50</v>
      </c>
      <c r="E69" t="s">
        <v>18</v>
      </c>
      <c r="F69">
        <v>2</v>
      </c>
      <c r="G69">
        <v>2</v>
      </c>
      <c r="H69">
        <v>0</v>
      </c>
      <c r="I69" s="2">
        <v>1</v>
      </c>
      <c r="J69" s="14">
        <v>5.4282407407407404E-3</v>
      </c>
      <c r="K69" s="6">
        <f>INT(Regiones[[#This Row],[Fecha]])</f>
        <v>46204</v>
      </c>
      <c r="L69" s="10">
        <f>IFERROR(Regiones[[#This Row],[Contestadas]]/Regiones[[#This Row],[Ofrecidas]],"")</f>
        <v>1</v>
      </c>
      <c r="M69" s="7">
        <f>IFERROR(Regiones[[#This Row],[Ofrecidas]]*Regiones[[#This Row],[% de nivel de servicio]],"")</f>
        <v>2</v>
      </c>
      <c r="N69" s="7"/>
      <c r="O69" s="12">
        <f>IFERROR(Regiones[[#This Row],[Aten &lt; 20 seg]]/Regiones[[#This Row],[Contestadas]],"")</f>
        <v>1</v>
      </c>
      <c r="P69" s="13">
        <f>IFERROR(Regiones[[#This Row],[AHT]]*86400,"error")</f>
        <v>469</v>
      </c>
      <c r="Q69" s="13" t="str">
        <f>+VLOOKUP(Regiones[[#This Row],[Cola]],Tabla6[#Data],2,0)</f>
        <v>BUPA</v>
      </c>
      <c r="R69" s="13" t="e">
        <f>+VLOOKUP(Regiones[[#This Row],[Cola]],Tabla68[],2,0)</f>
        <v>#N/A</v>
      </c>
    </row>
    <row r="70" spans="2:18" x14ac:dyDescent="0.3">
      <c r="B70" s="6">
        <v>46204</v>
      </c>
      <c r="C70" s="14">
        <v>0.52083333333333337</v>
      </c>
      <c r="D70" t="s">
        <v>52</v>
      </c>
      <c r="E70" t="s">
        <v>18</v>
      </c>
      <c r="F70">
        <v>1</v>
      </c>
      <c r="G70">
        <v>1</v>
      </c>
      <c r="H70">
        <v>0</v>
      </c>
      <c r="I70" s="2">
        <v>0</v>
      </c>
      <c r="J70" s="14">
        <v>4.9189814814814816E-3</v>
      </c>
      <c r="K70" s="6">
        <f>INT(Regiones[[#This Row],[Fecha]])</f>
        <v>46204</v>
      </c>
      <c r="L70" s="10">
        <f>IFERROR(Regiones[[#This Row],[Contestadas]]/Regiones[[#This Row],[Ofrecidas]],"")</f>
        <v>1</v>
      </c>
      <c r="M70" s="7">
        <f>IFERROR(Regiones[[#This Row],[Ofrecidas]]*Regiones[[#This Row],[% de nivel de servicio]],"")</f>
        <v>0</v>
      </c>
      <c r="N70" s="7"/>
      <c r="O70" s="12">
        <f>IFERROR(Regiones[[#This Row],[Aten &lt; 20 seg]]/Regiones[[#This Row],[Contestadas]],"")</f>
        <v>0</v>
      </c>
      <c r="P70" s="13">
        <f>IFERROR(Regiones[[#This Row],[AHT]]*86400,"error")</f>
        <v>425</v>
      </c>
      <c r="Q70" s="13" t="str">
        <f>+VLOOKUP(Regiones[[#This Row],[Cola]],Tabla6[#Data],2,0)</f>
        <v>BUPA</v>
      </c>
      <c r="R70" s="13" t="e">
        <f>+VLOOKUP(Regiones[[#This Row],[Cola]],Tabla68[],2,0)</f>
        <v>#N/A</v>
      </c>
    </row>
    <row r="71" spans="2:18" x14ac:dyDescent="0.3">
      <c r="B71" s="6">
        <v>46204</v>
      </c>
      <c r="C71" s="14">
        <v>0.54166666666666663</v>
      </c>
      <c r="D71" t="s">
        <v>50</v>
      </c>
      <c r="E71" t="s">
        <v>18</v>
      </c>
      <c r="F71">
        <v>4</v>
      </c>
      <c r="G71">
        <v>3</v>
      </c>
      <c r="H71">
        <v>1</v>
      </c>
      <c r="I71" s="2">
        <v>0</v>
      </c>
      <c r="J71" s="14">
        <v>8.9236111111111113E-3</v>
      </c>
      <c r="K71" s="6">
        <f>INT(Regiones[[#This Row],[Fecha]])</f>
        <v>46204</v>
      </c>
      <c r="L71" s="10">
        <f>IFERROR(Regiones[[#This Row],[Contestadas]]/Regiones[[#This Row],[Ofrecidas]],"")</f>
        <v>0.75</v>
      </c>
      <c r="M71" s="7">
        <f>IFERROR(Regiones[[#This Row],[Ofrecidas]]*Regiones[[#This Row],[% de nivel de servicio]],"")</f>
        <v>0</v>
      </c>
      <c r="N71" s="7"/>
      <c r="O71" s="12">
        <f>IFERROR(Regiones[[#This Row],[Aten &lt; 20 seg]]/Regiones[[#This Row],[Contestadas]],"")</f>
        <v>0</v>
      </c>
      <c r="P71" s="13">
        <f>IFERROR(Regiones[[#This Row],[AHT]]*86400,"error")</f>
        <v>771</v>
      </c>
      <c r="Q71" s="13" t="str">
        <f>+VLOOKUP(Regiones[[#This Row],[Cola]],Tabla6[#Data],2,0)</f>
        <v>BUPA</v>
      </c>
      <c r="R71" s="13" t="e">
        <f>+VLOOKUP(Regiones[[#This Row],[Cola]],Tabla68[],2,0)</f>
        <v>#N/A</v>
      </c>
    </row>
    <row r="72" spans="2:18" x14ac:dyDescent="0.3">
      <c r="B72" s="6">
        <v>46204</v>
      </c>
      <c r="C72" s="14">
        <v>0.54166666666666663</v>
      </c>
      <c r="D72" t="s">
        <v>52</v>
      </c>
      <c r="E72" t="s">
        <v>18</v>
      </c>
      <c r="F72">
        <v>1</v>
      </c>
      <c r="G72">
        <v>1</v>
      </c>
      <c r="H72">
        <v>0</v>
      </c>
      <c r="I72" s="2">
        <v>0</v>
      </c>
      <c r="J72" s="14" t="s">
        <v>19</v>
      </c>
      <c r="K72" s="6">
        <f>INT(Regiones[[#This Row],[Fecha]])</f>
        <v>46204</v>
      </c>
      <c r="L72" s="10">
        <f>IFERROR(Regiones[[#This Row],[Contestadas]]/Regiones[[#This Row],[Ofrecidas]],"")</f>
        <v>1</v>
      </c>
      <c r="M72" s="7">
        <f>IFERROR(Regiones[[#This Row],[Ofrecidas]]*Regiones[[#This Row],[% de nivel de servicio]],"")</f>
        <v>0</v>
      </c>
      <c r="N72" s="7"/>
      <c r="O72" s="12">
        <f>IFERROR(Regiones[[#This Row],[Aten &lt; 20 seg]]/Regiones[[#This Row],[Contestadas]],"")</f>
        <v>0</v>
      </c>
      <c r="P72" s="13" t="str">
        <f>IFERROR(Regiones[[#This Row],[AHT]]*86400,"error")</f>
        <v>error</v>
      </c>
      <c r="Q72" s="13" t="str">
        <f>+VLOOKUP(Regiones[[#This Row],[Cola]],Tabla6[#Data],2,0)</f>
        <v>BUPA</v>
      </c>
      <c r="R72" s="13" t="e">
        <f>+VLOOKUP(Regiones[[#This Row],[Cola]],Tabla68[],2,0)</f>
        <v>#N/A</v>
      </c>
    </row>
    <row r="73" spans="2:18" x14ac:dyDescent="0.3">
      <c r="B73" s="6">
        <v>46204</v>
      </c>
      <c r="C73" s="14">
        <v>0.54166666666666663</v>
      </c>
      <c r="D73" t="s">
        <v>49</v>
      </c>
      <c r="E73" t="s">
        <v>18</v>
      </c>
      <c r="F73">
        <v>0</v>
      </c>
      <c r="G73">
        <v>0</v>
      </c>
      <c r="H73">
        <v>0</v>
      </c>
      <c r="I73" s="2" t="s">
        <v>20</v>
      </c>
      <c r="J73" s="14">
        <v>4.0046296296296297E-3</v>
      </c>
      <c r="K73" s="6">
        <f>INT(Regiones[[#This Row],[Fecha]])</f>
        <v>46204</v>
      </c>
      <c r="L73" s="10" t="str">
        <f>IFERROR(Regiones[[#This Row],[Contestadas]]/Regiones[[#This Row],[Ofrecidas]],"")</f>
        <v/>
      </c>
      <c r="M73" s="7" t="str">
        <f>IFERROR(Regiones[[#This Row],[Ofrecidas]]*Regiones[[#This Row],[% de nivel de servicio]],"")</f>
        <v/>
      </c>
      <c r="N73" s="7"/>
      <c r="O73" s="12" t="str">
        <f>IFERROR(Regiones[[#This Row],[Aten &lt; 20 seg]]/Regiones[[#This Row],[Contestadas]],"")</f>
        <v/>
      </c>
      <c r="P73" s="13">
        <f>IFERROR(Regiones[[#This Row],[AHT]]*86400,"error")</f>
        <v>346</v>
      </c>
      <c r="Q73" s="13" t="str">
        <f>+VLOOKUP(Regiones[[#This Row],[Cola]],Tabla6[#Data],2,0)</f>
        <v>BUPA</v>
      </c>
      <c r="R73" s="13" t="e">
        <f>+VLOOKUP(Regiones[[#This Row],[Cola]],Tabla68[],2,0)</f>
        <v>#N/A</v>
      </c>
    </row>
    <row r="74" spans="2:18" x14ac:dyDescent="0.3">
      <c r="B74" s="6">
        <v>46204</v>
      </c>
      <c r="C74" s="14">
        <v>0.54166666666666663</v>
      </c>
      <c r="D74" t="s">
        <v>48</v>
      </c>
      <c r="E74" t="s">
        <v>18</v>
      </c>
      <c r="F74">
        <v>9</v>
      </c>
      <c r="G74">
        <v>7</v>
      </c>
      <c r="H74">
        <v>1</v>
      </c>
      <c r="I74" s="2">
        <v>0.25</v>
      </c>
      <c r="J74" s="14">
        <v>4.7453703703703703E-3</v>
      </c>
      <c r="K74" s="6">
        <f>INT(Regiones[[#This Row],[Fecha]])</f>
        <v>46204</v>
      </c>
      <c r="L74" s="10">
        <f>IFERROR(Regiones[[#This Row],[Contestadas]]/Regiones[[#This Row],[Ofrecidas]],"")</f>
        <v>0.77777777777777779</v>
      </c>
      <c r="M74" s="7">
        <f>IFERROR(Regiones[[#This Row],[Ofrecidas]]*Regiones[[#This Row],[% de nivel de servicio]],"")</f>
        <v>2.25</v>
      </c>
      <c r="N74" s="7"/>
      <c r="O74" s="12">
        <f>IFERROR(Regiones[[#This Row],[Aten &lt; 20 seg]]/Regiones[[#This Row],[Contestadas]],"")</f>
        <v>0.32142857142857145</v>
      </c>
      <c r="P74" s="13">
        <f>IFERROR(Regiones[[#This Row],[AHT]]*86400,"error")</f>
        <v>410</v>
      </c>
      <c r="Q74" s="13" t="str">
        <f>+VLOOKUP(Regiones[[#This Row],[Cola]],Tabla6[#Data],2,0)</f>
        <v>BUPA</v>
      </c>
      <c r="R74" s="13" t="e">
        <f>+VLOOKUP(Regiones[[#This Row],[Cola]],Tabla68[],2,0)</f>
        <v>#N/A</v>
      </c>
    </row>
    <row r="75" spans="2:18" x14ac:dyDescent="0.3">
      <c r="B75" s="6">
        <v>46204</v>
      </c>
      <c r="C75" s="14">
        <v>0.54166666666666663</v>
      </c>
      <c r="D75" t="s">
        <v>53</v>
      </c>
      <c r="E75" t="s">
        <v>18</v>
      </c>
      <c r="F75">
        <v>1</v>
      </c>
      <c r="G75">
        <v>1</v>
      </c>
      <c r="H75">
        <v>0</v>
      </c>
      <c r="I75" s="2">
        <v>0</v>
      </c>
      <c r="J75" s="14">
        <v>5.185185185185185E-3</v>
      </c>
      <c r="K75" s="6">
        <f>INT(Regiones[[#This Row],[Fecha]])</f>
        <v>46204</v>
      </c>
      <c r="L75" s="10">
        <f>IFERROR(Regiones[[#This Row],[Contestadas]]/Regiones[[#This Row],[Ofrecidas]],"")</f>
        <v>1</v>
      </c>
      <c r="M75" s="7">
        <f>IFERROR(Regiones[[#This Row],[Ofrecidas]]*Regiones[[#This Row],[% de nivel de servicio]],"")</f>
        <v>0</v>
      </c>
      <c r="N75" s="7"/>
      <c r="O75" s="12">
        <f>IFERROR(Regiones[[#This Row],[Aten &lt; 20 seg]]/Regiones[[#This Row],[Contestadas]],"")</f>
        <v>0</v>
      </c>
      <c r="P75" s="13">
        <f>IFERROR(Regiones[[#This Row],[AHT]]*86400,"error")</f>
        <v>448</v>
      </c>
      <c r="Q75" s="13" t="str">
        <f>+VLOOKUP(Regiones[[#This Row],[Cola]],Tabla6[#Data],2,0)</f>
        <v>BUPA</v>
      </c>
      <c r="R75" s="13" t="e">
        <f>+VLOOKUP(Regiones[[#This Row],[Cola]],Tabla68[],2,0)</f>
        <v>#N/A</v>
      </c>
    </row>
    <row r="76" spans="2:18" x14ac:dyDescent="0.3">
      <c r="B76" s="6">
        <v>46204</v>
      </c>
      <c r="C76" s="14">
        <v>0.54166666666666663</v>
      </c>
      <c r="D76" t="s">
        <v>46</v>
      </c>
      <c r="E76" t="s">
        <v>18</v>
      </c>
      <c r="F76">
        <v>3</v>
      </c>
      <c r="G76">
        <v>2</v>
      </c>
      <c r="H76">
        <v>1</v>
      </c>
      <c r="I76" s="2">
        <v>0.33</v>
      </c>
      <c r="J76" s="14">
        <v>6.4467592592592588E-3</v>
      </c>
      <c r="K76" s="6">
        <f>INT(Regiones[[#This Row],[Fecha]])</f>
        <v>46204</v>
      </c>
      <c r="L76" s="10">
        <f>IFERROR(Regiones[[#This Row],[Contestadas]]/Regiones[[#This Row],[Ofrecidas]],"")</f>
        <v>0.66666666666666663</v>
      </c>
      <c r="M76" s="7">
        <f>IFERROR(Regiones[[#This Row],[Ofrecidas]]*Regiones[[#This Row],[% de nivel de servicio]],"")</f>
        <v>0.99</v>
      </c>
      <c r="N76" s="7"/>
      <c r="O76" s="12">
        <f>IFERROR(Regiones[[#This Row],[Aten &lt; 20 seg]]/Regiones[[#This Row],[Contestadas]],"")</f>
        <v>0.495</v>
      </c>
      <c r="P76" s="13">
        <f>IFERROR(Regiones[[#This Row],[AHT]]*86400,"error")</f>
        <v>557</v>
      </c>
      <c r="Q76" s="13" t="str">
        <f>+VLOOKUP(Regiones[[#This Row],[Cola]],Tabla6[#Data],2,0)</f>
        <v>BUPA</v>
      </c>
      <c r="R76" s="13" t="e">
        <f>+VLOOKUP(Regiones[[#This Row],[Cola]],Tabla68[],2,0)</f>
        <v>#N/A</v>
      </c>
    </row>
    <row r="77" spans="2:18" x14ac:dyDescent="0.3">
      <c r="B77" s="6">
        <v>46204</v>
      </c>
      <c r="C77" s="14">
        <v>0.54166666666666663</v>
      </c>
      <c r="D77" t="s">
        <v>47</v>
      </c>
      <c r="E77" t="s">
        <v>18</v>
      </c>
      <c r="F77">
        <v>18</v>
      </c>
      <c r="G77">
        <v>16</v>
      </c>
      <c r="H77">
        <v>2</v>
      </c>
      <c r="I77" s="2">
        <v>0.44</v>
      </c>
      <c r="J77" s="14">
        <v>6.7129629629629631E-3</v>
      </c>
      <c r="K77" s="6">
        <f>INT(Regiones[[#This Row],[Fecha]])</f>
        <v>46204</v>
      </c>
      <c r="L77" s="10">
        <f>IFERROR(Regiones[[#This Row],[Contestadas]]/Regiones[[#This Row],[Ofrecidas]],"")</f>
        <v>0.88888888888888884</v>
      </c>
      <c r="M77" s="7">
        <f>IFERROR(Regiones[[#This Row],[Ofrecidas]]*Regiones[[#This Row],[% de nivel de servicio]],"")</f>
        <v>7.92</v>
      </c>
      <c r="N77" s="7"/>
      <c r="O77" s="12">
        <f>IFERROR(Regiones[[#This Row],[Aten &lt; 20 seg]]/Regiones[[#This Row],[Contestadas]],"")</f>
        <v>0.495</v>
      </c>
      <c r="P77" s="13">
        <f>IFERROR(Regiones[[#This Row],[AHT]]*86400,"error")</f>
        <v>580</v>
      </c>
      <c r="Q77" s="13" t="str">
        <f>+VLOOKUP(Regiones[[#This Row],[Cola]],Tabla6[#Data],2,0)</f>
        <v>BUPA</v>
      </c>
      <c r="R77" s="13" t="e">
        <f>+VLOOKUP(Regiones[[#This Row],[Cola]],Tabla68[],2,0)</f>
        <v>#N/A</v>
      </c>
    </row>
    <row r="78" spans="2:18" x14ac:dyDescent="0.3">
      <c r="B78" s="6">
        <v>46204</v>
      </c>
      <c r="C78" s="14">
        <v>0.5625</v>
      </c>
      <c r="D78" t="s">
        <v>54</v>
      </c>
      <c r="E78" t="s">
        <v>18</v>
      </c>
      <c r="F78">
        <v>1</v>
      </c>
      <c r="G78">
        <v>1</v>
      </c>
      <c r="H78">
        <v>0</v>
      </c>
      <c r="I78" s="2">
        <v>0</v>
      </c>
      <c r="J78" s="14">
        <v>3.8078703703703703E-3</v>
      </c>
      <c r="K78" s="6">
        <f>INT(Regiones[[#This Row],[Fecha]])</f>
        <v>46204</v>
      </c>
      <c r="L78" s="10">
        <f>IFERROR(Regiones[[#This Row],[Contestadas]]/Regiones[[#This Row],[Ofrecidas]],"")</f>
        <v>1</v>
      </c>
      <c r="M78" s="7">
        <f>IFERROR(Regiones[[#This Row],[Ofrecidas]]*Regiones[[#This Row],[% de nivel de servicio]],"")</f>
        <v>0</v>
      </c>
      <c r="N78" s="7"/>
      <c r="O78" s="12">
        <f>IFERROR(Regiones[[#This Row],[Aten &lt; 20 seg]]/Regiones[[#This Row],[Contestadas]],"")</f>
        <v>0</v>
      </c>
      <c r="P78" s="13">
        <f>IFERROR(Regiones[[#This Row],[AHT]]*86400,"error")</f>
        <v>329</v>
      </c>
      <c r="Q78" s="13" t="str">
        <f>+VLOOKUP(Regiones[[#This Row],[Cola]],Tabla6[#Data],2,0)</f>
        <v>BUPA</v>
      </c>
      <c r="R78" s="13" t="e">
        <f>+VLOOKUP(Regiones[[#This Row],[Cola]],Tabla68[],2,0)</f>
        <v>#N/A</v>
      </c>
    </row>
    <row r="79" spans="2:18" x14ac:dyDescent="0.3">
      <c r="B79" s="6">
        <v>46204</v>
      </c>
      <c r="C79" s="14">
        <v>0.5625</v>
      </c>
      <c r="D79" t="s">
        <v>56</v>
      </c>
      <c r="E79" t="s">
        <v>18</v>
      </c>
      <c r="F79">
        <v>1</v>
      </c>
      <c r="G79">
        <v>1</v>
      </c>
      <c r="H79">
        <v>0</v>
      </c>
      <c r="I79" s="2">
        <v>0</v>
      </c>
      <c r="J79" s="14">
        <v>5.2546296296296299E-3</v>
      </c>
      <c r="K79" s="6">
        <f>INT(Regiones[[#This Row],[Fecha]])</f>
        <v>46204</v>
      </c>
      <c r="L79" s="10">
        <f>IFERROR(Regiones[[#This Row],[Contestadas]]/Regiones[[#This Row],[Ofrecidas]],"")</f>
        <v>1</v>
      </c>
      <c r="M79" s="7">
        <f>IFERROR(Regiones[[#This Row],[Ofrecidas]]*Regiones[[#This Row],[% de nivel de servicio]],"")</f>
        <v>0</v>
      </c>
      <c r="N79" s="7"/>
      <c r="O79" s="12">
        <f>IFERROR(Regiones[[#This Row],[Aten &lt; 20 seg]]/Regiones[[#This Row],[Contestadas]],"")</f>
        <v>0</v>
      </c>
      <c r="P79" s="13">
        <f>IFERROR(Regiones[[#This Row],[AHT]]*86400,"error")</f>
        <v>454</v>
      </c>
      <c r="Q79" s="13" t="str">
        <f>+VLOOKUP(Regiones[[#This Row],[Cola]],Tabla6[#Data],2,0)</f>
        <v>BUPA</v>
      </c>
      <c r="R79" s="13" t="e">
        <f>+VLOOKUP(Regiones[[#This Row],[Cola]],Tabla68[],2,0)</f>
        <v>#N/A</v>
      </c>
    </row>
    <row r="80" spans="2:18" x14ac:dyDescent="0.3">
      <c r="B80" s="6">
        <v>46204</v>
      </c>
      <c r="C80" s="14">
        <v>0.5625</v>
      </c>
      <c r="D80" t="s">
        <v>48</v>
      </c>
      <c r="E80" t="s">
        <v>18</v>
      </c>
      <c r="F80">
        <v>5</v>
      </c>
      <c r="G80">
        <v>6</v>
      </c>
      <c r="H80">
        <v>0</v>
      </c>
      <c r="I80" s="2">
        <v>0.83</v>
      </c>
      <c r="J80" s="14">
        <v>6.7708333333333336E-3</v>
      </c>
      <c r="K80" s="6">
        <f>INT(Regiones[[#This Row],[Fecha]])</f>
        <v>46204</v>
      </c>
      <c r="L80" s="10">
        <f>IFERROR(Regiones[[#This Row],[Contestadas]]/Regiones[[#This Row],[Ofrecidas]],"")</f>
        <v>1.2</v>
      </c>
      <c r="M80" s="7">
        <f>IFERROR(Regiones[[#This Row],[Ofrecidas]]*Regiones[[#This Row],[% de nivel de servicio]],"")</f>
        <v>4.1499999999999995</v>
      </c>
      <c r="N80" s="7"/>
      <c r="O80" s="12">
        <f>IFERROR(Regiones[[#This Row],[Aten &lt; 20 seg]]/Regiones[[#This Row],[Contestadas]],"")</f>
        <v>0.69166666666666654</v>
      </c>
      <c r="P80" s="13">
        <f>IFERROR(Regiones[[#This Row],[AHT]]*86400,"error")</f>
        <v>585</v>
      </c>
      <c r="Q80" s="13" t="str">
        <f>+VLOOKUP(Regiones[[#This Row],[Cola]],Tabla6[#Data],2,0)</f>
        <v>BUPA</v>
      </c>
      <c r="R80" s="13" t="e">
        <f>+VLOOKUP(Regiones[[#This Row],[Cola]],Tabla68[],2,0)</f>
        <v>#N/A</v>
      </c>
    </row>
    <row r="81" spans="2:18" x14ac:dyDescent="0.3">
      <c r="B81" s="6">
        <v>46204</v>
      </c>
      <c r="C81" s="14">
        <v>0.5625</v>
      </c>
      <c r="D81" t="s">
        <v>46</v>
      </c>
      <c r="E81" t="s">
        <v>18</v>
      </c>
      <c r="F81">
        <v>5</v>
      </c>
      <c r="G81">
        <v>5</v>
      </c>
      <c r="H81">
        <v>0</v>
      </c>
      <c r="I81" s="2">
        <v>0.8</v>
      </c>
      <c r="J81" s="14">
        <v>4.2129629629629626E-3</v>
      </c>
      <c r="K81" s="6">
        <f>INT(Regiones[[#This Row],[Fecha]])</f>
        <v>46204</v>
      </c>
      <c r="L81" s="10">
        <f>IFERROR(Regiones[[#This Row],[Contestadas]]/Regiones[[#This Row],[Ofrecidas]],"")</f>
        <v>1</v>
      </c>
      <c r="M81" s="7">
        <f>IFERROR(Regiones[[#This Row],[Ofrecidas]]*Regiones[[#This Row],[% de nivel de servicio]],"")</f>
        <v>4</v>
      </c>
      <c r="N81" s="7"/>
      <c r="O81" s="12">
        <f>IFERROR(Regiones[[#This Row],[Aten &lt; 20 seg]]/Regiones[[#This Row],[Contestadas]],"")</f>
        <v>0.8</v>
      </c>
      <c r="P81" s="13">
        <f>IFERROR(Regiones[[#This Row],[AHT]]*86400,"error")</f>
        <v>363.99999999999994</v>
      </c>
      <c r="Q81" s="13" t="str">
        <f>+VLOOKUP(Regiones[[#This Row],[Cola]],Tabla6[#Data],2,0)</f>
        <v>BUPA</v>
      </c>
      <c r="R81" s="13" t="e">
        <f>+VLOOKUP(Regiones[[#This Row],[Cola]],Tabla68[],2,0)</f>
        <v>#N/A</v>
      </c>
    </row>
    <row r="82" spans="2:18" x14ac:dyDescent="0.3">
      <c r="B82" s="6">
        <v>46204</v>
      </c>
      <c r="C82" s="14">
        <v>0.5625</v>
      </c>
      <c r="D82" t="s">
        <v>47</v>
      </c>
      <c r="E82" t="s">
        <v>18</v>
      </c>
      <c r="F82">
        <v>14</v>
      </c>
      <c r="G82">
        <v>14</v>
      </c>
      <c r="H82">
        <v>0</v>
      </c>
      <c r="I82" s="2">
        <v>0.86</v>
      </c>
      <c r="J82" s="14">
        <v>4.4907407407407405E-3</v>
      </c>
      <c r="K82" s="6">
        <f>INT(Regiones[[#This Row],[Fecha]])</f>
        <v>46204</v>
      </c>
      <c r="L82" s="10">
        <f>IFERROR(Regiones[[#This Row],[Contestadas]]/Regiones[[#This Row],[Ofrecidas]],"")</f>
        <v>1</v>
      </c>
      <c r="M82" s="7">
        <f>IFERROR(Regiones[[#This Row],[Ofrecidas]]*Regiones[[#This Row],[% de nivel de servicio]],"")</f>
        <v>12.04</v>
      </c>
      <c r="N82" s="7"/>
      <c r="O82" s="12">
        <f>IFERROR(Regiones[[#This Row],[Aten &lt; 20 seg]]/Regiones[[#This Row],[Contestadas]],"")</f>
        <v>0.86</v>
      </c>
      <c r="P82" s="13">
        <f>IFERROR(Regiones[[#This Row],[AHT]]*86400,"error")</f>
        <v>388</v>
      </c>
      <c r="Q82" s="13" t="str">
        <f>+VLOOKUP(Regiones[[#This Row],[Cola]],Tabla6[#Data],2,0)</f>
        <v>BUPA</v>
      </c>
      <c r="R82" s="13" t="e">
        <f>+VLOOKUP(Regiones[[#This Row],[Cola]],Tabla68[],2,0)</f>
        <v>#N/A</v>
      </c>
    </row>
    <row r="83" spans="2:18" x14ac:dyDescent="0.3">
      <c r="B83" s="6">
        <v>46204</v>
      </c>
      <c r="C83" s="14">
        <v>0.5625</v>
      </c>
      <c r="D83" t="s">
        <v>57</v>
      </c>
      <c r="E83" t="s">
        <v>18</v>
      </c>
      <c r="F83">
        <v>1</v>
      </c>
      <c r="G83">
        <v>1</v>
      </c>
      <c r="H83">
        <v>0</v>
      </c>
      <c r="I83" s="2">
        <v>1</v>
      </c>
      <c r="J83" s="14">
        <v>5.5555555555555558E-3</v>
      </c>
      <c r="K83" s="6">
        <f>INT(Regiones[[#This Row],[Fecha]])</f>
        <v>46204</v>
      </c>
      <c r="L83" s="10">
        <f>IFERROR(Regiones[[#This Row],[Contestadas]]/Regiones[[#This Row],[Ofrecidas]],"")</f>
        <v>1</v>
      </c>
      <c r="M83" s="7">
        <f>IFERROR(Regiones[[#This Row],[Ofrecidas]]*Regiones[[#This Row],[% de nivel de servicio]],"")</f>
        <v>1</v>
      </c>
      <c r="N83" s="7"/>
      <c r="O83" s="12">
        <f>IFERROR(Regiones[[#This Row],[Aten &lt; 20 seg]]/Regiones[[#This Row],[Contestadas]],"")</f>
        <v>1</v>
      </c>
      <c r="P83" s="13">
        <f>IFERROR(Regiones[[#This Row],[AHT]]*86400,"error")</f>
        <v>480</v>
      </c>
      <c r="Q83" s="13" t="str">
        <f>+VLOOKUP(Regiones[[#This Row],[Cola]],Tabla6[#Data],2,0)</f>
        <v>BUPA</v>
      </c>
      <c r="R83" s="13" t="e">
        <f>+VLOOKUP(Regiones[[#This Row],[Cola]],Tabla68[],2,0)</f>
        <v>#N/A</v>
      </c>
    </row>
    <row r="84" spans="2:18" x14ac:dyDescent="0.3">
      <c r="B84" s="6">
        <v>46204</v>
      </c>
      <c r="C84" s="14">
        <v>0.5625</v>
      </c>
      <c r="D84" t="s">
        <v>52</v>
      </c>
      <c r="E84" t="s">
        <v>18</v>
      </c>
      <c r="F84">
        <v>2</v>
      </c>
      <c r="G84">
        <v>2</v>
      </c>
      <c r="H84">
        <v>0</v>
      </c>
      <c r="I84" s="2">
        <v>1</v>
      </c>
      <c r="J84" s="14">
        <v>5.6249999999999998E-3</v>
      </c>
      <c r="K84" s="6">
        <f>INT(Regiones[[#This Row],[Fecha]])</f>
        <v>46204</v>
      </c>
      <c r="L84" s="10">
        <f>IFERROR(Regiones[[#This Row],[Contestadas]]/Regiones[[#This Row],[Ofrecidas]],"")</f>
        <v>1</v>
      </c>
      <c r="M84" s="7">
        <f>IFERROR(Regiones[[#This Row],[Ofrecidas]]*Regiones[[#This Row],[% de nivel de servicio]],"")</f>
        <v>2</v>
      </c>
      <c r="N84" s="7"/>
      <c r="O84" s="12">
        <f>IFERROR(Regiones[[#This Row],[Aten &lt; 20 seg]]/Regiones[[#This Row],[Contestadas]],"")</f>
        <v>1</v>
      </c>
      <c r="P84" s="13">
        <f>IFERROR(Regiones[[#This Row],[AHT]]*86400,"error")</f>
        <v>486</v>
      </c>
      <c r="Q84" s="13" t="str">
        <f>+VLOOKUP(Regiones[[#This Row],[Cola]],Tabla6[#Data],2,0)</f>
        <v>BUPA</v>
      </c>
      <c r="R84" s="13" t="e">
        <f>+VLOOKUP(Regiones[[#This Row],[Cola]],Tabla68[],2,0)</f>
        <v>#N/A</v>
      </c>
    </row>
    <row r="85" spans="2:18" x14ac:dyDescent="0.3">
      <c r="B85" s="6">
        <v>46204</v>
      </c>
      <c r="C85" s="14">
        <v>0.5625</v>
      </c>
      <c r="D85" t="s">
        <v>50</v>
      </c>
      <c r="E85" t="s">
        <v>18</v>
      </c>
      <c r="F85">
        <v>1</v>
      </c>
      <c r="G85">
        <v>1</v>
      </c>
      <c r="H85">
        <v>0</v>
      </c>
      <c r="I85" s="2">
        <v>0</v>
      </c>
      <c r="J85" s="14">
        <v>9.3287037037037036E-3</v>
      </c>
      <c r="K85" s="6">
        <f>INT(Regiones[[#This Row],[Fecha]])</f>
        <v>46204</v>
      </c>
      <c r="L85" s="10">
        <f>IFERROR(Regiones[[#This Row],[Contestadas]]/Regiones[[#This Row],[Ofrecidas]],"")</f>
        <v>1</v>
      </c>
      <c r="M85" s="7">
        <f>IFERROR(Regiones[[#This Row],[Ofrecidas]]*Regiones[[#This Row],[% de nivel de servicio]],"")</f>
        <v>0</v>
      </c>
      <c r="N85" s="7"/>
      <c r="O85" s="12">
        <f>IFERROR(Regiones[[#This Row],[Aten &lt; 20 seg]]/Regiones[[#This Row],[Contestadas]],"")</f>
        <v>0</v>
      </c>
      <c r="P85" s="13">
        <f>IFERROR(Regiones[[#This Row],[AHT]]*86400,"error")</f>
        <v>806</v>
      </c>
      <c r="Q85" s="13" t="str">
        <f>+VLOOKUP(Regiones[[#This Row],[Cola]],Tabla6[#Data],2,0)</f>
        <v>BUPA</v>
      </c>
      <c r="R85" s="13" t="e">
        <f>+VLOOKUP(Regiones[[#This Row],[Cola]],Tabla68[],2,0)</f>
        <v>#N/A</v>
      </c>
    </row>
    <row r="86" spans="2:18" x14ac:dyDescent="0.3">
      <c r="B86" s="6">
        <v>46204</v>
      </c>
      <c r="C86" s="14">
        <v>0.58333333333333337</v>
      </c>
      <c r="D86" t="s">
        <v>52</v>
      </c>
      <c r="E86" t="s">
        <v>18</v>
      </c>
      <c r="F86">
        <v>2</v>
      </c>
      <c r="G86">
        <v>2</v>
      </c>
      <c r="H86">
        <v>0</v>
      </c>
      <c r="I86" s="2">
        <v>0</v>
      </c>
      <c r="J86" s="14">
        <v>3.9351851851851848E-3</v>
      </c>
      <c r="K86" s="6">
        <f>INT(Regiones[[#This Row],[Fecha]])</f>
        <v>46204</v>
      </c>
      <c r="L86" s="10">
        <f>IFERROR(Regiones[[#This Row],[Contestadas]]/Regiones[[#This Row],[Ofrecidas]],"")</f>
        <v>1</v>
      </c>
      <c r="M86" s="7">
        <f>IFERROR(Regiones[[#This Row],[Ofrecidas]]*Regiones[[#This Row],[% de nivel de servicio]],"")</f>
        <v>0</v>
      </c>
      <c r="N86" s="7"/>
      <c r="O86" s="12">
        <f>IFERROR(Regiones[[#This Row],[Aten &lt; 20 seg]]/Regiones[[#This Row],[Contestadas]],"")</f>
        <v>0</v>
      </c>
      <c r="P86" s="13">
        <f>IFERROR(Regiones[[#This Row],[AHT]]*86400,"error")</f>
        <v>339.99999999999994</v>
      </c>
      <c r="Q86" s="13" t="str">
        <f>+VLOOKUP(Regiones[[#This Row],[Cola]],Tabla6[#Data],2,0)</f>
        <v>BUPA</v>
      </c>
      <c r="R86" s="13" t="e">
        <f>+VLOOKUP(Regiones[[#This Row],[Cola]],Tabla68[],2,0)</f>
        <v>#N/A</v>
      </c>
    </row>
    <row r="87" spans="2:18" x14ac:dyDescent="0.3">
      <c r="B87" s="6">
        <v>46204</v>
      </c>
      <c r="C87" s="14">
        <v>0.58333333333333337</v>
      </c>
      <c r="D87" t="s">
        <v>50</v>
      </c>
      <c r="E87" t="s">
        <v>18</v>
      </c>
      <c r="F87">
        <v>2</v>
      </c>
      <c r="G87">
        <v>2</v>
      </c>
      <c r="H87">
        <v>0</v>
      </c>
      <c r="I87" s="2">
        <v>0.5</v>
      </c>
      <c r="J87" s="14">
        <v>2.5347222222222221E-3</v>
      </c>
      <c r="K87" s="6">
        <f>INT(Regiones[[#This Row],[Fecha]])</f>
        <v>46204</v>
      </c>
      <c r="L87" s="10">
        <f>IFERROR(Regiones[[#This Row],[Contestadas]]/Regiones[[#This Row],[Ofrecidas]],"")</f>
        <v>1</v>
      </c>
      <c r="M87" s="7">
        <f>IFERROR(Regiones[[#This Row],[Ofrecidas]]*Regiones[[#This Row],[% de nivel de servicio]],"")</f>
        <v>1</v>
      </c>
      <c r="N87" s="7"/>
      <c r="O87" s="12">
        <f>IFERROR(Regiones[[#This Row],[Aten &lt; 20 seg]]/Regiones[[#This Row],[Contestadas]],"")</f>
        <v>0.5</v>
      </c>
      <c r="P87" s="13">
        <f>IFERROR(Regiones[[#This Row],[AHT]]*86400,"error")</f>
        <v>219</v>
      </c>
      <c r="Q87" s="13" t="str">
        <f>+VLOOKUP(Regiones[[#This Row],[Cola]],Tabla6[#Data],2,0)</f>
        <v>BUPA</v>
      </c>
      <c r="R87" s="13" t="e">
        <f>+VLOOKUP(Regiones[[#This Row],[Cola]],Tabla68[],2,0)</f>
        <v>#N/A</v>
      </c>
    </row>
    <row r="88" spans="2:18" x14ac:dyDescent="0.3">
      <c r="B88" s="6">
        <v>46204</v>
      </c>
      <c r="C88" s="14">
        <v>0.58333333333333337</v>
      </c>
      <c r="D88" t="s">
        <v>53</v>
      </c>
      <c r="E88" t="s">
        <v>18</v>
      </c>
      <c r="F88">
        <v>2</v>
      </c>
      <c r="G88">
        <v>2</v>
      </c>
      <c r="H88">
        <v>0</v>
      </c>
      <c r="I88" s="2">
        <v>0.5</v>
      </c>
      <c r="J88" s="14">
        <v>4.363425925925926E-3</v>
      </c>
      <c r="K88" s="6">
        <f>INT(Regiones[[#This Row],[Fecha]])</f>
        <v>46204</v>
      </c>
      <c r="L88" s="10">
        <f>IFERROR(Regiones[[#This Row],[Contestadas]]/Regiones[[#This Row],[Ofrecidas]],"")</f>
        <v>1</v>
      </c>
      <c r="M88" s="7">
        <f>IFERROR(Regiones[[#This Row],[Ofrecidas]]*Regiones[[#This Row],[% de nivel de servicio]],"")</f>
        <v>1</v>
      </c>
      <c r="N88" s="7"/>
      <c r="O88" s="12">
        <f>IFERROR(Regiones[[#This Row],[Aten &lt; 20 seg]]/Regiones[[#This Row],[Contestadas]],"")</f>
        <v>0.5</v>
      </c>
      <c r="P88" s="13">
        <f>IFERROR(Regiones[[#This Row],[AHT]]*86400,"error")</f>
        <v>377</v>
      </c>
      <c r="Q88" s="13" t="str">
        <f>+VLOOKUP(Regiones[[#This Row],[Cola]],Tabla6[#Data],2,0)</f>
        <v>BUPA</v>
      </c>
      <c r="R88" s="13" t="e">
        <f>+VLOOKUP(Regiones[[#This Row],[Cola]],Tabla68[],2,0)</f>
        <v>#N/A</v>
      </c>
    </row>
    <row r="89" spans="2:18" x14ac:dyDescent="0.3">
      <c r="B89" s="6">
        <v>46204</v>
      </c>
      <c r="C89" s="14">
        <v>0.58333333333333337</v>
      </c>
      <c r="D89" t="s">
        <v>55</v>
      </c>
      <c r="E89" t="s">
        <v>18</v>
      </c>
      <c r="F89">
        <v>1</v>
      </c>
      <c r="G89">
        <v>1</v>
      </c>
      <c r="H89">
        <v>0</v>
      </c>
      <c r="I89" s="2">
        <v>0</v>
      </c>
      <c r="J89" s="14" t="s">
        <v>19</v>
      </c>
      <c r="K89" s="6">
        <f>INT(Regiones[[#This Row],[Fecha]])</f>
        <v>46204</v>
      </c>
      <c r="L89" s="10">
        <f>IFERROR(Regiones[[#This Row],[Contestadas]]/Regiones[[#This Row],[Ofrecidas]],"")</f>
        <v>1</v>
      </c>
      <c r="M89" s="7">
        <f>IFERROR(Regiones[[#This Row],[Ofrecidas]]*Regiones[[#This Row],[% de nivel de servicio]],"")</f>
        <v>0</v>
      </c>
      <c r="N89" s="7"/>
      <c r="O89" s="12">
        <f>IFERROR(Regiones[[#This Row],[Aten &lt; 20 seg]]/Regiones[[#This Row],[Contestadas]],"")</f>
        <v>0</v>
      </c>
      <c r="P89" s="13" t="str">
        <f>IFERROR(Regiones[[#This Row],[AHT]]*86400,"error")</f>
        <v>error</v>
      </c>
      <c r="Q89" s="13" t="str">
        <f>+VLOOKUP(Regiones[[#This Row],[Cola]],Tabla6[#Data],2,0)</f>
        <v>BUPA</v>
      </c>
      <c r="R89" s="13" t="e">
        <f>+VLOOKUP(Regiones[[#This Row],[Cola]],Tabla68[],2,0)</f>
        <v>#N/A</v>
      </c>
    </row>
    <row r="90" spans="2:18" x14ac:dyDescent="0.3">
      <c r="B90" s="6">
        <v>46204</v>
      </c>
      <c r="C90" s="14">
        <v>0.58333333333333337</v>
      </c>
      <c r="D90" t="s">
        <v>46</v>
      </c>
      <c r="E90" t="s">
        <v>18</v>
      </c>
      <c r="F90">
        <v>11</v>
      </c>
      <c r="G90">
        <v>6</v>
      </c>
      <c r="H90">
        <v>4</v>
      </c>
      <c r="I90" s="2">
        <v>0.3</v>
      </c>
      <c r="J90" s="14">
        <v>4.6643518518518518E-3</v>
      </c>
      <c r="K90" s="6">
        <f>INT(Regiones[[#This Row],[Fecha]])</f>
        <v>46204</v>
      </c>
      <c r="L90" s="10">
        <f>IFERROR(Regiones[[#This Row],[Contestadas]]/Regiones[[#This Row],[Ofrecidas]],"")</f>
        <v>0.54545454545454541</v>
      </c>
      <c r="M90" s="7">
        <f>IFERROR(Regiones[[#This Row],[Ofrecidas]]*Regiones[[#This Row],[% de nivel de servicio]],"")</f>
        <v>3.3</v>
      </c>
      <c r="N90" s="7"/>
      <c r="O90" s="12">
        <f>IFERROR(Regiones[[#This Row],[Aten &lt; 20 seg]]/Regiones[[#This Row],[Contestadas]],"")</f>
        <v>0.54999999999999993</v>
      </c>
      <c r="P90" s="13">
        <f>IFERROR(Regiones[[#This Row],[AHT]]*86400,"error")</f>
        <v>403</v>
      </c>
      <c r="Q90" s="13" t="str">
        <f>+VLOOKUP(Regiones[[#This Row],[Cola]],Tabla6[#Data],2,0)</f>
        <v>BUPA</v>
      </c>
      <c r="R90" s="13" t="e">
        <f>+VLOOKUP(Regiones[[#This Row],[Cola]],Tabla68[],2,0)</f>
        <v>#N/A</v>
      </c>
    </row>
    <row r="91" spans="2:18" x14ac:dyDescent="0.3">
      <c r="B91" s="6">
        <v>46204</v>
      </c>
      <c r="C91" s="14">
        <v>0.58333333333333337</v>
      </c>
      <c r="D91" t="s">
        <v>47</v>
      </c>
      <c r="E91" t="s">
        <v>18</v>
      </c>
      <c r="F91">
        <v>16</v>
      </c>
      <c r="G91">
        <v>7</v>
      </c>
      <c r="H91">
        <v>6</v>
      </c>
      <c r="I91" s="2">
        <v>0</v>
      </c>
      <c r="J91" s="14">
        <v>6.9791666666666665E-3</v>
      </c>
      <c r="K91" s="6">
        <f>INT(Regiones[[#This Row],[Fecha]])</f>
        <v>46204</v>
      </c>
      <c r="L91" s="10">
        <f>IFERROR(Regiones[[#This Row],[Contestadas]]/Regiones[[#This Row],[Ofrecidas]],"")</f>
        <v>0.4375</v>
      </c>
      <c r="M91" s="7">
        <f>IFERROR(Regiones[[#This Row],[Ofrecidas]]*Regiones[[#This Row],[% de nivel de servicio]],"")</f>
        <v>0</v>
      </c>
      <c r="N91" s="7"/>
      <c r="O91" s="12">
        <f>IFERROR(Regiones[[#This Row],[Aten &lt; 20 seg]]/Regiones[[#This Row],[Contestadas]],"")</f>
        <v>0</v>
      </c>
      <c r="P91" s="13">
        <f>IFERROR(Regiones[[#This Row],[AHT]]*86400,"error")</f>
        <v>603</v>
      </c>
      <c r="Q91" s="13" t="str">
        <f>+VLOOKUP(Regiones[[#This Row],[Cola]],Tabla6[#Data],2,0)</f>
        <v>BUPA</v>
      </c>
      <c r="R91" s="13" t="e">
        <f>+VLOOKUP(Regiones[[#This Row],[Cola]],Tabla68[],2,0)</f>
        <v>#N/A</v>
      </c>
    </row>
    <row r="92" spans="2:18" x14ac:dyDescent="0.3">
      <c r="B92" s="6">
        <v>46204</v>
      </c>
      <c r="C92" s="14">
        <v>0.58333333333333337</v>
      </c>
      <c r="D92" t="s">
        <v>48</v>
      </c>
      <c r="E92" t="s">
        <v>18</v>
      </c>
      <c r="F92">
        <v>7</v>
      </c>
      <c r="G92">
        <v>7</v>
      </c>
      <c r="H92">
        <v>0</v>
      </c>
      <c r="I92" s="2">
        <v>0.28999999999999998</v>
      </c>
      <c r="J92" s="14">
        <v>4.5601851851851853E-3</v>
      </c>
      <c r="K92" s="6">
        <f>INT(Regiones[[#This Row],[Fecha]])</f>
        <v>46204</v>
      </c>
      <c r="L92" s="10">
        <f>IFERROR(Regiones[[#This Row],[Contestadas]]/Regiones[[#This Row],[Ofrecidas]],"")</f>
        <v>1</v>
      </c>
      <c r="M92" s="7">
        <f>IFERROR(Regiones[[#This Row],[Ofrecidas]]*Regiones[[#This Row],[% de nivel de servicio]],"")</f>
        <v>2.0299999999999998</v>
      </c>
      <c r="N92" s="7"/>
      <c r="O92" s="12">
        <f>IFERROR(Regiones[[#This Row],[Aten &lt; 20 seg]]/Regiones[[#This Row],[Contestadas]],"")</f>
        <v>0.28999999999999998</v>
      </c>
      <c r="P92" s="13">
        <f>IFERROR(Regiones[[#This Row],[AHT]]*86400,"error")</f>
        <v>394</v>
      </c>
      <c r="Q92" s="13" t="str">
        <f>+VLOOKUP(Regiones[[#This Row],[Cola]],Tabla6[#Data],2,0)</f>
        <v>BUPA</v>
      </c>
      <c r="R92" s="13" t="e">
        <f>+VLOOKUP(Regiones[[#This Row],[Cola]],Tabla68[],2,0)</f>
        <v>#N/A</v>
      </c>
    </row>
    <row r="93" spans="2:18" x14ac:dyDescent="0.3">
      <c r="B93" s="6">
        <v>46204</v>
      </c>
      <c r="C93" s="14">
        <v>0.58333333333333337</v>
      </c>
      <c r="D93" t="s">
        <v>49</v>
      </c>
      <c r="E93" t="s">
        <v>18</v>
      </c>
      <c r="F93">
        <v>2</v>
      </c>
      <c r="G93">
        <v>1</v>
      </c>
      <c r="H93">
        <v>1</v>
      </c>
      <c r="I93" s="2">
        <v>0</v>
      </c>
      <c r="J93" s="14">
        <v>4.9189814814814816E-3</v>
      </c>
      <c r="K93" s="6">
        <f>INT(Regiones[[#This Row],[Fecha]])</f>
        <v>46204</v>
      </c>
      <c r="L93" s="10">
        <f>IFERROR(Regiones[[#This Row],[Contestadas]]/Regiones[[#This Row],[Ofrecidas]],"")</f>
        <v>0.5</v>
      </c>
      <c r="M93" s="7">
        <f>IFERROR(Regiones[[#This Row],[Ofrecidas]]*Regiones[[#This Row],[% de nivel de servicio]],"")</f>
        <v>0</v>
      </c>
      <c r="N93" s="7"/>
      <c r="O93" s="12">
        <f>IFERROR(Regiones[[#This Row],[Aten &lt; 20 seg]]/Regiones[[#This Row],[Contestadas]],"")</f>
        <v>0</v>
      </c>
      <c r="P93" s="13">
        <f>IFERROR(Regiones[[#This Row],[AHT]]*86400,"error")</f>
        <v>425</v>
      </c>
      <c r="Q93" s="13" t="str">
        <f>+VLOOKUP(Regiones[[#This Row],[Cola]],Tabla6[#Data],2,0)</f>
        <v>BUPA</v>
      </c>
      <c r="R93" s="13" t="e">
        <f>+VLOOKUP(Regiones[[#This Row],[Cola]],Tabla68[],2,0)</f>
        <v>#N/A</v>
      </c>
    </row>
    <row r="94" spans="2:18" x14ac:dyDescent="0.3">
      <c r="B94" s="6">
        <v>46204</v>
      </c>
      <c r="C94" s="14">
        <v>0.60416666666666663</v>
      </c>
      <c r="D94" t="s">
        <v>46</v>
      </c>
      <c r="E94" t="s">
        <v>18</v>
      </c>
      <c r="F94">
        <v>6</v>
      </c>
      <c r="G94">
        <v>6</v>
      </c>
      <c r="H94">
        <v>1</v>
      </c>
      <c r="I94" s="2">
        <v>0.56999999999999995</v>
      </c>
      <c r="J94" s="14">
        <v>4.0046296296296297E-3</v>
      </c>
      <c r="K94" s="6">
        <f>INT(Regiones[[#This Row],[Fecha]])</f>
        <v>46204</v>
      </c>
      <c r="L94" s="10">
        <f>IFERROR(Regiones[[#This Row],[Contestadas]]/Regiones[[#This Row],[Ofrecidas]],"")</f>
        <v>1</v>
      </c>
      <c r="M94" s="7">
        <f>IFERROR(Regiones[[#This Row],[Ofrecidas]]*Regiones[[#This Row],[% de nivel de servicio]],"")</f>
        <v>3.42</v>
      </c>
      <c r="N94" s="7"/>
      <c r="O94" s="12">
        <f>IFERROR(Regiones[[#This Row],[Aten &lt; 20 seg]]/Regiones[[#This Row],[Contestadas]],"")</f>
        <v>0.56999999999999995</v>
      </c>
      <c r="P94" s="13">
        <f>IFERROR(Regiones[[#This Row],[AHT]]*86400,"error")</f>
        <v>346</v>
      </c>
      <c r="Q94" s="13" t="str">
        <f>+VLOOKUP(Regiones[[#This Row],[Cola]],Tabla6[#Data],2,0)</f>
        <v>BUPA</v>
      </c>
      <c r="R94" s="13" t="e">
        <f>+VLOOKUP(Regiones[[#This Row],[Cola]],Tabla68[],2,0)</f>
        <v>#N/A</v>
      </c>
    </row>
    <row r="95" spans="2:18" x14ac:dyDescent="0.3">
      <c r="B95" s="6">
        <v>46204</v>
      </c>
      <c r="C95" s="14">
        <v>0.60416666666666663</v>
      </c>
      <c r="D95" t="s">
        <v>53</v>
      </c>
      <c r="E95" t="s">
        <v>18</v>
      </c>
      <c r="F95">
        <v>3</v>
      </c>
      <c r="G95">
        <v>3</v>
      </c>
      <c r="H95">
        <v>0</v>
      </c>
      <c r="I95" s="2">
        <v>1</v>
      </c>
      <c r="J95" s="14">
        <v>4.2708333333333331E-3</v>
      </c>
      <c r="K95" s="6">
        <f>INT(Regiones[[#This Row],[Fecha]])</f>
        <v>46204</v>
      </c>
      <c r="L95" s="10">
        <f>IFERROR(Regiones[[#This Row],[Contestadas]]/Regiones[[#This Row],[Ofrecidas]],"")</f>
        <v>1</v>
      </c>
      <c r="M95" s="7">
        <f>IFERROR(Regiones[[#This Row],[Ofrecidas]]*Regiones[[#This Row],[% de nivel de servicio]],"")</f>
        <v>3</v>
      </c>
      <c r="N95" s="7"/>
      <c r="O95" s="12">
        <f>IFERROR(Regiones[[#This Row],[Aten &lt; 20 seg]]/Regiones[[#This Row],[Contestadas]],"")</f>
        <v>1</v>
      </c>
      <c r="P95" s="13">
        <f>IFERROR(Regiones[[#This Row],[AHT]]*86400,"error")</f>
        <v>369</v>
      </c>
      <c r="Q95" s="13" t="str">
        <f>+VLOOKUP(Regiones[[#This Row],[Cola]],Tabla6[#Data],2,0)</f>
        <v>BUPA</v>
      </c>
      <c r="R95" s="13" t="e">
        <f>+VLOOKUP(Regiones[[#This Row],[Cola]],Tabla68[],2,0)</f>
        <v>#N/A</v>
      </c>
    </row>
    <row r="96" spans="2:18" x14ac:dyDescent="0.3">
      <c r="B96" s="6">
        <v>46204</v>
      </c>
      <c r="C96" s="14">
        <v>0.60416666666666663</v>
      </c>
      <c r="D96" t="s">
        <v>55</v>
      </c>
      <c r="E96" t="s">
        <v>18</v>
      </c>
      <c r="F96">
        <v>0</v>
      </c>
      <c r="G96">
        <v>0</v>
      </c>
      <c r="H96">
        <v>0</v>
      </c>
      <c r="I96" s="2" t="s">
        <v>20</v>
      </c>
      <c r="J96" s="14">
        <v>1.3194444444444444E-2</v>
      </c>
      <c r="K96" s="6">
        <f>INT(Regiones[[#This Row],[Fecha]])</f>
        <v>46204</v>
      </c>
      <c r="L96" s="10" t="str">
        <f>IFERROR(Regiones[[#This Row],[Contestadas]]/Regiones[[#This Row],[Ofrecidas]],"")</f>
        <v/>
      </c>
      <c r="M96" s="7" t="str">
        <f>IFERROR(Regiones[[#This Row],[Ofrecidas]]*Regiones[[#This Row],[% de nivel de servicio]],"")</f>
        <v/>
      </c>
      <c r="N96" s="7"/>
      <c r="O96" s="12" t="str">
        <f>IFERROR(Regiones[[#This Row],[Aten &lt; 20 seg]]/Regiones[[#This Row],[Contestadas]],"")</f>
        <v/>
      </c>
      <c r="P96" s="13">
        <f>IFERROR(Regiones[[#This Row],[AHT]]*86400,"error")</f>
        <v>1140</v>
      </c>
      <c r="Q96" s="13" t="str">
        <f>+VLOOKUP(Regiones[[#This Row],[Cola]],Tabla6[#Data],2,0)</f>
        <v>BUPA</v>
      </c>
      <c r="R96" s="13" t="e">
        <f>+VLOOKUP(Regiones[[#This Row],[Cola]],Tabla68[],2,0)</f>
        <v>#N/A</v>
      </c>
    </row>
    <row r="97" spans="2:18" x14ac:dyDescent="0.3">
      <c r="B97" s="6">
        <v>46204</v>
      </c>
      <c r="C97" s="14">
        <v>0.60416666666666663</v>
      </c>
      <c r="D97" t="s">
        <v>49</v>
      </c>
      <c r="E97" t="s">
        <v>18</v>
      </c>
      <c r="F97">
        <v>2</v>
      </c>
      <c r="G97">
        <v>2</v>
      </c>
      <c r="H97">
        <v>0</v>
      </c>
      <c r="I97" s="2">
        <v>1</v>
      </c>
      <c r="J97" s="14">
        <v>2.7430555555555554E-3</v>
      </c>
      <c r="K97" s="6">
        <f>INT(Regiones[[#This Row],[Fecha]])</f>
        <v>46204</v>
      </c>
      <c r="L97" s="10">
        <f>IFERROR(Regiones[[#This Row],[Contestadas]]/Regiones[[#This Row],[Ofrecidas]],"")</f>
        <v>1</v>
      </c>
      <c r="M97" s="7">
        <f>IFERROR(Regiones[[#This Row],[Ofrecidas]]*Regiones[[#This Row],[% de nivel de servicio]],"")</f>
        <v>2</v>
      </c>
      <c r="N97" s="7"/>
      <c r="O97" s="12">
        <f>IFERROR(Regiones[[#This Row],[Aten &lt; 20 seg]]/Regiones[[#This Row],[Contestadas]],"")</f>
        <v>1</v>
      </c>
      <c r="P97" s="13">
        <f>IFERROR(Regiones[[#This Row],[AHT]]*86400,"error")</f>
        <v>237</v>
      </c>
      <c r="Q97" s="13" t="str">
        <f>+VLOOKUP(Regiones[[#This Row],[Cola]],Tabla6[#Data],2,0)</f>
        <v>BUPA</v>
      </c>
      <c r="R97" s="13" t="e">
        <f>+VLOOKUP(Regiones[[#This Row],[Cola]],Tabla68[],2,0)</f>
        <v>#N/A</v>
      </c>
    </row>
    <row r="98" spans="2:18" x14ac:dyDescent="0.3">
      <c r="B98" s="6">
        <v>46204</v>
      </c>
      <c r="C98" s="14">
        <v>0.60416666666666663</v>
      </c>
      <c r="D98" t="s">
        <v>48</v>
      </c>
      <c r="E98" t="s">
        <v>18</v>
      </c>
      <c r="F98">
        <v>6</v>
      </c>
      <c r="G98">
        <v>6</v>
      </c>
      <c r="H98">
        <v>0</v>
      </c>
      <c r="I98" s="2">
        <v>0.67</v>
      </c>
      <c r="J98" s="14">
        <v>3.5648148148148149E-3</v>
      </c>
      <c r="K98" s="6">
        <f>INT(Regiones[[#This Row],[Fecha]])</f>
        <v>46204</v>
      </c>
      <c r="L98" s="10">
        <f>IFERROR(Regiones[[#This Row],[Contestadas]]/Regiones[[#This Row],[Ofrecidas]],"")</f>
        <v>1</v>
      </c>
      <c r="M98" s="7">
        <f>IFERROR(Regiones[[#This Row],[Ofrecidas]]*Regiones[[#This Row],[% de nivel de servicio]],"")</f>
        <v>4.0200000000000005</v>
      </c>
      <c r="N98" s="7"/>
      <c r="O98" s="12">
        <f>IFERROR(Regiones[[#This Row],[Aten &lt; 20 seg]]/Regiones[[#This Row],[Contestadas]],"")</f>
        <v>0.67</v>
      </c>
      <c r="P98" s="13">
        <f>IFERROR(Regiones[[#This Row],[AHT]]*86400,"error")</f>
        <v>308</v>
      </c>
      <c r="Q98" s="13" t="str">
        <f>+VLOOKUP(Regiones[[#This Row],[Cola]],Tabla6[#Data],2,0)</f>
        <v>BUPA</v>
      </c>
      <c r="R98" s="13" t="e">
        <f>+VLOOKUP(Regiones[[#This Row],[Cola]],Tabla68[],2,0)</f>
        <v>#N/A</v>
      </c>
    </row>
    <row r="99" spans="2:18" x14ac:dyDescent="0.3">
      <c r="B99" s="6">
        <v>46204</v>
      </c>
      <c r="C99" s="14">
        <v>0.60416666666666663</v>
      </c>
      <c r="D99" t="s">
        <v>47</v>
      </c>
      <c r="E99" t="s">
        <v>18</v>
      </c>
      <c r="F99">
        <v>14</v>
      </c>
      <c r="G99">
        <v>16</v>
      </c>
      <c r="H99">
        <v>1</v>
      </c>
      <c r="I99" s="2">
        <v>0.59</v>
      </c>
      <c r="J99" s="14">
        <v>4.2824074074074075E-3</v>
      </c>
      <c r="K99" s="6">
        <f>INT(Regiones[[#This Row],[Fecha]])</f>
        <v>46204</v>
      </c>
      <c r="L99" s="10">
        <f>IFERROR(Regiones[[#This Row],[Contestadas]]/Regiones[[#This Row],[Ofrecidas]],"")</f>
        <v>1.1428571428571428</v>
      </c>
      <c r="M99" s="7">
        <f>IFERROR(Regiones[[#This Row],[Ofrecidas]]*Regiones[[#This Row],[% de nivel de servicio]],"")</f>
        <v>8.26</v>
      </c>
      <c r="N99" s="7"/>
      <c r="O99" s="12">
        <f>IFERROR(Regiones[[#This Row],[Aten &lt; 20 seg]]/Regiones[[#This Row],[Contestadas]],"")</f>
        <v>0.51624999999999999</v>
      </c>
      <c r="P99" s="13">
        <f>IFERROR(Regiones[[#This Row],[AHT]]*86400,"error")</f>
        <v>370</v>
      </c>
      <c r="Q99" s="13" t="str">
        <f>+VLOOKUP(Regiones[[#This Row],[Cola]],Tabla6[#Data],2,0)</f>
        <v>BUPA</v>
      </c>
      <c r="R99" s="13" t="e">
        <f>+VLOOKUP(Regiones[[#This Row],[Cola]],Tabla68[],2,0)</f>
        <v>#N/A</v>
      </c>
    </row>
    <row r="100" spans="2:18" x14ac:dyDescent="0.3">
      <c r="B100" s="6">
        <v>46204</v>
      </c>
      <c r="C100" s="14">
        <v>0.60416666666666663</v>
      </c>
      <c r="D100" t="s">
        <v>52</v>
      </c>
      <c r="E100" t="s">
        <v>18</v>
      </c>
      <c r="F100">
        <v>2</v>
      </c>
      <c r="G100">
        <v>2</v>
      </c>
      <c r="H100">
        <v>0</v>
      </c>
      <c r="I100" s="2">
        <v>0.5</v>
      </c>
      <c r="J100" s="14">
        <v>3.7268518518518519E-3</v>
      </c>
      <c r="K100" s="6">
        <f>INT(Regiones[[#This Row],[Fecha]])</f>
        <v>46204</v>
      </c>
      <c r="L100" s="10">
        <f>IFERROR(Regiones[[#This Row],[Contestadas]]/Regiones[[#This Row],[Ofrecidas]],"")</f>
        <v>1</v>
      </c>
      <c r="M100" s="7">
        <f>IFERROR(Regiones[[#This Row],[Ofrecidas]]*Regiones[[#This Row],[% de nivel de servicio]],"")</f>
        <v>1</v>
      </c>
      <c r="N100" s="7"/>
      <c r="O100" s="12">
        <f>IFERROR(Regiones[[#This Row],[Aten &lt; 20 seg]]/Regiones[[#This Row],[Contestadas]],"")</f>
        <v>0.5</v>
      </c>
      <c r="P100" s="13">
        <f>IFERROR(Regiones[[#This Row],[AHT]]*86400,"error")</f>
        <v>322</v>
      </c>
      <c r="Q100" s="13" t="str">
        <f>+VLOOKUP(Regiones[[#This Row],[Cola]],Tabla6[#Data],2,0)</f>
        <v>BUPA</v>
      </c>
      <c r="R100" s="13" t="e">
        <f>+VLOOKUP(Regiones[[#This Row],[Cola]],Tabla68[],2,0)</f>
        <v>#N/A</v>
      </c>
    </row>
    <row r="101" spans="2:18" x14ac:dyDescent="0.3">
      <c r="B101" s="6">
        <v>46204</v>
      </c>
      <c r="C101" s="14">
        <v>0.60416666666666663</v>
      </c>
      <c r="D101" t="s">
        <v>57</v>
      </c>
      <c r="E101" t="s">
        <v>18</v>
      </c>
      <c r="F101">
        <v>3</v>
      </c>
      <c r="G101">
        <v>3</v>
      </c>
      <c r="H101">
        <v>0</v>
      </c>
      <c r="I101" s="2">
        <v>0.67</v>
      </c>
      <c r="J101" s="14">
        <v>2.4652777777777776E-3</v>
      </c>
      <c r="K101" s="6">
        <f>INT(Regiones[[#This Row],[Fecha]])</f>
        <v>46204</v>
      </c>
      <c r="L101" s="10">
        <f>IFERROR(Regiones[[#This Row],[Contestadas]]/Regiones[[#This Row],[Ofrecidas]],"")</f>
        <v>1</v>
      </c>
      <c r="M101" s="7">
        <f>IFERROR(Regiones[[#This Row],[Ofrecidas]]*Regiones[[#This Row],[% de nivel de servicio]],"")</f>
        <v>2.0100000000000002</v>
      </c>
      <c r="N101" s="7"/>
      <c r="O101" s="12">
        <f>IFERROR(Regiones[[#This Row],[Aten &lt; 20 seg]]/Regiones[[#This Row],[Contestadas]],"")</f>
        <v>0.67</v>
      </c>
      <c r="P101" s="13">
        <f>IFERROR(Regiones[[#This Row],[AHT]]*86400,"error")</f>
        <v>212.99999999999997</v>
      </c>
      <c r="Q101" s="13" t="str">
        <f>+VLOOKUP(Regiones[[#This Row],[Cola]],Tabla6[#Data],2,0)</f>
        <v>BUPA</v>
      </c>
      <c r="R101" s="13" t="e">
        <f>+VLOOKUP(Regiones[[#This Row],[Cola]],Tabla68[],2,0)</f>
        <v>#N/A</v>
      </c>
    </row>
    <row r="102" spans="2:18" x14ac:dyDescent="0.3">
      <c r="B102" s="6">
        <v>46204</v>
      </c>
      <c r="C102" s="14">
        <v>0.60416666666666663</v>
      </c>
      <c r="D102" t="s">
        <v>50</v>
      </c>
      <c r="E102" t="s">
        <v>18</v>
      </c>
      <c r="F102">
        <v>1</v>
      </c>
      <c r="G102">
        <v>1</v>
      </c>
      <c r="H102">
        <v>0</v>
      </c>
      <c r="I102" s="2">
        <v>1</v>
      </c>
      <c r="J102" s="14">
        <v>2.9166666666666668E-3</v>
      </c>
      <c r="K102" s="6">
        <f>INT(Regiones[[#This Row],[Fecha]])</f>
        <v>46204</v>
      </c>
      <c r="L102" s="10">
        <f>IFERROR(Regiones[[#This Row],[Contestadas]]/Regiones[[#This Row],[Ofrecidas]],"")</f>
        <v>1</v>
      </c>
      <c r="M102" s="7">
        <f>IFERROR(Regiones[[#This Row],[Ofrecidas]]*Regiones[[#This Row],[% de nivel de servicio]],"")</f>
        <v>1</v>
      </c>
      <c r="N102" s="7"/>
      <c r="O102" s="12">
        <f>IFERROR(Regiones[[#This Row],[Aten &lt; 20 seg]]/Regiones[[#This Row],[Contestadas]],"")</f>
        <v>1</v>
      </c>
      <c r="P102" s="13">
        <f>IFERROR(Regiones[[#This Row],[AHT]]*86400,"error")</f>
        <v>252</v>
      </c>
      <c r="Q102" s="13" t="str">
        <f>+VLOOKUP(Regiones[[#This Row],[Cola]],Tabla6[#Data],2,0)</f>
        <v>BUPA</v>
      </c>
      <c r="R102" s="13" t="e">
        <f>+VLOOKUP(Regiones[[#This Row],[Cola]],Tabla68[],2,0)</f>
        <v>#N/A</v>
      </c>
    </row>
    <row r="103" spans="2:18" x14ac:dyDescent="0.3">
      <c r="B103" s="6">
        <v>46204</v>
      </c>
      <c r="C103" s="14">
        <v>0.625</v>
      </c>
      <c r="D103" t="s">
        <v>50</v>
      </c>
      <c r="E103" t="s">
        <v>18</v>
      </c>
      <c r="F103">
        <v>1</v>
      </c>
      <c r="G103">
        <v>1</v>
      </c>
      <c r="H103">
        <v>0</v>
      </c>
      <c r="I103" s="2">
        <v>1</v>
      </c>
      <c r="J103" s="14" t="s">
        <v>19</v>
      </c>
      <c r="K103" s="6">
        <f>INT(Regiones[[#This Row],[Fecha]])</f>
        <v>46204</v>
      </c>
      <c r="L103" s="10">
        <f>IFERROR(Regiones[[#This Row],[Contestadas]]/Regiones[[#This Row],[Ofrecidas]],"")</f>
        <v>1</v>
      </c>
      <c r="M103" s="7">
        <f>IFERROR(Regiones[[#This Row],[Ofrecidas]]*Regiones[[#This Row],[% de nivel de servicio]],"")</f>
        <v>1</v>
      </c>
      <c r="N103" s="7"/>
      <c r="O103" s="12">
        <f>IFERROR(Regiones[[#This Row],[Aten &lt; 20 seg]]/Regiones[[#This Row],[Contestadas]],"")</f>
        <v>1</v>
      </c>
      <c r="P103" s="13" t="str">
        <f>IFERROR(Regiones[[#This Row],[AHT]]*86400,"error")</f>
        <v>error</v>
      </c>
      <c r="Q103" s="13" t="str">
        <f>+VLOOKUP(Regiones[[#This Row],[Cola]],Tabla6[#Data],2,0)</f>
        <v>BUPA</v>
      </c>
      <c r="R103" s="13" t="e">
        <f>+VLOOKUP(Regiones[[#This Row],[Cola]],Tabla68[],2,0)</f>
        <v>#N/A</v>
      </c>
    </row>
    <row r="104" spans="2:18" x14ac:dyDescent="0.3">
      <c r="B104" s="6">
        <v>46204</v>
      </c>
      <c r="C104" s="14">
        <v>0.625</v>
      </c>
      <c r="D104" t="s">
        <v>57</v>
      </c>
      <c r="E104" t="s">
        <v>18</v>
      </c>
      <c r="F104">
        <v>0</v>
      </c>
      <c r="G104">
        <v>0</v>
      </c>
      <c r="H104">
        <v>0</v>
      </c>
      <c r="I104" s="2" t="s">
        <v>20</v>
      </c>
      <c r="J104" s="14">
        <v>0.01</v>
      </c>
      <c r="K104" s="6">
        <f>INT(Regiones[[#This Row],[Fecha]])</f>
        <v>46204</v>
      </c>
      <c r="L104" s="10" t="str">
        <f>IFERROR(Regiones[[#This Row],[Contestadas]]/Regiones[[#This Row],[Ofrecidas]],"")</f>
        <v/>
      </c>
      <c r="M104" s="7" t="str">
        <f>IFERROR(Regiones[[#This Row],[Ofrecidas]]*Regiones[[#This Row],[% de nivel de servicio]],"")</f>
        <v/>
      </c>
      <c r="N104" s="7"/>
      <c r="O104" s="12" t="str">
        <f>IFERROR(Regiones[[#This Row],[Aten &lt; 20 seg]]/Regiones[[#This Row],[Contestadas]],"")</f>
        <v/>
      </c>
      <c r="P104" s="13">
        <f>IFERROR(Regiones[[#This Row],[AHT]]*86400,"error")</f>
        <v>864</v>
      </c>
      <c r="Q104" s="13" t="str">
        <f>+VLOOKUP(Regiones[[#This Row],[Cola]],Tabla6[#Data],2,0)</f>
        <v>BUPA</v>
      </c>
      <c r="R104" s="13" t="e">
        <f>+VLOOKUP(Regiones[[#This Row],[Cola]],Tabla68[],2,0)</f>
        <v>#N/A</v>
      </c>
    </row>
    <row r="105" spans="2:18" x14ac:dyDescent="0.3">
      <c r="B105" s="6">
        <v>46204</v>
      </c>
      <c r="C105" s="14">
        <v>0.625</v>
      </c>
      <c r="D105" t="s">
        <v>52</v>
      </c>
      <c r="E105" t="s">
        <v>18</v>
      </c>
      <c r="F105">
        <v>2</v>
      </c>
      <c r="G105">
        <v>2</v>
      </c>
      <c r="H105">
        <v>0</v>
      </c>
      <c r="I105" s="2">
        <v>0.5</v>
      </c>
      <c r="J105" s="14">
        <v>2.5578703703703705E-3</v>
      </c>
      <c r="K105" s="6">
        <f>INT(Regiones[[#This Row],[Fecha]])</f>
        <v>46204</v>
      </c>
      <c r="L105" s="10">
        <f>IFERROR(Regiones[[#This Row],[Contestadas]]/Regiones[[#This Row],[Ofrecidas]],"")</f>
        <v>1</v>
      </c>
      <c r="M105" s="7">
        <f>IFERROR(Regiones[[#This Row],[Ofrecidas]]*Regiones[[#This Row],[% de nivel de servicio]],"")</f>
        <v>1</v>
      </c>
      <c r="N105" s="7"/>
      <c r="O105" s="12">
        <f>IFERROR(Regiones[[#This Row],[Aten &lt; 20 seg]]/Regiones[[#This Row],[Contestadas]],"")</f>
        <v>0.5</v>
      </c>
      <c r="P105" s="13">
        <f>IFERROR(Regiones[[#This Row],[AHT]]*86400,"error")</f>
        <v>221</v>
      </c>
      <c r="Q105" s="13" t="str">
        <f>+VLOOKUP(Regiones[[#This Row],[Cola]],Tabla6[#Data],2,0)</f>
        <v>BUPA</v>
      </c>
      <c r="R105" s="13" t="e">
        <f>+VLOOKUP(Regiones[[#This Row],[Cola]],Tabla68[],2,0)</f>
        <v>#N/A</v>
      </c>
    </row>
    <row r="106" spans="2:18" x14ac:dyDescent="0.3">
      <c r="B106" s="6">
        <v>46204</v>
      </c>
      <c r="C106" s="14">
        <v>0.625</v>
      </c>
      <c r="D106" t="s">
        <v>46</v>
      </c>
      <c r="E106" t="s">
        <v>18</v>
      </c>
      <c r="F106">
        <v>10</v>
      </c>
      <c r="G106">
        <v>9</v>
      </c>
      <c r="H106">
        <v>0</v>
      </c>
      <c r="I106" s="2">
        <v>0.89</v>
      </c>
      <c r="J106" s="14">
        <v>3.6458333333333334E-3</v>
      </c>
      <c r="K106" s="6">
        <f>INT(Regiones[[#This Row],[Fecha]])</f>
        <v>46204</v>
      </c>
      <c r="L106" s="10">
        <f>IFERROR(Regiones[[#This Row],[Contestadas]]/Regiones[[#This Row],[Ofrecidas]],"")</f>
        <v>0.9</v>
      </c>
      <c r="M106" s="7">
        <f>IFERROR(Regiones[[#This Row],[Ofrecidas]]*Regiones[[#This Row],[% de nivel de servicio]],"")</f>
        <v>8.9</v>
      </c>
      <c r="N106" s="7"/>
      <c r="O106" s="12">
        <f>IFERROR(Regiones[[#This Row],[Aten &lt; 20 seg]]/Regiones[[#This Row],[Contestadas]],"")</f>
        <v>0.98888888888888893</v>
      </c>
      <c r="P106" s="13">
        <f>IFERROR(Regiones[[#This Row],[AHT]]*86400,"error")</f>
        <v>315</v>
      </c>
      <c r="Q106" s="13" t="str">
        <f>+VLOOKUP(Regiones[[#This Row],[Cola]],Tabla6[#Data],2,0)</f>
        <v>BUPA</v>
      </c>
      <c r="R106" s="13" t="e">
        <f>+VLOOKUP(Regiones[[#This Row],[Cola]],Tabla68[],2,0)</f>
        <v>#N/A</v>
      </c>
    </row>
    <row r="107" spans="2:18" x14ac:dyDescent="0.3">
      <c r="B107" s="6">
        <v>46204</v>
      </c>
      <c r="C107" s="14">
        <v>0.625</v>
      </c>
      <c r="D107" t="s">
        <v>47</v>
      </c>
      <c r="E107" t="s">
        <v>18</v>
      </c>
      <c r="F107">
        <v>15</v>
      </c>
      <c r="G107">
        <v>14</v>
      </c>
      <c r="H107">
        <v>1</v>
      </c>
      <c r="I107" s="2">
        <v>0.73</v>
      </c>
      <c r="J107" s="14">
        <v>4.6990740740740743E-3</v>
      </c>
      <c r="K107" s="6">
        <f>INT(Regiones[[#This Row],[Fecha]])</f>
        <v>46204</v>
      </c>
      <c r="L107" s="10">
        <f>IFERROR(Regiones[[#This Row],[Contestadas]]/Regiones[[#This Row],[Ofrecidas]],"")</f>
        <v>0.93333333333333335</v>
      </c>
      <c r="M107" s="7">
        <f>IFERROR(Regiones[[#This Row],[Ofrecidas]]*Regiones[[#This Row],[% de nivel de servicio]],"")</f>
        <v>10.95</v>
      </c>
      <c r="N107" s="7"/>
      <c r="O107" s="12">
        <f>IFERROR(Regiones[[#This Row],[Aten &lt; 20 seg]]/Regiones[[#This Row],[Contestadas]],"")</f>
        <v>0.78214285714285714</v>
      </c>
      <c r="P107" s="13">
        <f>IFERROR(Regiones[[#This Row],[AHT]]*86400,"error")</f>
        <v>406</v>
      </c>
      <c r="Q107" s="13" t="str">
        <f>+VLOOKUP(Regiones[[#This Row],[Cola]],Tabla6[#Data],2,0)</f>
        <v>BUPA</v>
      </c>
      <c r="R107" s="13" t="e">
        <f>+VLOOKUP(Regiones[[#This Row],[Cola]],Tabla68[],2,0)</f>
        <v>#N/A</v>
      </c>
    </row>
    <row r="108" spans="2:18" x14ac:dyDescent="0.3">
      <c r="B108" s="6">
        <v>46204</v>
      </c>
      <c r="C108" s="14">
        <v>0.625</v>
      </c>
      <c r="D108" t="s">
        <v>53</v>
      </c>
      <c r="E108" t="s">
        <v>18</v>
      </c>
      <c r="F108">
        <v>4</v>
      </c>
      <c r="G108">
        <v>3</v>
      </c>
      <c r="H108">
        <v>0</v>
      </c>
      <c r="I108" s="2">
        <v>0.67</v>
      </c>
      <c r="J108" s="14">
        <v>5.138888888888889E-3</v>
      </c>
      <c r="K108" s="6">
        <f>INT(Regiones[[#This Row],[Fecha]])</f>
        <v>46204</v>
      </c>
      <c r="L108" s="10">
        <f>IFERROR(Regiones[[#This Row],[Contestadas]]/Regiones[[#This Row],[Ofrecidas]],"")</f>
        <v>0.75</v>
      </c>
      <c r="M108" s="7">
        <f>IFERROR(Regiones[[#This Row],[Ofrecidas]]*Regiones[[#This Row],[% de nivel de servicio]],"")</f>
        <v>2.68</v>
      </c>
      <c r="N108" s="7"/>
      <c r="O108" s="12">
        <f>IFERROR(Regiones[[#This Row],[Aten &lt; 20 seg]]/Regiones[[#This Row],[Contestadas]],"")</f>
        <v>0.89333333333333342</v>
      </c>
      <c r="P108" s="13">
        <f>IFERROR(Regiones[[#This Row],[AHT]]*86400,"error")</f>
        <v>444</v>
      </c>
      <c r="Q108" s="13" t="str">
        <f>+VLOOKUP(Regiones[[#This Row],[Cola]],Tabla6[#Data],2,0)</f>
        <v>BUPA</v>
      </c>
      <c r="R108" s="13" t="e">
        <f>+VLOOKUP(Regiones[[#This Row],[Cola]],Tabla68[],2,0)</f>
        <v>#N/A</v>
      </c>
    </row>
    <row r="109" spans="2:18" x14ac:dyDescent="0.3">
      <c r="B109" s="6">
        <v>46204</v>
      </c>
      <c r="C109" s="14">
        <v>0.625</v>
      </c>
      <c r="D109" t="s">
        <v>48</v>
      </c>
      <c r="E109" t="s">
        <v>18</v>
      </c>
      <c r="F109">
        <v>8</v>
      </c>
      <c r="G109">
        <v>8</v>
      </c>
      <c r="H109">
        <v>0</v>
      </c>
      <c r="I109" s="2">
        <v>0.75</v>
      </c>
      <c r="J109" s="14">
        <v>6.099537037037037E-3</v>
      </c>
      <c r="K109" s="6">
        <f>INT(Regiones[[#This Row],[Fecha]])</f>
        <v>46204</v>
      </c>
      <c r="L109" s="10">
        <f>IFERROR(Regiones[[#This Row],[Contestadas]]/Regiones[[#This Row],[Ofrecidas]],"")</f>
        <v>1</v>
      </c>
      <c r="M109" s="7">
        <f>IFERROR(Regiones[[#This Row],[Ofrecidas]]*Regiones[[#This Row],[% de nivel de servicio]],"")</f>
        <v>6</v>
      </c>
      <c r="N109" s="7"/>
      <c r="O109" s="12">
        <f>IFERROR(Regiones[[#This Row],[Aten &lt; 20 seg]]/Regiones[[#This Row],[Contestadas]],"")</f>
        <v>0.75</v>
      </c>
      <c r="P109" s="13">
        <f>IFERROR(Regiones[[#This Row],[AHT]]*86400,"error")</f>
        <v>527</v>
      </c>
      <c r="Q109" s="13" t="str">
        <f>+VLOOKUP(Regiones[[#This Row],[Cola]],Tabla6[#Data],2,0)</f>
        <v>BUPA</v>
      </c>
      <c r="R109" s="13" t="e">
        <f>+VLOOKUP(Regiones[[#This Row],[Cola]],Tabla68[],2,0)</f>
        <v>#N/A</v>
      </c>
    </row>
    <row r="110" spans="2:18" x14ac:dyDescent="0.3">
      <c r="B110" s="6">
        <v>46204</v>
      </c>
      <c r="C110" s="14">
        <v>0.625</v>
      </c>
      <c r="D110" t="s">
        <v>49</v>
      </c>
      <c r="E110" t="s">
        <v>18</v>
      </c>
      <c r="F110">
        <v>1</v>
      </c>
      <c r="G110">
        <v>1</v>
      </c>
      <c r="H110">
        <v>0</v>
      </c>
      <c r="I110" s="2">
        <v>1</v>
      </c>
      <c r="J110" s="14">
        <v>2.1180555555555558E-3</v>
      </c>
      <c r="K110" s="6">
        <f>INT(Regiones[[#This Row],[Fecha]])</f>
        <v>46204</v>
      </c>
      <c r="L110" s="10">
        <f>IFERROR(Regiones[[#This Row],[Contestadas]]/Regiones[[#This Row],[Ofrecidas]],"")</f>
        <v>1</v>
      </c>
      <c r="M110" s="7">
        <f>IFERROR(Regiones[[#This Row],[Ofrecidas]]*Regiones[[#This Row],[% de nivel de servicio]],"")</f>
        <v>1</v>
      </c>
      <c r="N110" s="7"/>
      <c r="O110" s="12">
        <f>IFERROR(Regiones[[#This Row],[Aten &lt; 20 seg]]/Regiones[[#This Row],[Contestadas]],"")</f>
        <v>1</v>
      </c>
      <c r="P110" s="13">
        <f>IFERROR(Regiones[[#This Row],[AHT]]*86400,"error")</f>
        <v>183.00000000000003</v>
      </c>
      <c r="Q110" s="13" t="str">
        <f>+VLOOKUP(Regiones[[#This Row],[Cola]],Tabla6[#Data],2,0)</f>
        <v>BUPA</v>
      </c>
      <c r="R110" s="13" t="e">
        <f>+VLOOKUP(Regiones[[#This Row],[Cola]],Tabla68[],2,0)</f>
        <v>#N/A</v>
      </c>
    </row>
    <row r="111" spans="2:18" x14ac:dyDescent="0.3">
      <c r="B111" s="6">
        <v>46204</v>
      </c>
      <c r="C111" s="14">
        <v>0.625</v>
      </c>
      <c r="D111" t="s">
        <v>56</v>
      </c>
      <c r="E111" t="s">
        <v>18</v>
      </c>
      <c r="F111">
        <v>3</v>
      </c>
      <c r="G111">
        <v>3</v>
      </c>
      <c r="H111">
        <v>0</v>
      </c>
      <c r="I111" s="2">
        <v>1</v>
      </c>
      <c r="J111" s="14">
        <v>1.9675925925925924E-3</v>
      </c>
      <c r="K111" s="6">
        <f>INT(Regiones[[#This Row],[Fecha]])</f>
        <v>46204</v>
      </c>
      <c r="L111" s="10">
        <f>IFERROR(Regiones[[#This Row],[Contestadas]]/Regiones[[#This Row],[Ofrecidas]],"")</f>
        <v>1</v>
      </c>
      <c r="M111" s="7">
        <f>IFERROR(Regiones[[#This Row],[Ofrecidas]]*Regiones[[#This Row],[% de nivel de servicio]],"")</f>
        <v>3</v>
      </c>
      <c r="N111" s="7"/>
      <c r="O111" s="12">
        <f>IFERROR(Regiones[[#This Row],[Aten &lt; 20 seg]]/Regiones[[#This Row],[Contestadas]],"")</f>
        <v>1</v>
      </c>
      <c r="P111" s="13">
        <f>IFERROR(Regiones[[#This Row],[AHT]]*86400,"error")</f>
        <v>169.99999999999997</v>
      </c>
      <c r="Q111" s="13" t="str">
        <f>+VLOOKUP(Regiones[[#This Row],[Cola]],Tabla6[#Data],2,0)</f>
        <v>BUPA</v>
      </c>
      <c r="R111" s="13" t="e">
        <f>+VLOOKUP(Regiones[[#This Row],[Cola]],Tabla68[],2,0)</f>
        <v>#N/A</v>
      </c>
    </row>
    <row r="112" spans="2:18" x14ac:dyDescent="0.3">
      <c r="B112" s="6">
        <v>46204</v>
      </c>
      <c r="C112" s="14">
        <v>0.64583333333333337</v>
      </c>
      <c r="D112" t="s">
        <v>47</v>
      </c>
      <c r="E112" t="s">
        <v>18</v>
      </c>
      <c r="F112">
        <v>14</v>
      </c>
      <c r="G112">
        <v>12</v>
      </c>
      <c r="H112">
        <v>0</v>
      </c>
      <c r="I112" s="2">
        <v>0.83</v>
      </c>
      <c r="J112" s="14">
        <v>4.5023148148148149E-3</v>
      </c>
      <c r="K112" s="6">
        <f>INT(Regiones[[#This Row],[Fecha]])</f>
        <v>46204</v>
      </c>
      <c r="L112" s="10">
        <f>IFERROR(Regiones[[#This Row],[Contestadas]]/Regiones[[#This Row],[Ofrecidas]],"")</f>
        <v>0.8571428571428571</v>
      </c>
      <c r="M112" s="7">
        <f>IFERROR(Regiones[[#This Row],[Ofrecidas]]*Regiones[[#This Row],[% de nivel de servicio]],"")</f>
        <v>11.62</v>
      </c>
      <c r="N112" s="7"/>
      <c r="O112" s="12">
        <f>IFERROR(Regiones[[#This Row],[Aten &lt; 20 seg]]/Regiones[[#This Row],[Contestadas]],"")</f>
        <v>0.96833333333333327</v>
      </c>
      <c r="P112" s="13">
        <f>IFERROR(Regiones[[#This Row],[AHT]]*86400,"error")</f>
        <v>389</v>
      </c>
      <c r="Q112" s="13" t="str">
        <f>+VLOOKUP(Regiones[[#This Row],[Cola]],Tabla6[#Data],2,0)</f>
        <v>BUPA</v>
      </c>
      <c r="R112" s="13" t="e">
        <f>+VLOOKUP(Regiones[[#This Row],[Cola]],Tabla68[],2,0)</f>
        <v>#N/A</v>
      </c>
    </row>
    <row r="113" spans="2:18" x14ac:dyDescent="0.3">
      <c r="B113" s="6">
        <v>46204</v>
      </c>
      <c r="C113" s="14">
        <v>0.64583333333333337</v>
      </c>
      <c r="D113" t="s">
        <v>49</v>
      </c>
      <c r="E113" t="s">
        <v>18</v>
      </c>
      <c r="F113">
        <v>1</v>
      </c>
      <c r="G113">
        <v>1</v>
      </c>
      <c r="H113">
        <v>0</v>
      </c>
      <c r="I113" s="2">
        <v>1</v>
      </c>
      <c r="J113" s="14">
        <v>3.1365740740740742E-3</v>
      </c>
      <c r="K113" s="6">
        <f>INT(Regiones[[#This Row],[Fecha]])</f>
        <v>46204</v>
      </c>
      <c r="L113" s="10">
        <f>IFERROR(Regiones[[#This Row],[Contestadas]]/Regiones[[#This Row],[Ofrecidas]],"")</f>
        <v>1</v>
      </c>
      <c r="M113" s="7">
        <f>IFERROR(Regiones[[#This Row],[Ofrecidas]]*Regiones[[#This Row],[% de nivel de servicio]],"")</f>
        <v>1</v>
      </c>
      <c r="N113" s="7"/>
      <c r="O113" s="12">
        <f>IFERROR(Regiones[[#This Row],[Aten &lt; 20 seg]]/Regiones[[#This Row],[Contestadas]],"")</f>
        <v>1</v>
      </c>
      <c r="P113" s="13">
        <f>IFERROR(Regiones[[#This Row],[AHT]]*86400,"error")</f>
        <v>271</v>
      </c>
      <c r="Q113" s="13" t="str">
        <f>+VLOOKUP(Regiones[[#This Row],[Cola]],Tabla6[#Data],2,0)</f>
        <v>BUPA</v>
      </c>
      <c r="R113" s="13" t="e">
        <f>+VLOOKUP(Regiones[[#This Row],[Cola]],Tabla68[],2,0)</f>
        <v>#N/A</v>
      </c>
    </row>
    <row r="114" spans="2:18" x14ac:dyDescent="0.3">
      <c r="B114" s="6">
        <v>46204</v>
      </c>
      <c r="C114" s="14">
        <v>0.64583333333333337</v>
      </c>
      <c r="D114" t="s">
        <v>56</v>
      </c>
      <c r="E114" t="s">
        <v>18</v>
      </c>
      <c r="F114">
        <v>1</v>
      </c>
      <c r="G114">
        <v>1</v>
      </c>
      <c r="H114">
        <v>0</v>
      </c>
      <c r="I114" s="2">
        <v>1</v>
      </c>
      <c r="J114" s="14">
        <v>8.1250000000000003E-3</v>
      </c>
      <c r="K114" s="6">
        <f>INT(Regiones[[#This Row],[Fecha]])</f>
        <v>46204</v>
      </c>
      <c r="L114" s="10">
        <f>IFERROR(Regiones[[#This Row],[Contestadas]]/Regiones[[#This Row],[Ofrecidas]],"")</f>
        <v>1</v>
      </c>
      <c r="M114" s="7">
        <f>IFERROR(Regiones[[#This Row],[Ofrecidas]]*Regiones[[#This Row],[% de nivel de servicio]],"")</f>
        <v>1</v>
      </c>
      <c r="N114" s="7"/>
      <c r="O114" s="12">
        <f>IFERROR(Regiones[[#This Row],[Aten &lt; 20 seg]]/Regiones[[#This Row],[Contestadas]],"")</f>
        <v>1</v>
      </c>
      <c r="P114" s="13">
        <f>IFERROR(Regiones[[#This Row],[AHT]]*86400,"error")</f>
        <v>702</v>
      </c>
      <c r="Q114" s="13" t="str">
        <f>+VLOOKUP(Regiones[[#This Row],[Cola]],Tabla6[#Data],2,0)</f>
        <v>BUPA</v>
      </c>
      <c r="R114" s="13" t="e">
        <f>+VLOOKUP(Regiones[[#This Row],[Cola]],Tabla68[],2,0)</f>
        <v>#N/A</v>
      </c>
    </row>
    <row r="115" spans="2:18" x14ac:dyDescent="0.3">
      <c r="B115" s="6">
        <v>46204</v>
      </c>
      <c r="C115" s="14">
        <v>0.64583333333333337</v>
      </c>
      <c r="D115" t="s">
        <v>53</v>
      </c>
      <c r="E115" t="s">
        <v>18</v>
      </c>
      <c r="F115">
        <v>1</v>
      </c>
      <c r="G115">
        <v>2</v>
      </c>
      <c r="H115">
        <v>0</v>
      </c>
      <c r="I115" s="2">
        <v>0.5</v>
      </c>
      <c r="J115" s="14">
        <v>5.4282407407407404E-3</v>
      </c>
      <c r="K115" s="6">
        <f>INT(Regiones[[#This Row],[Fecha]])</f>
        <v>46204</v>
      </c>
      <c r="L115" s="10">
        <f>IFERROR(Regiones[[#This Row],[Contestadas]]/Regiones[[#This Row],[Ofrecidas]],"")</f>
        <v>2</v>
      </c>
      <c r="M115" s="7">
        <f>IFERROR(Regiones[[#This Row],[Ofrecidas]]*Regiones[[#This Row],[% de nivel de servicio]],"")</f>
        <v>0.5</v>
      </c>
      <c r="N115" s="7"/>
      <c r="O115" s="12">
        <f>IFERROR(Regiones[[#This Row],[Aten &lt; 20 seg]]/Regiones[[#This Row],[Contestadas]],"")</f>
        <v>0.25</v>
      </c>
      <c r="P115" s="13">
        <f>IFERROR(Regiones[[#This Row],[AHT]]*86400,"error")</f>
        <v>469</v>
      </c>
      <c r="Q115" s="13" t="str">
        <f>+VLOOKUP(Regiones[[#This Row],[Cola]],Tabla6[#Data],2,0)</f>
        <v>BUPA</v>
      </c>
      <c r="R115" s="13" t="e">
        <f>+VLOOKUP(Regiones[[#This Row],[Cola]],Tabla68[],2,0)</f>
        <v>#N/A</v>
      </c>
    </row>
    <row r="116" spans="2:18" x14ac:dyDescent="0.3">
      <c r="B116" s="6">
        <v>46204</v>
      </c>
      <c r="C116" s="14">
        <v>0.64583333333333337</v>
      </c>
      <c r="D116" t="s">
        <v>48</v>
      </c>
      <c r="E116" t="s">
        <v>18</v>
      </c>
      <c r="F116">
        <v>3</v>
      </c>
      <c r="G116">
        <v>3</v>
      </c>
      <c r="H116">
        <v>0</v>
      </c>
      <c r="I116" s="2">
        <v>1</v>
      </c>
      <c r="J116" s="14">
        <v>4.8379629629629632E-3</v>
      </c>
      <c r="K116" s="6">
        <f>INT(Regiones[[#This Row],[Fecha]])</f>
        <v>46204</v>
      </c>
      <c r="L116" s="10">
        <f>IFERROR(Regiones[[#This Row],[Contestadas]]/Regiones[[#This Row],[Ofrecidas]],"")</f>
        <v>1</v>
      </c>
      <c r="M116" s="7">
        <f>IFERROR(Regiones[[#This Row],[Ofrecidas]]*Regiones[[#This Row],[% de nivel de servicio]],"")</f>
        <v>3</v>
      </c>
      <c r="N116" s="7"/>
      <c r="O116" s="12">
        <f>IFERROR(Regiones[[#This Row],[Aten &lt; 20 seg]]/Regiones[[#This Row],[Contestadas]],"")</f>
        <v>1</v>
      </c>
      <c r="P116" s="13">
        <f>IFERROR(Regiones[[#This Row],[AHT]]*86400,"error")</f>
        <v>418</v>
      </c>
      <c r="Q116" s="13" t="str">
        <f>+VLOOKUP(Regiones[[#This Row],[Cola]],Tabla6[#Data],2,0)</f>
        <v>BUPA</v>
      </c>
      <c r="R116" s="13" t="e">
        <f>+VLOOKUP(Regiones[[#This Row],[Cola]],Tabla68[],2,0)</f>
        <v>#N/A</v>
      </c>
    </row>
    <row r="117" spans="2:18" x14ac:dyDescent="0.3">
      <c r="B117" s="6">
        <v>46204</v>
      </c>
      <c r="C117" s="14">
        <v>0.64583333333333337</v>
      </c>
      <c r="D117" t="s">
        <v>46</v>
      </c>
      <c r="E117" t="s">
        <v>18</v>
      </c>
      <c r="F117">
        <v>4</v>
      </c>
      <c r="G117">
        <v>4</v>
      </c>
      <c r="H117">
        <v>0</v>
      </c>
      <c r="I117" s="2">
        <v>0.5</v>
      </c>
      <c r="J117" s="14">
        <v>4.9189814814814816E-3</v>
      </c>
      <c r="K117" s="6">
        <f>INT(Regiones[[#This Row],[Fecha]])</f>
        <v>46204</v>
      </c>
      <c r="L117" s="10">
        <f>IFERROR(Regiones[[#This Row],[Contestadas]]/Regiones[[#This Row],[Ofrecidas]],"")</f>
        <v>1</v>
      </c>
      <c r="M117" s="7">
        <f>IFERROR(Regiones[[#This Row],[Ofrecidas]]*Regiones[[#This Row],[% de nivel de servicio]],"")</f>
        <v>2</v>
      </c>
      <c r="N117" s="7"/>
      <c r="O117" s="12">
        <f>IFERROR(Regiones[[#This Row],[Aten &lt; 20 seg]]/Regiones[[#This Row],[Contestadas]],"")</f>
        <v>0.5</v>
      </c>
      <c r="P117" s="13">
        <f>IFERROR(Regiones[[#This Row],[AHT]]*86400,"error")</f>
        <v>425</v>
      </c>
      <c r="Q117" s="13" t="str">
        <f>+VLOOKUP(Regiones[[#This Row],[Cola]],Tabla6[#Data],2,0)</f>
        <v>BUPA</v>
      </c>
      <c r="R117" s="13" t="e">
        <f>+VLOOKUP(Regiones[[#This Row],[Cola]],Tabla68[],2,0)</f>
        <v>#N/A</v>
      </c>
    </row>
    <row r="118" spans="2:18" x14ac:dyDescent="0.3">
      <c r="B118" s="6">
        <v>46204</v>
      </c>
      <c r="C118" s="14">
        <v>0.64583333333333337</v>
      </c>
      <c r="D118" t="s">
        <v>52</v>
      </c>
      <c r="E118" t="s">
        <v>18</v>
      </c>
      <c r="F118">
        <v>0</v>
      </c>
      <c r="G118">
        <v>0</v>
      </c>
      <c r="H118">
        <v>0</v>
      </c>
      <c r="I118" s="2" t="s">
        <v>20</v>
      </c>
      <c r="J118" s="14">
        <v>4.7569444444444447E-3</v>
      </c>
      <c r="K118" s="6">
        <f>INT(Regiones[[#This Row],[Fecha]])</f>
        <v>46204</v>
      </c>
      <c r="L118" s="10" t="str">
        <f>IFERROR(Regiones[[#This Row],[Contestadas]]/Regiones[[#This Row],[Ofrecidas]],"")</f>
        <v/>
      </c>
      <c r="M118" s="7" t="str">
        <f>IFERROR(Regiones[[#This Row],[Ofrecidas]]*Regiones[[#This Row],[% de nivel de servicio]],"")</f>
        <v/>
      </c>
      <c r="N118" s="7"/>
      <c r="O118" s="12" t="str">
        <f>IFERROR(Regiones[[#This Row],[Aten &lt; 20 seg]]/Regiones[[#This Row],[Contestadas]],"")</f>
        <v/>
      </c>
      <c r="P118" s="13">
        <f>IFERROR(Regiones[[#This Row],[AHT]]*86400,"error")</f>
        <v>411</v>
      </c>
      <c r="Q118" s="13" t="str">
        <f>+VLOOKUP(Regiones[[#This Row],[Cola]],Tabla6[#Data],2,0)</f>
        <v>BUPA</v>
      </c>
      <c r="R118" s="13" t="e">
        <f>+VLOOKUP(Regiones[[#This Row],[Cola]],Tabla68[],2,0)</f>
        <v>#N/A</v>
      </c>
    </row>
    <row r="119" spans="2:18" x14ac:dyDescent="0.3">
      <c r="B119" s="6">
        <v>46204</v>
      </c>
      <c r="C119" s="14">
        <v>0.64583333333333337</v>
      </c>
      <c r="D119" t="s">
        <v>50</v>
      </c>
      <c r="E119" t="s">
        <v>18</v>
      </c>
      <c r="F119">
        <v>1</v>
      </c>
      <c r="G119">
        <v>1</v>
      </c>
      <c r="H119">
        <v>0</v>
      </c>
      <c r="I119" s="2">
        <v>1</v>
      </c>
      <c r="J119" s="14">
        <v>9.6759259259259264E-3</v>
      </c>
      <c r="K119" s="6">
        <f>INT(Regiones[[#This Row],[Fecha]])</f>
        <v>46204</v>
      </c>
      <c r="L119" s="10">
        <f>IFERROR(Regiones[[#This Row],[Contestadas]]/Regiones[[#This Row],[Ofrecidas]],"")</f>
        <v>1</v>
      </c>
      <c r="M119" s="7">
        <f>IFERROR(Regiones[[#This Row],[Ofrecidas]]*Regiones[[#This Row],[% de nivel de servicio]],"")</f>
        <v>1</v>
      </c>
      <c r="N119" s="7"/>
      <c r="O119" s="12">
        <f>IFERROR(Regiones[[#This Row],[Aten &lt; 20 seg]]/Regiones[[#This Row],[Contestadas]],"")</f>
        <v>1</v>
      </c>
      <c r="P119" s="13">
        <f>IFERROR(Regiones[[#This Row],[AHT]]*86400,"error")</f>
        <v>836</v>
      </c>
      <c r="Q119" s="13" t="str">
        <f>+VLOOKUP(Regiones[[#This Row],[Cola]],Tabla6[#Data],2,0)</f>
        <v>BUPA</v>
      </c>
      <c r="R119" s="13" t="e">
        <f>+VLOOKUP(Regiones[[#This Row],[Cola]],Tabla68[],2,0)</f>
        <v>#N/A</v>
      </c>
    </row>
    <row r="120" spans="2:18" x14ac:dyDescent="0.3">
      <c r="B120" s="6">
        <v>46204</v>
      </c>
      <c r="C120" s="14">
        <v>0.66666666666666663</v>
      </c>
      <c r="D120" t="s">
        <v>52</v>
      </c>
      <c r="E120" t="s">
        <v>18</v>
      </c>
      <c r="F120">
        <v>1</v>
      </c>
      <c r="G120">
        <v>1</v>
      </c>
      <c r="H120">
        <v>0</v>
      </c>
      <c r="I120" s="2">
        <v>1</v>
      </c>
      <c r="J120" s="14">
        <v>7.9398148148148145E-3</v>
      </c>
      <c r="K120" s="6">
        <f>INT(Regiones[[#This Row],[Fecha]])</f>
        <v>46204</v>
      </c>
      <c r="L120" s="10">
        <f>IFERROR(Regiones[[#This Row],[Contestadas]]/Regiones[[#This Row],[Ofrecidas]],"")</f>
        <v>1</v>
      </c>
      <c r="M120" s="7">
        <f>IFERROR(Regiones[[#This Row],[Ofrecidas]]*Regiones[[#This Row],[% de nivel de servicio]],"")</f>
        <v>1</v>
      </c>
      <c r="N120" s="7"/>
      <c r="O120" s="12">
        <f>IFERROR(Regiones[[#This Row],[Aten &lt; 20 seg]]/Regiones[[#This Row],[Contestadas]],"")</f>
        <v>1</v>
      </c>
      <c r="P120" s="13">
        <f>IFERROR(Regiones[[#This Row],[AHT]]*86400,"error")</f>
        <v>686</v>
      </c>
      <c r="Q120" s="13" t="str">
        <f>+VLOOKUP(Regiones[[#This Row],[Cola]],Tabla6[#Data],2,0)</f>
        <v>BUPA</v>
      </c>
      <c r="R120" s="13" t="e">
        <f>+VLOOKUP(Regiones[[#This Row],[Cola]],Tabla68[],2,0)</f>
        <v>#N/A</v>
      </c>
    </row>
    <row r="121" spans="2:18" x14ac:dyDescent="0.3">
      <c r="B121" s="6">
        <v>46204</v>
      </c>
      <c r="C121" s="14">
        <v>0.66666666666666663</v>
      </c>
      <c r="D121" t="s">
        <v>50</v>
      </c>
      <c r="E121" t="s">
        <v>18</v>
      </c>
      <c r="F121">
        <v>0</v>
      </c>
      <c r="G121">
        <v>0</v>
      </c>
      <c r="H121">
        <v>0</v>
      </c>
      <c r="I121" s="2" t="s">
        <v>20</v>
      </c>
      <c r="J121" s="14">
        <v>1.0590277777777778E-2</v>
      </c>
      <c r="K121" s="6">
        <f>INT(Regiones[[#This Row],[Fecha]])</f>
        <v>46204</v>
      </c>
      <c r="L121" s="10" t="str">
        <f>IFERROR(Regiones[[#This Row],[Contestadas]]/Regiones[[#This Row],[Ofrecidas]],"")</f>
        <v/>
      </c>
      <c r="M121" s="7" t="str">
        <f>IFERROR(Regiones[[#This Row],[Ofrecidas]]*Regiones[[#This Row],[% de nivel de servicio]],"")</f>
        <v/>
      </c>
      <c r="N121" s="7"/>
      <c r="O121" s="12" t="str">
        <f>IFERROR(Regiones[[#This Row],[Aten &lt; 20 seg]]/Regiones[[#This Row],[Contestadas]],"")</f>
        <v/>
      </c>
      <c r="P121" s="13">
        <f>IFERROR(Regiones[[#This Row],[AHT]]*86400,"error")</f>
        <v>915</v>
      </c>
      <c r="Q121" s="13" t="str">
        <f>+VLOOKUP(Regiones[[#This Row],[Cola]],Tabla6[#Data],2,0)</f>
        <v>BUPA</v>
      </c>
      <c r="R121" s="13" t="e">
        <f>+VLOOKUP(Regiones[[#This Row],[Cola]],Tabla68[],2,0)</f>
        <v>#N/A</v>
      </c>
    </row>
    <row r="122" spans="2:18" x14ac:dyDescent="0.3">
      <c r="B122" s="6">
        <v>46204</v>
      </c>
      <c r="C122" s="14">
        <v>0.66666666666666663</v>
      </c>
      <c r="D122" t="s">
        <v>46</v>
      </c>
      <c r="E122" t="s">
        <v>18</v>
      </c>
      <c r="F122">
        <v>9</v>
      </c>
      <c r="G122">
        <v>9</v>
      </c>
      <c r="H122">
        <v>1</v>
      </c>
      <c r="I122" s="2">
        <v>0.7</v>
      </c>
      <c r="J122" s="14">
        <v>5.6597222222222222E-3</v>
      </c>
      <c r="K122" s="6">
        <f>INT(Regiones[[#This Row],[Fecha]])</f>
        <v>46204</v>
      </c>
      <c r="L122" s="10">
        <f>IFERROR(Regiones[[#This Row],[Contestadas]]/Regiones[[#This Row],[Ofrecidas]],"")</f>
        <v>1</v>
      </c>
      <c r="M122" s="7">
        <f>IFERROR(Regiones[[#This Row],[Ofrecidas]]*Regiones[[#This Row],[% de nivel de servicio]],"")</f>
        <v>6.3</v>
      </c>
      <c r="N122" s="7"/>
      <c r="O122" s="12">
        <f>IFERROR(Regiones[[#This Row],[Aten &lt; 20 seg]]/Regiones[[#This Row],[Contestadas]],"")</f>
        <v>0.7</v>
      </c>
      <c r="P122" s="13">
        <f>IFERROR(Regiones[[#This Row],[AHT]]*86400,"error")</f>
        <v>489</v>
      </c>
      <c r="Q122" s="13" t="str">
        <f>+VLOOKUP(Regiones[[#This Row],[Cola]],Tabla6[#Data],2,0)</f>
        <v>BUPA</v>
      </c>
      <c r="R122" s="13" t="e">
        <f>+VLOOKUP(Regiones[[#This Row],[Cola]],Tabla68[],2,0)</f>
        <v>#N/A</v>
      </c>
    </row>
    <row r="123" spans="2:18" x14ac:dyDescent="0.3">
      <c r="B123" s="6">
        <v>46204</v>
      </c>
      <c r="C123" s="14">
        <v>0.66666666666666663</v>
      </c>
      <c r="D123" t="s">
        <v>48</v>
      </c>
      <c r="E123" t="s">
        <v>18</v>
      </c>
      <c r="F123">
        <v>4</v>
      </c>
      <c r="G123">
        <v>4</v>
      </c>
      <c r="H123">
        <v>0</v>
      </c>
      <c r="I123" s="2">
        <v>0.5</v>
      </c>
      <c r="J123" s="14">
        <v>4.4212962962962964E-3</v>
      </c>
      <c r="K123" s="6">
        <f>INT(Regiones[[#This Row],[Fecha]])</f>
        <v>46204</v>
      </c>
      <c r="L123" s="10">
        <f>IFERROR(Regiones[[#This Row],[Contestadas]]/Regiones[[#This Row],[Ofrecidas]],"")</f>
        <v>1</v>
      </c>
      <c r="M123" s="7">
        <f>IFERROR(Regiones[[#This Row],[Ofrecidas]]*Regiones[[#This Row],[% de nivel de servicio]],"")</f>
        <v>2</v>
      </c>
      <c r="N123" s="7"/>
      <c r="O123" s="12">
        <f>IFERROR(Regiones[[#This Row],[Aten &lt; 20 seg]]/Regiones[[#This Row],[Contestadas]],"")</f>
        <v>0.5</v>
      </c>
      <c r="P123" s="13">
        <f>IFERROR(Regiones[[#This Row],[AHT]]*86400,"error")</f>
        <v>382</v>
      </c>
      <c r="Q123" s="13" t="str">
        <f>+VLOOKUP(Regiones[[#This Row],[Cola]],Tabla6[#Data],2,0)</f>
        <v>BUPA</v>
      </c>
      <c r="R123" s="13" t="e">
        <f>+VLOOKUP(Regiones[[#This Row],[Cola]],Tabla68[],2,0)</f>
        <v>#N/A</v>
      </c>
    </row>
    <row r="124" spans="2:18" x14ac:dyDescent="0.3">
      <c r="B124" s="6">
        <v>46204</v>
      </c>
      <c r="C124" s="14">
        <v>0.66666666666666663</v>
      </c>
      <c r="D124" t="s">
        <v>53</v>
      </c>
      <c r="E124" t="s">
        <v>18</v>
      </c>
      <c r="F124">
        <v>1</v>
      </c>
      <c r="G124">
        <v>1</v>
      </c>
      <c r="H124">
        <v>0</v>
      </c>
      <c r="I124" s="2">
        <v>1</v>
      </c>
      <c r="J124" s="14">
        <v>6.6666666666666671E-3</v>
      </c>
      <c r="K124" s="6">
        <f>INT(Regiones[[#This Row],[Fecha]])</f>
        <v>46204</v>
      </c>
      <c r="L124" s="10">
        <f>IFERROR(Regiones[[#This Row],[Contestadas]]/Regiones[[#This Row],[Ofrecidas]],"")</f>
        <v>1</v>
      </c>
      <c r="M124" s="7">
        <f>IFERROR(Regiones[[#This Row],[Ofrecidas]]*Regiones[[#This Row],[% de nivel de servicio]],"")</f>
        <v>1</v>
      </c>
      <c r="N124" s="7"/>
      <c r="O124" s="12">
        <f>IFERROR(Regiones[[#This Row],[Aten &lt; 20 seg]]/Regiones[[#This Row],[Contestadas]],"")</f>
        <v>1</v>
      </c>
      <c r="P124" s="13">
        <f>IFERROR(Regiones[[#This Row],[AHT]]*86400,"error")</f>
        <v>576</v>
      </c>
      <c r="Q124" s="13" t="str">
        <f>+VLOOKUP(Regiones[[#This Row],[Cola]],Tabla6[#Data],2,0)</f>
        <v>BUPA</v>
      </c>
      <c r="R124" s="13" t="e">
        <f>+VLOOKUP(Regiones[[#This Row],[Cola]],Tabla68[],2,0)</f>
        <v>#N/A</v>
      </c>
    </row>
    <row r="125" spans="2:18" x14ac:dyDescent="0.3">
      <c r="B125" s="6">
        <v>46204</v>
      </c>
      <c r="C125" s="14">
        <v>0.66666666666666663</v>
      </c>
      <c r="D125" t="s">
        <v>54</v>
      </c>
      <c r="E125" t="s">
        <v>18</v>
      </c>
      <c r="F125">
        <v>1</v>
      </c>
      <c r="G125">
        <v>1</v>
      </c>
      <c r="H125">
        <v>0</v>
      </c>
      <c r="I125" s="2">
        <v>1</v>
      </c>
      <c r="J125" s="14" t="s">
        <v>19</v>
      </c>
      <c r="K125" s="6">
        <f>INT(Regiones[[#This Row],[Fecha]])</f>
        <v>46204</v>
      </c>
      <c r="L125" s="10">
        <f>IFERROR(Regiones[[#This Row],[Contestadas]]/Regiones[[#This Row],[Ofrecidas]],"")</f>
        <v>1</v>
      </c>
      <c r="M125" s="7">
        <f>IFERROR(Regiones[[#This Row],[Ofrecidas]]*Regiones[[#This Row],[% de nivel de servicio]],"")</f>
        <v>1</v>
      </c>
      <c r="N125" s="7"/>
      <c r="O125" s="12">
        <f>IFERROR(Regiones[[#This Row],[Aten &lt; 20 seg]]/Regiones[[#This Row],[Contestadas]],"")</f>
        <v>1</v>
      </c>
      <c r="P125" s="13" t="str">
        <f>IFERROR(Regiones[[#This Row],[AHT]]*86400,"error")</f>
        <v>error</v>
      </c>
      <c r="Q125" s="13" t="str">
        <f>+VLOOKUP(Regiones[[#This Row],[Cola]],Tabla6[#Data],2,0)</f>
        <v>BUPA</v>
      </c>
      <c r="R125" s="13" t="e">
        <f>+VLOOKUP(Regiones[[#This Row],[Cola]],Tabla68[],2,0)</f>
        <v>#N/A</v>
      </c>
    </row>
    <row r="126" spans="2:18" x14ac:dyDescent="0.3">
      <c r="B126" s="6">
        <v>46204</v>
      </c>
      <c r="C126" s="14">
        <v>0.66666666666666663</v>
      </c>
      <c r="D126" t="s">
        <v>47</v>
      </c>
      <c r="E126" t="s">
        <v>18</v>
      </c>
      <c r="F126">
        <v>8</v>
      </c>
      <c r="G126">
        <v>10</v>
      </c>
      <c r="H126">
        <v>0</v>
      </c>
      <c r="I126" s="2">
        <v>0.5</v>
      </c>
      <c r="J126" s="14">
        <v>3.9814814814814817E-3</v>
      </c>
      <c r="K126" s="6">
        <f>INT(Regiones[[#This Row],[Fecha]])</f>
        <v>46204</v>
      </c>
      <c r="L126" s="10">
        <f>IFERROR(Regiones[[#This Row],[Contestadas]]/Regiones[[#This Row],[Ofrecidas]],"")</f>
        <v>1.25</v>
      </c>
      <c r="M126" s="7">
        <f>IFERROR(Regiones[[#This Row],[Ofrecidas]]*Regiones[[#This Row],[% de nivel de servicio]],"")</f>
        <v>4</v>
      </c>
      <c r="N126" s="7"/>
      <c r="O126" s="12">
        <f>IFERROR(Regiones[[#This Row],[Aten &lt; 20 seg]]/Regiones[[#This Row],[Contestadas]],"")</f>
        <v>0.4</v>
      </c>
      <c r="P126" s="13">
        <f>IFERROR(Regiones[[#This Row],[AHT]]*86400,"error")</f>
        <v>344</v>
      </c>
      <c r="Q126" s="13" t="str">
        <f>+VLOOKUP(Regiones[[#This Row],[Cola]],Tabla6[#Data],2,0)</f>
        <v>BUPA</v>
      </c>
      <c r="R126" s="13" t="e">
        <f>+VLOOKUP(Regiones[[#This Row],[Cola]],Tabla68[],2,0)</f>
        <v>#N/A</v>
      </c>
    </row>
    <row r="127" spans="2:18" x14ac:dyDescent="0.3">
      <c r="B127" s="6">
        <v>46204</v>
      </c>
      <c r="C127" s="14">
        <v>0.66666666666666663</v>
      </c>
      <c r="D127" t="s">
        <v>56</v>
      </c>
      <c r="E127" t="s">
        <v>18</v>
      </c>
      <c r="F127">
        <v>2</v>
      </c>
      <c r="G127">
        <v>2</v>
      </c>
      <c r="H127">
        <v>0</v>
      </c>
      <c r="I127" s="2">
        <v>1</v>
      </c>
      <c r="J127" s="14">
        <v>2.0601851851851853E-3</v>
      </c>
      <c r="K127" s="6">
        <f>INT(Regiones[[#This Row],[Fecha]])</f>
        <v>46204</v>
      </c>
      <c r="L127" s="10">
        <f>IFERROR(Regiones[[#This Row],[Contestadas]]/Regiones[[#This Row],[Ofrecidas]],"")</f>
        <v>1</v>
      </c>
      <c r="M127" s="7">
        <f>IFERROR(Regiones[[#This Row],[Ofrecidas]]*Regiones[[#This Row],[% de nivel de servicio]],"")</f>
        <v>2</v>
      </c>
      <c r="N127" s="7"/>
      <c r="O127" s="12">
        <f>IFERROR(Regiones[[#This Row],[Aten &lt; 20 seg]]/Regiones[[#This Row],[Contestadas]],"")</f>
        <v>1</v>
      </c>
      <c r="P127" s="13">
        <f>IFERROR(Regiones[[#This Row],[AHT]]*86400,"error")</f>
        <v>178</v>
      </c>
      <c r="Q127" s="13" t="str">
        <f>+VLOOKUP(Regiones[[#This Row],[Cola]],Tabla6[#Data],2,0)</f>
        <v>BUPA</v>
      </c>
      <c r="R127" s="13" t="e">
        <f>+VLOOKUP(Regiones[[#This Row],[Cola]],Tabla68[],2,0)</f>
        <v>#N/A</v>
      </c>
    </row>
    <row r="128" spans="2:18" x14ac:dyDescent="0.3">
      <c r="B128" s="6">
        <v>46204</v>
      </c>
      <c r="C128" s="14">
        <v>0.6875</v>
      </c>
      <c r="D128" t="s">
        <v>48</v>
      </c>
      <c r="E128" t="s">
        <v>18</v>
      </c>
      <c r="F128">
        <v>6</v>
      </c>
      <c r="G128">
        <v>6</v>
      </c>
      <c r="H128">
        <v>0</v>
      </c>
      <c r="I128" s="2">
        <v>0.33</v>
      </c>
      <c r="J128" s="14">
        <v>4.178240740740741E-3</v>
      </c>
      <c r="K128" s="6">
        <f>INT(Regiones[[#This Row],[Fecha]])</f>
        <v>46204</v>
      </c>
      <c r="L128" s="10">
        <f>IFERROR(Regiones[[#This Row],[Contestadas]]/Regiones[[#This Row],[Ofrecidas]],"")</f>
        <v>1</v>
      </c>
      <c r="M128" s="7">
        <f>IFERROR(Regiones[[#This Row],[Ofrecidas]]*Regiones[[#This Row],[% de nivel de servicio]],"")</f>
        <v>1.98</v>
      </c>
      <c r="N128" s="7"/>
      <c r="O128" s="12">
        <f>IFERROR(Regiones[[#This Row],[Aten &lt; 20 seg]]/Regiones[[#This Row],[Contestadas]],"")</f>
        <v>0.33</v>
      </c>
      <c r="P128" s="13">
        <f>IFERROR(Regiones[[#This Row],[AHT]]*86400,"error")</f>
        <v>361</v>
      </c>
      <c r="Q128" s="13" t="str">
        <f>+VLOOKUP(Regiones[[#This Row],[Cola]],Tabla6[#Data],2,0)</f>
        <v>BUPA</v>
      </c>
      <c r="R128" s="13" t="e">
        <f>+VLOOKUP(Regiones[[#This Row],[Cola]],Tabla68[],2,0)</f>
        <v>#N/A</v>
      </c>
    </row>
    <row r="129" spans="2:18" x14ac:dyDescent="0.3">
      <c r="B129" s="6">
        <v>46204</v>
      </c>
      <c r="C129" s="14">
        <v>0.6875</v>
      </c>
      <c r="D129" t="s">
        <v>53</v>
      </c>
      <c r="E129" t="s">
        <v>18</v>
      </c>
      <c r="F129">
        <v>1</v>
      </c>
      <c r="G129">
        <v>1</v>
      </c>
      <c r="H129">
        <v>0</v>
      </c>
      <c r="I129" s="2">
        <v>0</v>
      </c>
      <c r="J129" s="14">
        <v>9.6874999999999999E-3</v>
      </c>
      <c r="K129" s="6">
        <f>INT(Regiones[[#This Row],[Fecha]])</f>
        <v>46204</v>
      </c>
      <c r="L129" s="10">
        <f>IFERROR(Regiones[[#This Row],[Contestadas]]/Regiones[[#This Row],[Ofrecidas]],"")</f>
        <v>1</v>
      </c>
      <c r="M129" s="7">
        <f>IFERROR(Regiones[[#This Row],[Ofrecidas]]*Regiones[[#This Row],[% de nivel de servicio]],"")</f>
        <v>0</v>
      </c>
      <c r="N129" s="7"/>
      <c r="O129" s="12">
        <f>IFERROR(Regiones[[#This Row],[Aten &lt; 20 seg]]/Regiones[[#This Row],[Contestadas]],"")</f>
        <v>0</v>
      </c>
      <c r="P129" s="13">
        <f>IFERROR(Regiones[[#This Row],[AHT]]*86400,"error")</f>
        <v>837</v>
      </c>
      <c r="Q129" s="13" t="str">
        <f>+VLOOKUP(Regiones[[#This Row],[Cola]],Tabla6[#Data],2,0)</f>
        <v>BUPA</v>
      </c>
      <c r="R129" s="13" t="e">
        <f>+VLOOKUP(Regiones[[#This Row],[Cola]],Tabla68[],2,0)</f>
        <v>#N/A</v>
      </c>
    </row>
    <row r="130" spans="2:18" x14ac:dyDescent="0.3">
      <c r="B130" s="6">
        <v>46204</v>
      </c>
      <c r="C130" s="14">
        <v>0.6875</v>
      </c>
      <c r="D130" t="s">
        <v>56</v>
      </c>
      <c r="E130" t="s">
        <v>18</v>
      </c>
      <c r="F130">
        <v>0</v>
      </c>
      <c r="G130">
        <v>0</v>
      </c>
      <c r="H130">
        <v>0</v>
      </c>
      <c r="I130" s="2" t="s">
        <v>20</v>
      </c>
      <c r="J130" s="14">
        <v>5.5208333333333333E-3</v>
      </c>
      <c r="K130" s="6">
        <f>INT(Regiones[[#This Row],[Fecha]])</f>
        <v>46204</v>
      </c>
      <c r="L130" s="10" t="str">
        <f>IFERROR(Regiones[[#This Row],[Contestadas]]/Regiones[[#This Row],[Ofrecidas]],"")</f>
        <v/>
      </c>
      <c r="M130" s="7" t="str">
        <f>IFERROR(Regiones[[#This Row],[Ofrecidas]]*Regiones[[#This Row],[% de nivel de servicio]],"")</f>
        <v/>
      </c>
      <c r="N130" s="7"/>
      <c r="O130" s="12" t="str">
        <f>IFERROR(Regiones[[#This Row],[Aten &lt; 20 seg]]/Regiones[[#This Row],[Contestadas]],"")</f>
        <v/>
      </c>
      <c r="P130" s="13">
        <f>IFERROR(Regiones[[#This Row],[AHT]]*86400,"error")</f>
        <v>477</v>
      </c>
      <c r="Q130" s="13" t="str">
        <f>+VLOOKUP(Regiones[[#This Row],[Cola]],Tabla6[#Data],2,0)</f>
        <v>BUPA</v>
      </c>
      <c r="R130" s="13" t="e">
        <f>+VLOOKUP(Regiones[[#This Row],[Cola]],Tabla68[],2,0)</f>
        <v>#N/A</v>
      </c>
    </row>
    <row r="131" spans="2:18" x14ac:dyDescent="0.3">
      <c r="B131" s="6">
        <v>46204</v>
      </c>
      <c r="C131" s="14">
        <v>0.6875</v>
      </c>
      <c r="D131" t="s">
        <v>49</v>
      </c>
      <c r="E131" t="s">
        <v>18</v>
      </c>
      <c r="F131">
        <v>1</v>
      </c>
      <c r="G131">
        <v>1</v>
      </c>
      <c r="H131">
        <v>0</v>
      </c>
      <c r="I131" s="2">
        <v>1</v>
      </c>
      <c r="J131" s="14">
        <v>3.4953703703703705E-3</v>
      </c>
      <c r="K131" s="6">
        <f>INT(Regiones[[#This Row],[Fecha]])</f>
        <v>46204</v>
      </c>
      <c r="L131" s="10">
        <f>IFERROR(Regiones[[#This Row],[Contestadas]]/Regiones[[#This Row],[Ofrecidas]],"")</f>
        <v>1</v>
      </c>
      <c r="M131" s="7">
        <f>IFERROR(Regiones[[#This Row],[Ofrecidas]]*Regiones[[#This Row],[% de nivel de servicio]],"")</f>
        <v>1</v>
      </c>
      <c r="N131" s="7"/>
      <c r="O131" s="12">
        <f>IFERROR(Regiones[[#This Row],[Aten &lt; 20 seg]]/Regiones[[#This Row],[Contestadas]],"")</f>
        <v>1</v>
      </c>
      <c r="P131" s="13">
        <f>IFERROR(Regiones[[#This Row],[AHT]]*86400,"error")</f>
        <v>302</v>
      </c>
      <c r="Q131" s="13" t="str">
        <f>+VLOOKUP(Regiones[[#This Row],[Cola]],Tabla6[#Data],2,0)</f>
        <v>BUPA</v>
      </c>
      <c r="R131" s="13" t="e">
        <f>+VLOOKUP(Regiones[[#This Row],[Cola]],Tabla68[],2,0)</f>
        <v>#N/A</v>
      </c>
    </row>
    <row r="132" spans="2:18" x14ac:dyDescent="0.3">
      <c r="B132" s="6">
        <v>46204</v>
      </c>
      <c r="C132" s="14">
        <v>0.6875</v>
      </c>
      <c r="D132" t="s">
        <v>47</v>
      </c>
      <c r="E132" t="s">
        <v>18</v>
      </c>
      <c r="F132">
        <v>13</v>
      </c>
      <c r="G132">
        <v>13</v>
      </c>
      <c r="H132">
        <v>0</v>
      </c>
      <c r="I132" s="2">
        <v>0.46</v>
      </c>
      <c r="J132" s="14">
        <v>4.2939814814814811E-3</v>
      </c>
      <c r="K132" s="6">
        <f>INT(Regiones[[#This Row],[Fecha]])</f>
        <v>46204</v>
      </c>
      <c r="L132" s="10">
        <f>IFERROR(Regiones[[#This Row],[Contestadas]]/Regiones[[#This Row],[Ofrecidas]],"")</f>
        <v>1</v>
      </c>
      <c r="M132" s="7">
        <f>IFERROR(Regiones[[#This Row],[Ofrecidas]]*Regiones[[#This Row],[% de nivel de servicio]],"")</f>
        <v>5.98</v>
      </c>
      <c r="N132" s="7"/>
      <c r="O132" s="12">
        <f>IFERROR(Regiones[[#This Row],[Aten &lt; 20 seg]]/Regiones[[#This Row],[Contestadas]],"")</f>
        <v>0.46</v>
      </c>
      <c r="P132" s="13">
        <f>IFERROR(Regiones[[#This Row],[AHT]]*86400,"error")</f>
        <v>370.99999999999994</v>
      </c>
      <c r="Q132" s="13" t="str">
        <f>+VLOOKUP(Regiones[[#This Row],[Cola]],Tabla6[#Data],2,0)</f>
        <v>BUPA</v>
      </c>
      <c r="R132" s="13" t="e">
        <f>+VLOOKUP(Regiones[[#This Row],[Cola]],Tabla68[],2,0)</f>
        <v>#N/A</v>
      </c>
    </row>
    <row r="133" spans="2:18" x14ac:dyDescent="0.3">
      <c r="B133" s="6">
        <v>46204</v>
      </c>
      <c r="C133" s="14">
        <v>0.6875</v>
      </c>
      <c r="D133" t="s">
        <v>54</v>
      </c>
      <c r="E133" t="s">
        <v>18</v>
      </c>
      <c r="F133">
        <v>1</v>
      </c>
      <c r="G133">
        <v>1</v>
      </c>
      <c r="H133">
        <v>0</v>
      </c>
      <c r="I133" s="2">
        <v>0</v>
      </c>
      <c r="J133" s="14">
        <v>2.4305555555555556E-3</v>
      </c>
      <c r="K133" s="6">
        <f>INT(Regiones[[#This Row],[Fecha]])</f>
        <v>46204</v>
      </c>
      <c r="L133" s="10">
        <f>IFERROR(Regiones[[#This Row],[Contestadas]]/Regiones[[#This Row],[Ofrecidas]],"")</f>
        <v>1</v>
      </c>
      <c r="M133" s="7">
        <f>IFERROR(Regiones[[#This Row],[Ofrecidas]]*Regiones[[#This Row],[% de nivel de servicio]],"")</f>
        <v>0</v>
      </c>
      <c r="N133" s="7"/>
      <c r="O133" s="12">
        <f>IFERROR(Regiones[[#This Row],[Aten &lt; 20 seg]]/Regiones[[#This Row],[Contestadas]],"")</f>
        <v>0</v>
      </c>
      <c r="P133" s="13">
        <f>IFERROR(Regiones[[#This Row],[AHT]]*86400,"error")</f>
        <v>210</v>
      </c>
      <c r="Q133" s="13" t="str">
        <f>+VLOOKUP(Regiones[[#This Row],[Cola]],Tabla6[#Data],2,0)</f>
        <v>BUPA</v>
      </c>
      <c r="R133" s="13" t="e">
        <f>+VLOOKUP(Regiones[[#This Row],[Cola]],Tabla68[],2,0)</f>
        <v>#N/A</v>
      </c>
    </row>
    <row r="134" spans="2:18" x14ac:dyDescent="0.3">
      <c r="B134" s="6">
        <v>46204</v>
      </c>
      <c r="C134" s="14">
        <v>0.6875</v>
      </c>
      <c r="D134" t="s">
        <v>46</v>
      </c>
      <c r="E134" t="s">
        <v>18</v>
      </c>
      <c r="F134">
        <v>8</v>
      </c>
      <c r="G134">
        <v>8</v>
      </c>
      <c r="H134">
        <v>0</v>
      </c>
      <c r="I134" s="2">
        <v>0.75</v>
      </c>
      <c r="J134" s="14">
        <v>6.5740740740740742E-3</v>
      </c>
      <c r="K134" s="6">
        <f>INT(Regiones[[#This Row],[Fecha]])</f>
        <v>46204</v>
      </c>
      <c r="L134" s="10">
        <f>IFERROR(Regiones[[#This Row],[Contestadas]]/Regiones[[#This Row],[Ofrecidas]],"")</f>
        <v>1</v>
      </c>
      <c r="M134" s="7">
        <f>IFERROR(Regiones[[#This Row],[Ofrecidas]]*Regiones[[#This Row],[% de nivel de servicio]],"")</f>
        <v>6</v>
      </c>
      <c r="N134" s="7"/>
      <c r="O134" s="12">
        <f>IFERROR(Regiones[[#This Row],[Aten &lt; 20 seg]]/Regiones[[#This Row],[Contestadas]],"")</f>
        <v>0.75</v>
      </c>
      <c r="P134" s="13">
        <f>IFERROR(Regiones[[#This Row],[AHT]]*86400,"error")</f>
        <v>568</v>
      </c>
      <c r="Q134" s="13" t="str">
        <f>+VLOOKUP(Regiones[[#This Row],[Cola]],Tabla6[#Data],2,0)</f>
        <v>BUPA</v>
      </c>
      <c r="R134" s="13" t="e">
        <f>+VLOOKUP(Regiones[[#This Row],[Cola]],Tabla68[],2,0)</f>
        <v>#N/A</v>
      </c>
    </row>
    <row r="135" spans="2:18" x14ac:dyDescent="0.3">
      <c r="B135" s="6">
        <v>46204</v>
      </c>
      <c r="C135" s="14">
        <v>0.6875</v>
      </c>
      <c r="D135" t="s">
        <v>57</v>
      </c>
      <c r="E135" t="s">
        <v>18</v>
      </c>
      <c r="F135">
        <v>1</v>
      </c>
      <c r="G135">
        <v>1</v>
      </c>
      <c r="H135">
        <v>0</v>
      </c>
      <c r="I135" s="2">
        <v>0</v>
      </c>
      <c r="J135" s="14">
        <v>4.5486111111111109E-3</v>
      </c>
      <c r="K135" s="6">
        <f>INT(Regiones[[#This Row],[Fecha]])</f>
        <v>46204</v>
      </c>
      <c r="L135" s="10">
        <f>IFERROR(Regiones[[#This Row],[Contestadas]]/Regiones[[#This Row],[Ofrecidas]],"")</f>
        <v>1</v>
      </c>
      <c r="M135" s="7">
        <f>IFERROR(Regiones[[#This Row],[Ofrecidas]]*Regiones[[#This Row],[% de nivel de servicio]],"")</f>
        <v>0</v>
      </c>
      <c r="N135" s="7"/>
      <c r="O135" s="12">
        <f>IFERROR(Regiones[[#This Row],[Aten &lt; 20 seg]]/Regiones[[#This Row],[Contestadas]],"")</f>
        <v>0</v>
      </c>
      <c r="P135" s="13">
        <f>IFERROR(Regiones[[#This Row],[AHT]]*86400,"error")</f>
        <v>393</v>
      </c>
      <c r="Q135" s="13" t="str">
        <f>+VLOOKUP(Regiones[[#This Row],[Cola]],Tabla6[#Data],2,0)</f>
        <v>BUPA</v>
      </c>
      <c r="R135" s="13" t="e">
        <f>+VLOOKUP(Regiones[[#This Row],[Cola]],Tabla68[],2,0)</f>
        <v>#N/A</v>
      </c>
    </row>
    <row r="136" spans="2:18" x14ac:dyDescent="0.3">
      <c r="B136" s="6">
        <v>46204</v>
      </c>
      <c r="C136" s="14">
        <v>0.6875</v>
      </c>
      <c r="D136" t="s">
        <v>52</v>
      </c>
      <c r="E136" t="s">
        <v>18</v>
      </c>
      <c r="F136">
        <v>1</v>
      </c>
      <c r="G136">
        <v>1</v>
      </c>
      <c r="H136">
        <v>0</v>
      </c>
      <c r="I136" s="2">
        <v>0</v>
      </c>
      <c r="J136" s="14">
        <v>6.4699074074074077E-3</v>
      </c>
      <c r="K136" s="6">
        <f>INT(Regiones[[#This Row],[Fecha]])</f>
        <v>46204</v>
      </c>
      <c r="L136" s="10">
        <f>IFERROR(Regiones[[#This Row],[Contestadas]]/Regiones[[#This Row],[Ofrecidas]],"")</f>
        <v>1</v>
      </c>
      <c r="M136" s="7">
        <f>IFERROR(Regiones[[#This Row],[Ofrecidas]]*Regiones[[#This Row],[% de nivel de servicio]],"")</f>
        <v>0</v>
      </c>
      <c r="N136" s="7"/>
      <c r="O136" s="12">
        <f>IFERROR(Regiones[[#This Row],[Aten &lt; 20 seg]]/Regiones[[#This Row],[Contestadas]],"")</f>
        <v>0</v>
      </c>
      <c r="P136" s="13">
        <f>IFERROR(Regiones[[#This Row],[AHT]]*86400,"error")</f>
        <v>559</v>
      </c>
      <c r="Q136" s="13" t="str">
        <f>+VLOOKUP(Regiones[[#This Row],[Cola]],Tabla6[#Data],2,0)</f>
        <v>BUPA</v>
      </c>
      <c r="R136" s="13" t="e">
        <f>+VLOOKUP(Regiones[[#This Row],[Cola]],Tabla68[],2,0)</f>
        <v>#N/A</v>
      </c>
    </row>
    <row r="137" spans="2:18" x14ac:dyDescent="0.3">
      <c r="B137" s="6">
        <v>46204</v>
      </c>
      <c r="C137" s="14">
        <v>0.6875</v>
      </c>
      <c r="D137" t="s">
        <v>50</v>
      </c>
      <c r="E137" t="s">
        <v>18</v>
      </c>
      <c r="F137">
        <v>1</v>
      </c>
      <c r="G137">
        <v>1</v>
      </c>
      <c r="H137">
        <v>0</v>
      </c>
      <c r="I137" s="2">
        <v>1</v>
      </c>
      <c r="J137" s="14">
        <v>3.8078703703703703E-3</v>
      </c>
      <c r="K137" s="6">
        <f>INT(Regiones[[#This Row],[Fecha]])</f>
        <v>46204</v>
      </c>
      <c r="L137" s="10">
        <f>IFERROR(Regiones[[#This Row],[Contestadas]]/Regiones[[#This Row],[Ofrecidas]],"")</f>
        <v>1</v>
      </c>
      <c r="M137" s="7">
        <f>IFERROR(Regiones[[#This Row],[Ofrecidas]]*Regiones[[#This Row],[% de nivel de servicio]],"")</f>
        <v>1</v>
      </c>
      <c r="N137" s="7"/>
      <c r="O137" s="12">
        <f>IFERROR(Regiones[[#This Row],[Aten &lt; 20 seg]]/Regiones[[#This Row],[Contestadas]],"")</f>
        <v>1</v>
      </c>
      <c r="P137" s="13">
        <f>IFERROR(Regiones[[#This Row],[AHT]]*86400,"error")</f>
        <v>329</v>
      </c>
      <c r="Q137" s="13" t="str">
        <f>+VLOOKUP(Regiones[[#This Row],[Cola]],Tabla6[#Data],2,0)</f>
        <v>BUPA</v>
      </c>
      <c r="R137" s="13" t="e">
        <f>+VLOOKUP(Regiones[[#This Row],[Cola]],Tabla68[],2,0)</f>
        <v>#N/A</v>
      </c>
    </row>
    <row r="138" spans="2:18" x14ac:dyDescent="0.3">
      <c r="B138" s="6">
        <v>46204</v>
      </c>
      <c r="C138" s="14">
        <v>0.70833333333333337</v>
      </c>
      <c r="D138" t="s">
        <v>46</v>
      </c>
      <c r="E138" t="s">
        <v>18</v>
      </c>
      <c r="F138">
        <v>3</v>
      </c>
      <c r="G138">
        <v>3</v>
      </c>
      <c r="H138">
        <v>0</v>
      </c>
      <c r="I138" s="2">
        <v>1</v>
      </c>
      <c r="J138" s="14">
        <v>4.3981481481481484E-3</v>
      </c>
      <c r="K138" s="6">
        <f>INT(Regiones[[#This Row],[Fecha]])</f>
        <v>46204</v>
      </c>
      <c r="L138" s="10">
        <f>IFERROR(Regiones[[#This Row],[Contestadas]]/Regiones[[#This Row],[Ofrecidas]],"")</f>
        <v>1</v>
      </c>
      <c r="M138" s="7">
        <f>IFERROR(Regiones[[#This Row],[Ofrecidas]]*Regiones[[#This Row],[% de nivel de servicio]],"")</f>
        <v>3</v>
      </c>
      <c r="N138" s="7"/>
      <c r="O138" s="12">
        <f>IFERROR(Regiones[[#This Row],[Aten &lt; 20 seg]]/Regiones[[#This Row],[Contestadas]],"")</f>
        <v>1</v>
      </c>
      <c r="P138" s="13">
        <f>IFERROR(Regiones[[#This Row],[AHT]]*86400,"error")</f>
        <v>380</v>
      </c>
      <c r="Q138" s="13" t="str">
        <f>+VLOOKUP(Regiones[[#This Row],[Cola]],Tabla6[#Data],2,0)</f>
        <v>BUPA</v>
      </c>
      <c r="R138" s="13" t="e">
        <f>+VLOOKUP(Regiones[[#This Row],[Cola]],Tabla68[],2,0)</f>
        <v>#N/A</v>
      </c>
    </row>
    <row r="139" spans="2:18" x14ac:dyDescent="0.3">
      <c r="B139" s="6">
        <v>46204</v>
      </c>
      <c r="C139" s="14">
        <v>0.70833333333333337</v>
      </c>
      <c r="D139" t="s">
        <v>57</v>
      </c>
      <c r="E139" t="s">
        <v>18</v>
      </c>
      <c r="F139">
        <v>1</v>
      </c>
      <c r="G139">
        <v>1</v>
      </c>
      <c r="H139">
        <v>0</v>
      </c>
      <c r="I139" s="2">
        <v>0</v>
      </c>
      <c r="J139" s="14">
        <v>7.4537037037037037E-3</v>
      </c>
      <c r="K139" s="6">
        <f>INT(Regiones[[#This Row],[Fecha]])</f>
        <v>46204</v>
      </c>
      <c r="L139" s="10">
        <f>IFERROR(Regiones[[#This Row],[Contestadas]]/Regiones[[#This Row],[Ofrecidas]],"")</f>
        <v>1</v>
      </c>
      <c r="M139" s="7">
        <f>IFERROR(Regiones[[#This Row],[Ofrecidas]]*Regiones[[#This Row],[% de nivel de servicio]],"")</f>
        <v>0</v>
      </c>
      <c r="N139" s="7"/>
      <c r="O139" s="12">
        <f>IFERROR(Regiones[[#This Row],[Aten &lt; 20 seg]]/Regiones[[#This Row],[Contestadas]],"")</f>
        <v>0</v>
      </c>
      <c r="P139" s="13">
        <f>IFERROR(Regiones[[#This Row],[AHT]]*86400,"error")</f>
        <v>644</v>
      </c>
      <c r="Q139" s="13" t="str">
        <f>+VLOOKUP(Regiones[[#This Row],[Cola]],Tabla6[#Data],2,0)</f>
        <v>BUPA</v>
      </c>
      <c r="R139" s="13" t="e">
        <f>+VLOOKUP(Regiones[[#This Row],[Cola]],Tabla68[],2,0)</f>
        <v>#N/A</v>
      </c>
    </row>
    <row r="140" spans="2:18" x14ac:dyDescent="0.3">
      <c r="B140" s="6">
        <v>46204</v>
      </c>
      <c r="C140" s="14">
        <v>0.70833333333333337</v>
      </c>
      <c r="D140" t="s">
        <v>50</v>
      </c>
      <c r="E140" t="s">
        <v>18</v>
      </c>
      <c r="F140">
        <v>3</v>
      </c>
      <c r="G140">
        <v>3</v>
      </c>
      <c r="H140">
        <v>0</v>
      </c>
      <c r="I140" s="2">
        <v>0.67</v>
      </c>
      <c r="J140" s="14">
        <v>2.4074074074074076E-3</v>
      </c>
      <c r="K140" s="6">
        <f>INT(Regiones[[#This Row],[Fecha]])</f>
        <v>46204</v>
      </c>
      <c r="L140" s="10">
        <f>IFERROR(Regiones[[#This Row],[Contestadas]]/Regiones[[#This Row],[Ofrecidas]],"")</f>
        <v>1</v>
      </c>
      <c r="M140" s="7">
        <f>IFERROR(Regiones[[#This Row],[Ofrecidas]]*Regiones[[#This Row],[% de nivel de servicio]],"")</f>
        <v>2.0100000000000002</v>
      </c>
      <c r="N140" s="7"/>
      <c r="O140" s="12">
        <f>IFERROR(Regiones[[#This Row],[Aten &lt; 20 seg]]/Regiones[[#This Row],[Contestadas]],"")</f>
        <v>0.67</v>
      </c>
      <c r="P140" s="13">
        <f>IFERROR(Regiones[[#This Row],[AHT]]*86400,"error")</f>
        <v>208.00000000000003</v>
      </c>
      <c r="Q140" s="13" t="str">
        <f>+VLOOKUP(Regiones[[#This Row],[Cola]],Tabla6[#Data],2,0)</f>
        <v>BUPA</v>
      </c>
      <c r="R140" s="13" t="e">
        <f>+VLOOKUP(Regiones[[#This Row],[Cola]],Tabla68[],2,0)</f>
        <v>#N/A</v>
      </c>
    </row>
    <row r="141" spans="2:18" x14ac:dyDescent="0.3">
      <c r="B141" s="6">
        <v>46204</v>
      </c>
      <c r="C141" s="14">
        <v>0.70833333333333337</v>
      </c>
      <c r="D141" t="s">
        <v>56</v>
      </c>
      <c r="E141" t="s">
        <v>18</v>
      </c>
      <c r="F141">
        <v>1</v>
      </c>
      <c r="G141">
        <v>1</v>
      </c>
      <c r="H141">
        <v>0</v>
      </c>
      <c r="I141" s="2">
        <v>1</v>
      </c>
      <c r="J141" s="14">
        <v>9.5486111111111119E-3</v>
      </c>
      <c r="K141" s="6">
        <f>INT(Regiones[[#This Row],[Fecha]])</f>
        <v>46204</v>
      </c>
      <c r="L141" s="10">
        <f>IFERROR(Regiones[[#This Row],[Contestadas]]/Regiones[[#This Row],[Ofrecidas]],"")</f>
        <v>1</v>
      </c>
      <c r="M141" s="7">
        <f>IFERROR(Regiones[[#This Row],[Ofrecidas]]*Regiones[[#This Row],[% de nivel de servicio]],"")</f>
        <v>1</v>
      </c>
      <c r="N141" s="7"/>
      <c r="O141" s="12">
        <f>IFERROR(Regiones[[#This Row],[Aten &lt; 20 seg]]/Regiones[[#This Row],[Contestadas]],"")</f>
        <v>1</v>
      </c>
      <c r="P141" s="13">
        <f>IFERROR(Regiones[[#This Row],[AHT]]*86400,"error")</f>
        <v>825.00000000000011</v>
      </c>
      <c r="Q141" s="13" t="str">
        <f>+VLOOKUP(Regiones[[#This Row],[Cola]],Tabla6[#Data],2,0)</f>
        <v>BUPA</v>
      </c>
      <c r="R141" s="13" t="e">
        <f>+VLOOKUP(Regiones[[#This Row],[Cola]],Tabla68[],2,0)</f>
        <v>#N/A</v>
      </c>
    </row>
    <row r="142" spans="2:18" x14ac:dyDescent="0.3">
      <c r="B142" s="6">
        <v>46204</v>
      </c>
      <c r="C142" s="14">
        <v>0.70833333333333337</v>
      </c>
      <c r="D142" t="s">
        <v>48</v>
      </c>
      <c r="E142" t="s">
        <v>18</v>
      </c>
      <c r="F142">
        <v>3</v>
      </c>
      <c r="G142">
        <v>2</v>
      </c>
      <c r="H142">
        <v>1</v>
      </c>
      <c r="I142" s="2">
        <v>0.67</v>
      </c>
      <c r="J142" s="14">
        <v>4.1898148148148146E-3</v>
      </c>
      <c r="K142" s="6">
        <f>INT(Regiones[[#This Row],[Fecha]])</f>
        <v>46204</v>
      </c>
      <c r="L142" s="10">
        <f>IFERROR(Regiones[[#This Row],[Contestadas]]/Regiones[[#This Row],[Ofrecidas]],"")</f>
        <v>0.66666666666666663</v>
      </c>
      <c r="M142" s="7">
        <f>IFERROR(Regiones[[#This Row],[Ofrecidas]]*Regiones[[#This Row],[% de nivel de servicio]],"")</f>
        <v>2.0100000000000002</v>
      </c>
      <c r="N142" s="7"/>
      <c r="O142" s="12">
        <f>IFERROR(Regiones[[#This Row],[Aten &lt; 20 seg]]/Regiones[[#This Row],[Contestadas]],"")</f>
        <v>1.0050000000000001</v>
      </c>
      <c r="P142" s="13">
        <f>IFERROR(Regiones[[#This Row],[AHT]]*86400,"error")</f>
        <v>362</v>
      </c>
      <c r="Q142" s="13" t="str">
        <f>+VLOOKUP(Regiones[[#This Row],[Cola]],Tabla6[#Data],2,0)</f>
        <v>BUPA</v>
      </c>
      <c r="R142" s="13" t="e">
        <f>+VLOOKUP(Regiones[[#This Row],[Cola]],Tabla68[],2,0)</f>
        <v>#N/A</v>
      </c>
    </row>
    <row r="143" spans="2:18" x14ac:dyDescent="0.3">
      <c r="B143" s="6">
        <v>46204</v>
      </c>
      <c r="C143" s="14">
        <v>0.70833333333333337</v>
      </c>
      <c r="D143" t="s">
        <v>47</v>
      </c>
      <c r="E143" t="s">
        <v>18</v>
      </c>
      <c r="F143">
        <v>5</v>
      </c>
      <c r="G143">
        <v>5</v>
      </c>
      <c r="H143">
        <v>0</v>
      </c>
      <c r="I143" s="2">
        <v>1</v>
      </c>
      <c r="J143" s="14">
        <v>7.8356481481481489E-3</v>
      </c>
      <c r="K143" s="6">
        <f>INT(Regiones[[#This Row],[Fecha]])</f>
        <v>46204</v>
      </c>
      <c r="L143" s="10">
        <f>IFERROR(Regiones[[#This Row],[Contestadas]]/Regiones[[#This Row],[Ofrecidas]],"")</f>
        <v>1</v>
      </c>
      <c r="M143" s="7">
        <f>IFERROR(Regiones[[#This Row],[Ofrecidas]]*Regiones[[#This Row],[% de nivel de servicio]],"")</f>
        <v>5</v>
      </c>
      <c r="N143" s="7"/>
      <c r="O143" s="12">
        <f>IFERROR(Regiones[[#This Row],[Aten &lt; 20 seg]]/Regiones[[#This Row],[Contestadas]],"")</f>
        <v>1</v>
      </c>
      <c r="P143" s="13">
        <f>IFERROR(Regiones[[#This Row],[AHT]]*86400,"error")</f>
        <v>677.00000000000011</v>
      </c>
      <c r="Q143" s="13" t="str">
        <f>+VLOOKUP(Regiones[[#This Row],[Cola]],Tabla6[#Data],2,0)</f>
        <v>BUPA</v>
      </c>
      <c r="R143" s="13" t="e">
        <f>+VLOOKUP(Regiones[[#This Row],[Cola]],Tabla68[],2,0)</f>
        <v>#N/A</v>
      </c>
    </row>
    <row r="144" spans="2:18" x14ac:dyDescent="0.3">
      <c r="B144" s="6">
        <v>46204</v>
      </c>
      <c r="C144" s="14">
        <v>0.70833333333333337</v>
      </c>
      <c r="D144" t="s">
        <v>53</v>
      </c>
      <c r="E144" t="s">
        <v>18</v>
      </c>
      <c r="F144">
        <v>2</v>
      </c>
      <c r="G144">
        <v>2</v>
      </c>
      <c r="H144">
        <v>0</v>
      </c>
      <c r="I144" s="2">
        <v>0.5</v>
      </c>
      <c r="J144" s="14">
        <v>8.3101851851851843E-3</v>
      </c>
      <c r="K144" s="6">
        <f>INT(Regiones[[#This Row],[Fecha]])</f>
        <v>46204</v>
      </c>
      <c r="L144" s="10">
        <f>IFERROR(Regiones[[#This Row],[Contestadas]]/Regiones[[#This Row],[Ofrecidas]],"")</f>
        <v>1</v>
      </c>
      <c r="M144" s="7">
        <f>IFERROR(Regiones[[#This Row],[Ofrecidas]]*Regiones[[#This Row],[% de nivel de servicio]],"")</f>
        <v>1</v>
      </c>
      <c r="N144" s="7"/>
      <c r="O144" s="12">
        <f>IFERROR(Regiones[[#This Row],[Aten &lt; 20 seg]]/Regiones[[#This Row],[Contestadas]],"")</f>
        <v>0.5</v>
      </c>
      <c r="P144" s="13">
        <f>IFERROR(Regiones[[#This Row],[AHT]]*86400,"error")</f>
        <v>717.99999999999989</v>
      </c>
      <c r="Q144" s="13" t="str">
        <f>+VLOOKUP(Regiones[[#This Row],[Cola]],Tabla6[#Data],2,0)</f>
        <v>BUPA</v>
      </c>
      <c r="R144" s="13" t="e">
        <f>+VLOOKUP(Regiones[[#This Row],[Cola]],Tabla68[],2,0)</f>
        <v>#N/A</v>
      </c>
    </row>
    <row r="145" spans="2:18" x14ac:dyDescent="0.3">
      <c r="B145" s="6">
        <v>46204</v>
      </c>
      <c r="C145" s="14">
        <v>0.72916666666666663</v>
      </c>
      <c r="D145" t="s">
        <v>48</v>
      </c>
      <c r="E145" t="s">
        <v>18</v>
      </c>
      <c r="F145">
        <v>5</v>
      </c>
      <c r="G145">
        <v>4</v>
      </c>
      <c r="H145">
        <v>1</v>
      </c>
      <c r="I145" s="2">
        <v>0</v>
      </c>
      <c r="J145" s="14">
        <v>5.9490740740740745E-3</v>
      </c>
      <c r="K145" s="6">
        <f>INT(Regiones[[#This Row],[Fecha]])</f>
        <v>46204</v>
      </c>
      <c r="L145" s="10">
        <f>IFERROR(Regiones[[#This Row],[Contestadas]]/Regiones[[#This Row],[Ofrecidas]],"")</f>
        <v>0.8</v>
      </c>
      <c r="M145" s="7">
        <f>IFERROR(Regiones[[#This Row],[Ofrecidas]]*Regiones[[#This Row],[% de nivel de servicio]],"")</f>
        <v>0</v>
      </c>
      <c r="N145" s="7"/>
      <c r="O145" s="12">
        <f>IFERROR(Regiones[[#This Row],[Aten &lt; 20 seg]]/Regiones[[#This Row],[Contestadas]],"")</f>
        <v>0</v>
      </c>
      <c r="P145" s="13">
        <f>IFERROR(Regiones[[#This Row],[AHT]]*86400,"error")</f>
        <v>514</v>
      </c>
      <c r="Q145" s="13" t="str">
        <f>+VLOOKUP(Regiones[[#This Row],[Cola]],Tabla6[#Data],2,0)</f>
        <v>BUPA</v>
      </c>
      <c r="R145" s="13" t="e">
        <f>+VLOOKUP(Regiones[[#This Row],[Cola]],Tabla68[],2,0)</f>
        <v>#N/A</v>
      </c>
    </row>
    <row r="146" spans="2:18" x14ac:dyDescent="0.3">
      <c r="B146" s="6">
        <v>46204</v>
      </c>
      <c r="C146" s="14">
        <v>0.72916666666666663</v>
      </c>
      <c r="D146" t="s">
        <v>47</v>
      </c>
      <c r="E146" t="s">
        <v>18</v>
      </c>
      <c r="F146">
        <v>11</v>
      </c>
      <c r="G146">
        <v>6</v>
      </c>
      <c r="H146">
        <v>5</v>
      </c>
      <c r="I146" s="2">
        <v>0.09</v>
      </c>
      <c r="J146" s="14">
        <v>4.7106481481481478E-3</v>
      </c>
      <c r="K146" s="6">
        <f>INT(Regiones[[#This Row],[Fecha]])</f>
        <v>46204</v>
      </c>
      <c r="L146" s="10">
        <f>IFERROR(Regiones[[#This Row],[Contestadas]]/Regiones[[#This Row],[Ofrecidas]],"")</f>
        <v>0.54545454545454541</v>
      </c>
      <c r="M146" s="7">
        <f>IFERROR(Regiones[[#This Row],[Ofrecidas]]*Regiones[[#This Row],[% de nivel de servicio]],"")</f>
        <v>0.99</v>
      </c>
      <c r="N146" s="7"/>
      <c r="O146" s="12">
        <f>IFERROR(Regiones[[#This Row],[Aten &lt; 20 seg]]/Regiones[[#This Row],[Contestadas]],"")</f>
        <v>0.16500000000000001</v>
      </c>
      <c r="P146" s="13">
        <f>IFERROR(Regiones[[#This Row],[AHT]]*86400,"error")</f>
        <v>407</v>
      </c>
      <c r="Q146" s="13" t="str">
        <f>+VLOOKUP(Regiones[[#This Row],[Cola]],Tabla6[#Data],2,0)</f>
        <v>BUPA</v>
      </c>
      <c r="R146" s="13" t="e">
        <f>+VLOOKUP(Regiones[[#This Row],[Cola]],Tabla68[],2,0)</f>
        <v>#N/A</v>
      </c>
    </row>
    <row r="147" spans="2:18" x14ac:dyDescent="0.3">
      <c r="B147" s="6">
        <v>46204</v>
      </c>
      <c r="C147" s="14">
        <v>0.72916666666666663</v>
      </c>
      <c r="D147" t="s">
        <v>53</v>
      </c>
      <c r="E147" t="s">
        <v>18</v>
      </c>
      <c r="F147">
        <v>0</v>
      </c>
      <c r="G147">
        <v>0</v>
      </c>
      <c r="H147">
        <v>0</v>
      </c>
      <c r="I147" s="2" t="s">
        <v>20</v>
      </c>
      <c r="J147" s="14">
        <v>2.2337962962962962E-2</v>
      </c>
      <c r="K147" s="6">
        <f>INT(Regiones[[#This Row],[Fecha]])</f>
        <v>46204</v>
      </c>
      <c r="L147" s="10" t="str">
        <f>IFERROR(Regiones[[#This Row],[Contestadas]]/Regiones[[#This Row],[Ofrecidas]],"")</f>
        <v/>
      </c>
      <c r="M147" s="7" t="str">
        <f>IFERROR(Regiones[[#This Row],[Ofrecidas]]*Regiones[[#This Row],[% de nivel de servicio]],"")</f>
        <v/>
      </c>
      <c r="N147" s="7"/>
      <c r="O147" s="12" t="str">
        <f>IFERROR(Regiones[[#This Row],[Aten &lt; 20 seg]]/Regiones[[#This Row],[Contestadas]],"")</f>
        <v/>
      </c>
      <c r="P147" s="13">
        <f>IFERROR(Regiones[[#This Row],[AHT]]*86400,"error")</f>
        <v>1930</v>
      </c>
      <c r="Q147" s="13" t="str">
        <f>+VLOOKUP(Regiones[[#This Row],[Cola]],Tabla6[#Data],2,0)</f>
        <v>BUPA</v>
      </c>
      <c r="R147" s="13" t="e">
        <f>+VLOOKUP(Regiones[[#This Row],[Cola]],Tabla68[],2,0)</f>
        <v>#N/A</v>
      </c>
    </row>
    <row r="148" spans="2:18" x14ac:dyDescent="0.3">
      <c r="B148" s="6">
        <v>46204</v>
      </c>
      <c r="C148" s="14">
        <v>0.72916666666666663</v>
      </c>
      <c r="D148" t="s">
        <v>49</v>
      </c>
      <c r="E148" t="s">
        <v>18</v>
      </c>
      <c r="F148">
        <v>1</v>
      </c>
      <c r="G148">
        <v>1</v>
      </c>
      <c r="H148">
        <v>0</v>
      </c>
      <c r="I148" s="2">
        <v>0</v>
      </c>
      <c r="J148" s="14" t="s">
        <v>19</v>
      </c>
      <c r="K148" s="6">
        <f>INT(Regiones[[#This Row],[Fecha]])</f>
        <v>46204</v>
      </c>
      <c r="L148" s="10">
        <f>IFERROR(Regiones[[#This Row],[Contestadas]]/Regiones[[#This Row],[Ofrecidas]],"")</f>
        <v>1</v>
      </c>
      <c r="M148" s="7">
        <f>IFERROR(Regiones[[#This Row],[Ofrecidas]]*Regiones[[#This Row],[% de nivel de servicio]],"")</f>
        <v>0</v>
      </c>
      <c r="N148" s="7"/>
      <c r="O148" s="12">
        <f>IFERROR(Regiones[[#This Row],[Aten &lt; 20 seg]]/Regiones[[#This Row],[Contestadas]],"")</f>
        <v>0</v>
      </c>
      <c r="P148" s="13" t="str">
        <f>IFERROR(Regiones[[#This Row],[AHT]]*86400,"error")</f>
        <v>error</v>
      </c>
      <c r="Q148" s="13" t="str">
        <f>+VLOOKUP(Regiones[[#This Row],[Cola]],Tabla6[#Data],2,0)</f>
        <v>BUPA</v>
      </c>
      <c r="R148" s="13" t="e">
        <f>+VLOOKUP(Regiones[[#This Row],[Cola]],Tabla68[],2,0)</f>
        <v>#N/A</v>
      </c>
    </row>
    <row r="149" spans="2:18" x14ac:dyDescent="0.3">
      <c r="B149" s="6">
        <v>46204</v>
      </c>
      <c r="C149" s="14">
        <v>0.72916666666666663</v>
      </c>
      <c r="D149" t="s">
        <v>52</v>
      </c>
      <c r="E149" t="s">
        <v>18</v>
      </c>
      <c r="F149">
        <v>4</v>
      </c>
      <c r="G149">
        <v>3</v>
      </c>
      <c r="H149">
        <v>1</v>
      </c>
      <c r="I149" s="2">
        <v>0.25</v>
      </c>
      <c r="J149" s="14">
        <v>2.8240740740740739E-3</v>
      </c>
      <c r="K149" s="6">
        <f>INT(Regiones[[#This Row],[Fecha]])</f>
        <v>46204</v>
      </c>
      <c r="L149" s="10">
        <f>IFERROR(Regiones[[#This Row],[Contestadas]]/Regiones[[#This Row],[Ofrecidas]],"")</f>
        <v>0.75</v>
      </c>
      <c r="M149" s="7">
        <f>IFERROR(Regiones[[#This Row],[Ofrecidas]]*Regiones[[#This Row],[% de nivel de servicio]],"")</f>
        <v>1</v>
      </c>
      <c r="N149" s="7"/>
      <c r="O149" s="12">
        <f>IFERROR(Regiones[[#This Row],[Aten &lt; 20 seg]]/Regiones[[#This Row],[Contestadas]],"")</f>
        <v>0.33333333333333331</v>
      </c>
      <c r="P149" s="13">
        <f>IFERROR(Regiones[[#This Row],[AHT]]*86400,"error")</f>
        <v>243.99999999999997</v>
      </c>
      <c r="Q149" s="13" t="str">
        <f>+VLOOKUP(Regiones[[#This Row],[Cola]],Tabla6[#Data],2,0)</f>
        <v>BUPA</v>
      </c>
      <c r="R149" s="13" t="e">
        <f>+VLOOKUP(Regiones[[#This Row],[Cola]],Tabla68[],2,0)</f>
        <v>#N/A</v>
      </c>
    </row>
    <row r="150" spans="2:18" x14ac:dyDescent="0.3">
      <c r="B150" s="6">
        <v>46204</v>
      </c>
      <c r="C150" s="14">
        <v>0.72916666666666663</v>
      </c>
      <c r="D150" t="s">
        <v>46</v>
      </c>
      <c r="E150" t="s">
        <v>18</v>
      </c>
      <c r="F150">
        <v>8</v>
      </c>
      <c r="G150">
        <v>5</v>
      </c>
      <c r="H150">
        <v>3</v>
      </c>
      <c r="I150" s="2">
        <v>0</v>
      </c>
      <c r="J150" s="14">
        <v>7.2106481481481483E-3</v>
      </c>
      <c r="K150" s="6">
        <f>INT(Regiones[[#This Row],[Fecha]])</f>
        <v>46204</v>
      </c>
      <c r="L150" s="10">
        <f>IFERROR(Regiones[[#This Row],[Contestadas]]/Regiones[[#This Row],[Ofrecidas]],"")</f>
        <v>0.625</v>
      </c>
      <c r="M150" s="7">
        <f>IFERROR(Regiones[[#This Row],[Ofrecidas]]*Regiones[[#This Row],[% de nivel de servicio]],"")</f>
        <v>0</v>
      </c>
      <c r="N150" s="7"/>
      <c r="O150" s="12">
        <f>IFERROR(Regiones[[#This Row],[Aten &lt; 20 seg]]/Regiones[[#This Row],[Contestadas]],"")</f>
        <v>0</v>
      </c>
      <c r="P150" s="13">
        <f>IFERROR(Regiones[[#This Row],[AHT]]*86400,"error")</f>
        <v>623</v>
      </c>
      <c r="Q150" s="13" t="str">
        <f>+VLOOKUP(Regiones[[#This Row],[Cola]],Tabla6[#Data],2,0)</f>
        <v>BUPA</v>
      </c>
      <c r="R150" s="13" t="e">
        <f>+VLOOKUP(Regiones[[#This Row],[Cola]],Tabla68[],2,0)</f>
        <v>#N/A</v>
      </c>
    </row>
    <row r="151" spans="2:18" x14ac:dyDescent="0.3">
      <c r="B151" s="6">
        <v>46204</v>
      </c>
      <c r="C151" s="14">
        <v>0.72916666666666663</v>
      </c>
      <c r="D151" t="s">
        <v>50</v>
      </c>
      <c r="E151" t="s">
        <v>18</v>
      </c>
      <c r="F151">
        <v>1</v>
      </c>
      <c r="G151">
        <v>0</v>
      </c>
      <c r="H151">
        <v>1</v>
      </c>
      <c r="I151" s="2">
        <v>0</v>
      </c>
      <c r="J151" s="14">
        <v>2.2719907407407407E-2</v>
      </c>
      <c r="K151" s="6">
        <f>INT(Regiones[[#This Row],[Fecha]])</f>
        <v>46204</v>
      </c>
      <c r="L151" s="10">
        <f>IFERROR(Regiones[[#This Row],[Contestadas]]/Regiones[[#This Row],[Ofrecidas]],"")</f>
        <v>0</v>
      </c>
      <c r="M151" s="7">
        <f>IFERROR(Regiones[[#This Row],[Ofrecidas]]*Regiones[[#This Row],[% de nivel de servicio]],"")</f>
        <v>0</v>
      </c>
      <c r="N151" s="7"/>
      <c r="O151" s="12" t="str">
        <f>IFERROR(Regiones[[#This Row],[Aten &lt; 20 seg]]/Regiones[[#This Row],[Contestadas]],"")</f>
        <v/>
      </c>
      <c r="P151" s="13">
        <f>IFERROR(Regiones[[#This Row],[AHT]]*86400,"error")</f>
        <v>1963</v>
      </c>
      <c r="Q151" s="13" t="str">
        <f>+VLOOKUP(Regiones[[#This Row],[Cola]],Tabla6[#Data],2,0)</f>
        <v>BUPA</v>
      </c>
      <c r="R151" s="13" t="e">
        <f>+VLOOKUP(Regiones[[#This Row],[Cola]],Tabla68[],2,0)</f>
        <v>#N/A</v>
      </c>
    </row>
    <row r="152" spans="2:18" x14ac:dyDescent="0.3">
      <c r="B152" s="6">
        <v>46204</v>
      </c>
      <c r="C152" s="14">
        <v>0.75</v>
      </c>
      <c r="D152" t="s">
        <v>46</v>
      </c>
      <c r="E152" t="s">
        <v>18</v>
      </c>
      <c r="F152">
        <v>0</v>
      </c>
      <c r="G152">
        <v>0</v>
      </c>
      <c r="H152">
        <v>0</v>
      </c>
      <c r="I152" s="2" t="s">
        <v>20</v>
      </c>
      <c r="J152" s="14">
        <v>7.9282407407407409E-3</v>
      </c>
      <c r="K152" s="6">
        <f>INT(Regiones[[#This Row],[Fecha]])</f>
        <v>46204</v>
      </c>
      <c r="L152" s="10" t="str">
        <f>IFERROR(Regiones[[#This Row],[Contestadas]]/Regiones[[#This Row],[Ofrecidas]],"")</f>
        <v/>
      </c>
      <c r="M152" s="7" t="str">
        <f>IFERROR(Regiones[[#This Row],[Ofrecidas]]*Regiones[[#This Row],[% de nivel de servicio]],"")</f>
        <v/>
      </c>
      <c r="N152" s="7"/>
      <c r="O152" s="12" t="str">
        <f>IFERROR(Regiones[[#This Row],[Aten &lt; 20 seg]]/Regiones[[#This Row],[Contestadas]],"")</f>
        <v/>
      </c>
      <c r="P152" s="13">
        <f>IFERROR(Regiones[[#This Row],[AHT]]*86400,"error")</f>
        <v>685</v>
      </c>
      <c r="Q152" s="13" t="str">
        <f>+VLOOKUP(Regiones[[#This Row],[Cola]],Tabla6[#Data],2,0)</f>
        <v>BUPA</v>
      </c>
      <c r="R152" s="13" t="e">
        <f>+VLOOKUP(Regiones[[#This Row],[Cola]],Tabla68[],2,0)</f>
        <v>#N/A</v>
      </c>
    </row>
    <row r="153" spans="2:18" x14ac:dyDescent="0.3">
      <c r="B153" s="6">
        <v>46204</v>
      </c>
      <c r="C153" s="14">
        <v>0.75</v>
      </c>
      <c r="D153" t="s">
        <v>47</v>
      </c>
      <c r="E153" t="s">
        <v>18</v>
      </c>
      <c r="F153">
        <v>0</v>
      </c>
      <c r="G153">
        <v>0</v>
      </c>
      <c r="H153">
        <v>0</v>
      </c>
      <c r="I153" s="2" t="s">
        <v>20</v>
      </c>
      <c r="J153" s="14">
        <v>4.0509259259259257E-3</v>
      </c>
      <c r="K153" s="6">
        <f>INT(Regiones[[#This Row],[Fecha]])</f>
        <v>46204</v>
      </c>
      <c r="L153" s="10" t="str">
        <f>IFERROR(Regiones[[#This Row],[Contestadas]]/Regiones[[#This Row],[Ofrecidas]],"")</f>
        <v/>
      </c>
      <c r="M153" s="7" t="str">
        <f>IFERROR(Regiones[[#This Row],[Ofrecidas]]*Regiones[[#This Row],[% de nivel de servicio]],"")</f>
        <v/>
      </c>
      <c r="N153" s="7"/>
      <c r="O153" s="12" t="str">
        <f>IFERROR(Regiones[[#This Row],[Aten &lt; 20 seg]]/Regiones[[#This Row],[Contestadas]],"")</f>
        <v/>
      </c>
      <c r="P153" s="13">
        <f>IFERROR(Regiones[[#This Row],[AHT]]*86400,"error")</f>
        <v>350</v>
      </c>
      <c r="Q153" s="13" t="str">
        <f>+VLOOKUP(Regiones[[#This Row],[Cola]],Tabla6[#Data],2,0)</f>
        <v>BUPA</v>
      </c>
      <c r="R153" s="13" t="e">
        <f>+VLOOKUP(Regiones[[#This Row],[Cola]],Tabla68[],2,0)</f>
        <v>#N/A</v>
      </c>
    </row>
    <row r="154" spans="2:18" x14ac:dyDescent="0.3">
      <c r="B154" s="6">
        <v>46204</v>
      </c>
      <c r="C154" s="14">
        <v>0.75</v>
      </c>
      <c r="D154" t="s">
        <v>49</v>
      </c>
      <c r="E154" t="s">
        <v>18</v>
      </c>
      <c r="F154">
        <v>0</v>
      </c>
      <c r="G154">
        <v>0</v>
      </c>
      <c r="H154">
        <v>0</v>
      </c>
      <c r="I154" s="2" t="s">
        <v>20</v>
      </c>
      <c r="J154" s="14">
        <v>4.340277777777778E-3</v>
      </c>
      <c r="K154" s="6">
        <f>INT(Regiones[[#This Row],[Fecha]])</f>
        <v>46204</v>
      </c>
      <c r="L154" s="10" t="str">
        <f>IFERROR(Regiones[[#This Row],[Contestadas]]/Regiones[[#This Row],[Ofrecidas]],"")</f>
        <v/>
      </c>
      <c r="M154" s="7" t="str">
        <f>IFERROR(Regiones[[#This Row],[Ofrecidas]]*Regiones[[#This Row],[% de nivel de servicio]],"")</f>
        <v/>
      </c>
      <c r="N154" s="7"/>
      <c r="O154" s="12" t="str">
        <f>IFERROR(Regiones[[#This Row],[Aten &lt; 20 seg]]/Regiones[[#This Row],[Contestadas]],"")</f>
        <v/>
      </c>
      <c r="P154" s="13">
        <f>IFERROR(Regiones[[#This Row],[AHT]]*86400,"error")</f>
        <v>375</v>
      </c>
      <c r="Q154" s="13" t="str">
        <f>+VLOOKUP(Regiones[[#This Row],[Cola]],Tabla6[#Data],2,0)</f>
        <v>BUPA</v>
      </c>
      <c r="R154" s="13" t="e">
        <f>+VLOOKUP(Regiones[[#This Row],[Cola]],Tabla68[],2,0)</f>
        <v>#N/A</v>
      </c>
    </row>
    <row r="155" spans="2:18" x14ac:dyDescent="0.3">
      <c r="B155" s="6">
        <v>46204</v>
      </c>
      <c r="C155" s="14">
        <v>0.75</v>
      </c>
      <c r="D155" t="s">
        <v>48</v>
      </c>
      <c r="E155" t="s">
        <v>18</v>
      </c>
      <c r="F155">
        <v>0</v>
      </c>
      <c r="G155">
        <v>0</v>
      </c>
      <c r="H155">
        <v>0</v>
      </c>
      <c r="I155" s="2" t="s">
        <v>20</v>
      </c>
      <c r="J155" s="14">
        <v>7.8356481481481489E-3</v>
      </c>
      <c r="K155" s="6">
        <f>INT(Regiones[[#This Row],[Fecha]])</f>
        <v>46204</v>
      </c>
      <c r="L155" s="10" t="str">
        <f>IFERROR(Regiones[[#This Row],[Contestadas]]/Regiones[[#This Row],[Ofrecidas]],"")</f>
        <v/>
      </c>
      <c r="M155" s="7" t="str">
        <f>IFERROR(Regiones[[#This Row],[Ofrecidas]]*Regiones[[#This Row],[% de nivel de servicio]],"")</f>
        <v/>
      </c>
      <c r="N155" s="7"/>
      <c r="O155" s="12" t="str">
        <f>IFERROR(Regiones[[#This Row],[Aten &lt; 20 seg]]/Regiones[[#This Row],[Contestadas]],"")</f>
        <v/>
      </c>
      <c r="P155" s="13">
        <f>IFERROR(Regiones[[#This Row],[AHT]]*86400,"error")</f>
        <v>677.00000000000011</v>
      </c>
      <c r="Q155" s="13" t="str">
        <f>+VLOOKUP(Regiones[[#This Row],[Cola]],Tabla6[#Data],2,0)</f>
        <v>BUPA</v>
      </c>
      <c r="R155" s="13" t="e">
        <f>+VLOOKUP(Regiones[[#This Row],[Cola]],Tabla68[],2,0)</f>
        <v>#N/A</v>
      </c>
    </row>
    <row r="156" spans="2:18" x14ac:dyDescent="0.3">
      <c r="B156" s="6">
        <v>46205</v>
      </c>
      <c r="C156" s="14">
        <v>0.375</v>
      </c>
      <c r="D156" t="s">
        <v>54</v>
      </c>
      <c r="E156" t="s">
        <v>18</v>
      </c>
      <c r="F156">
        <v>3</v>
      </c>
      <c r="G156">
        <v>3</v>
      </c>
      <c r="H156">
        <v>0</v>
      </c>
      <c r="I156" s="2">
        <v>0.33</v>
      </c>
      <c r="J156" s="14">
        <v>2.0949074074074073E-3</v>
      </c>
      <c r="K156" s="6">
        <f>INT(Regiones[[#This Row],[Fecha]])</f>
        <v>46205</v>
      </c>
      <c r="L156" s="10">
        <f>IFERROR(Regiones[[#This Row],[Contestadas]]/Regiones[[#This Row],[Ofrecidas]],"")</f>
        <v>1</v>
      </c>
      <c r="M156" s="7">
        <f>IFERROR(Regiones[[#This Row],[Ofrecidas]]*Regiones[[#This Row],[% de nivel de servicio]],"")</f>
        <v>0.99</v>
      </c>
      <c r="N156" s="7"/>
      <c r="O156" s="12">
        <f>IFERROR(Regiones[[#This Row],[Aten &lt; 20 seg]]/Regiones[[#This Row],[Contestadas]],"")</f>
        <v>0.33</v>
      </c>
      <c r="P156" s="13">
        <f>IFERROR(Regiones[[#This Row],[AHT]]*86400,"error")</f>
        <v>181</v>
      </c>
      <c r="Q156" s="13" t="str">
        <f>+VLOOKUP(Regiones[[#This Row],[Cola]],Tabla6[#Data],2,0)</f>
        <v>BUPA</v>
      </c>
      <c r="R156" s="13" t="e">
        <f>+VLOOKUP(Regiones[[#This Row],[Cola]],Tabla68[],2,0)</f>
        <v>#N/A</v>
      </c>
    </row>
    <row r="157" spans="2:18" x14ac:dyDescent="0.3">
      <c r="B157" s="6">
        <v>46205</v>
      </c>
      <c r="C157" s="14">
        <v>0.375</v>
      </c>
      <c r="D157" t="s">
        <v>49</v>
      </c>
      <c r="E157" t="s">
        <v>18</v>
      </c>
      <c r="F157">
        <v>1</v>
      </c>
      <c r="G157">
        <v>1</v>
      </c>
      <c r="H157">
        <v>0</v>
      </c>
      <c r="I157" s="2">
        <v>1</v>
      </c>
      <c r="J157" s="14">
        <v>3.2870370370370371E-3</v>
      </c>
      <c r="K157" s="6">
        <f>INT(Regiones[[#This Row],[Fecha]])</f>
        <v>46205</v>
      </c>
      <c r="L157" s="10">
        <f>IFERROR(Regiones[[#This Row],[Contestadas]]/Regiones[[#This Row],[Ofrecidas]],"")</f>
        <v>1</v>
      </c>
      <c r="M157" s="7">
        <f>IFERROR(Regiones[[#This Row],[Ofrecidas]]*Regiones[[#This Row],[% de nivel de servicio]],"")</f>
        <v>1</v>
      </c>
      <c r="N157" s="7"/>
      <c r="O157" s="12">
        <f>IFERROR(Regiones[[#This Row],[Aten &lt; 20 seg]]/Regiones[[#This Row],[Contestadas]],"")</f>
        <v>1</v>
      </c>
      <c r="P157" s="13">
        <f>IFERROR(Regiones[[#This Row],[AHT]]*86400,"error")</f>
        <v>284</v>
      </c>
      <c r="Q157" s="13" t="str">
        <f>+VLOOKUP(Regiones[[#This Row],[Cola]],Tabla6[#Data],2,0)</f>
        <v>BUPA</v>
      </c>
      <c r="R157" s="13" t="e">
        <f>+VLOOKUP(Regiones[[#This Row],[Cola]],Tabla68[],2,0)</f>
        <v>#N/A</v>
      </c>
    </row>
    <row r="158" spans="2:18" x14ac:dyDescent="0.3">
      <c r="B158" s="6">
        <v>46205</v>
      </c>
      <c r="C158" s="14">
        <v>0.375</v>
      </c>
      <c r="D158" t="s">
        <v>48</v>
      </c>
      <c r="E158" t="s">
        <v>18</v>
      </c>
      <c r="F158">
        <v>10</v>
      </c>
      <c r="G158">
        <v>8</v>
      </c>
      <c r="H158">
        <v>2</v>
      </c>
      <c r="I158" s="2">
        <v>0.5</v>
      </c>
      <c r="J158" s="14">
        <v>7.7083333333333335E-3</v>
      </c>
      <c r="K158" s="6">
        <f>INT(Regiones[[#This Row],[Fecha]])</f>
        <v>46205</v>
      </c>
      <c r="L158" s="10">
        <f>IFERROR(Regiones[[#This Row],[Contestadas]]/Regiones[[#This Row],[Ofrecidas]],"")</f>
        <v>0.8</v>
      </c>
      <c r="M158" s="7">
        <f>IFERROR(Regiones[[#This Row],[Ofrecidas]]*Regiones[[#This Row],[% de nivel de servicio]],"")</f>
        <v>5</v>
      </c>
      <c r="N158" s="7"/>
      <c r="O158" s="12">
        <f>IFERROR(Regiones[[#This Row],[Aten &lt; 20 seg]]/Regiones[[#This Row],[Contestadas]],"")</f>
        <v>0.625</v>
      </c>
      <c r="P158" s="13">
        <f>IFERROR(Regiones[[#This Row],[AHT]]*86400,"error")</f>
        <v>666</v>
      </c>
      <c r="Q158" s="13" t="str">
        <f>+VLOOKUP(Regiones[[#This Row],[Cola]],Tabla6[#Data],2,0)</f>
        <v>BUPA</v>
      </c>
      <c r="R158" s="13" t="e">
        <f>+VLOOKUP(Regiones[[#This Row],[Cola]],Tabla68[],2,0)</f>
        <v>#N/A</v>
      </c>
    </row>
    <row r="159" spans="2:18" x14ac:dyDescent="0.3">
      <c r="B159" s="6">
        <v>46205</v>
      </c>
      <c r="C159" s="14">
        <v>0.375</v>
      </c>
      <c r="D159" t="s">
        <v>50</v>
      </c>
      <c r="E159" t="s">
        <v>18</v>
      </c>
      <c r="F159">
        <v>2</v>
      </c>
      <c r="G159">
        <v>0</v>
      </c>
      <c r="H159">
        <v>1</v>
      </c>
      <c r="I159" s="2">
        <v>0</v>
      </c>
      <c r="J159" s="14" t="s">
        <v>19</v>
      </c>
      <c r="K159" s="6">
        <f>INT(Regiones[[#This Row],[Fecha]])</f>
        <v>46205</v>
      </c>
      <c r="L159" s="10">
        <f>IFERROR(Regiones[[#This Row],[Contestadas]]/Regiones[[#This Row],[Ofrecidas]],"")</f>
        <v>0</v>
      </c>
      <c r="M159" s="7">
        <f>IFERROR(Regiones[[#This Row],[Ofrecidas]]*Regiones[[#This Row],[% de nivel de servicio]],"")</f>
        <v>0</v>
      </c>
      <c r="N159" s="7"/>
      <c r="O159" s="12" t="str">
        <f>IFERROR(Regiones[[#This Row],[Aten &lt; 20 seg]]/Regiones[[#This Row],[Contestadas]],"")</f>
        <v/>
      </c>
      <c r="P159" s="13" t="str">
        <f>IFERROR(Regiones[[#This Row],[AHT]]*86400,"error")</f>
        <v>error</v>
      </c>
      <c r="Q159" s="13" t="str">
        <f>+VLOOKUP(Regiones[[#This Row],[Cola]],Tabla6[#Data],2,0)</f>
        <v>BUPA</v>
      </c>
      <c r="R159" s="13" t="e">
        <f>+VLOOKUP(Regiones[[#This Row],[Cola]],Tabla68[],2,0)</f>
        <v>#N/A</v>
      </c>
    </row>
    <row r="160" spans="2:18" x14ac:dyDescent="0.3">
      <c r="B160" s="6">
        <v>46205</v>
      </c>
      <c r="C160" s="14">
        <v>0.375</v>
      </c>
      <c r="D160" t="s">
        <v>52</v>
      </c>
      <c r="E160" t="s">
        <v>18</v>
      </c>
      <c r="F160">
        <v>2</v>
      </c>
      <c r="G160">
        <v>1</v>
      </c>
      <c r="H160">
        <v>0</v>
      </c>
      <c r="I160" s="2">
        <v>0</v>
      </c>
      <c r="J160" s="14" t="s">
        <v>19</v>
      </c>
      <c r="K160" s="6">
        <f>INT(Regiones[[#This Row],[Fecha]])</f>
        <v>46205</v>
      </c>
      <c r="L160" s="10">
        <f>IFERROR(Regiones[[#This Row],[Contestadas]]/Regiones[[#This Row],[Ofrecidas]],"")</f>
        <v>0.5</v>
      </c>
      <c r="M160" s="7">
        <f>IFERROR(Regiones[[#This Row],[Ofrecidas]]*Regiones[[#This Row],[% de nivel de servicio]],"")</f>
        <v>0</v>
      </c>
      <c r="N160" s="7"/>
      <c r="O160" s="12">
        <f>IFERROR(Regiones[[#This Row],[Aten &lt; 20 seg]]/Regiones[[#This Row],[Contestadas]],"")</f>
        <v>0</v>
      </c>
      <c r="P160" s="13" t="str">
        <f>IFERROR(Regiones[[#This Row],[AHT]]*86400,"error")</f>
        <v>error</v>
      </c>
      <c r="Q160" s="13" t="str">
        <f>+VLOOKUP(Regiones[[#This Row],[Cola]],Tabla6[#Data],2,0)</f>
        <v>BUPA</v>
      </c>
      <c r="R160" s="13" t="e">
        <f>+VLOOKUP(Regiones[[#This Row],[Cola]],Tabla68[],2,0)</f>
        <v>#N/A</v>
      </c>
    </row>
    <row r="161" spans="2:18" x14ac:dyDescent="0.3">
      <c r="B161" s="6">
        <v>46205</v>
      </c>
      <c r="C161" s="14">
        <v>0.375</v>
      </c>
      <c r="D161" t="s">
        <v>47</v>
      </c>
      <c r="E161" t="s">
        <v>18</v>
      </c>
      <c r="F161">
        <v>16</v>
      </c>
      <c r="G161">
        <v>13</v>
      </c>
      <c r="H161">
        <v>1</v>
      </c>
      <c r="I161" s="2">
        <v>0.56999999999999995</v>
      </c>
      <c r="J161" s="14">
        <v>5.2777777777777779E-3</v>
      </c>
      <c r="K161" s="6">
        <f>INT(Regiones[[#This Row],[Fecha]])</f>
        <v>46205</v>
      </c>
      <c r="L161" s="10">
        <f>IFERROR(Regiones[[#This Row],[Contestadas]]/Regiones[[#This Row],[Ofrecidas]],"")</f>
        <v>0.8125</v>
      </c>
      <c r="M161" s="7">
        <f>IFERROR(Regiones[[#This Row],[Ofrecidas]]*Regiones[[#This Row],[% de nivel de servicio]],"")</f>
        <v>9.1199999999999992</v>
      </c>
      <c r="N161" s="7"/>
      <c r="O161" s="12">
        <f>IFERROR(Regiones[[#This Row],[Aten &lt; 20 seg]]/Regiones[[#This Row],[Contestadas]],"")</f>
        <v>0.70153846153846144</v>
      </c>
      <c r="P161" s="13">
        <f>IFERROR(Regiones[[#This Row],[AHT]]*86400,"error")</f>
        <v>456</v>
      </c>
      <c r="Q161" s="13" t="str">
        <f>+VLOOKUP(Regiones[[#This Row],[Cola]],Tabla6[#Data],2,0)</f>
        <v>BUPA</v>
      </c>
      <c r="R161" s="13" t="e">
        <f>+VLOOKUP(Regiones[[#This Row],[Cola]],Tabla68[],2,0)</f>
        <v>#N/A</v>
      </c>
    </row>
    <row r="162" spans="2:18" x14ac:dyDescent="0.3">
      <c r="B162" s="6">
        <v>46205</v>
      </c>
      <c r="C162" s="14">
        <v>0.375</v>
      </c>
      <c r="D162" t="s">
        <v>46</v>
      </c>
      <c r="E162" t="s">
        <v>18</v>
      </c>
      <c r="F162">
        <v>9</v>
      </c>
      <c r="G162">
        <v>7</v>
      </c>
      <c r="H162">
        <v>2</v>
      </c>
      <c r="I162" s="2">
        <v>0.56000000000000005</v>
      </c>
      <c r="J162" s="14">
        <v>4.7800925925925927E-3</v>
      </c>
      <c r="K162" s="6">
        <f>INT(Regiones[[#This Row],[Fecha]])</f>
        <v>46205</v>
      </c>
      <c r="L162" s="10">
        <f>IFERROR(Regiones[[#This Row],[Contestadas]]/Regiones[[#This Row],[Ofrecidas]],"")</f>
        <v>0.77777777777777779</v>
      </c>
      <c r="M162" s="7">
        <f>IFERROR(Regiones[[#This Row],[Ofrecidas]]*Regiones[[#This Row],[% de nivel de servicio]],"")</f>
        <v>5.0400000000000009</v>
      </c>
      <c r="N162" s="7"/>
      <c r="O162" s="12">
        <f>IFERROR(Regiones[[#This Row],[Aten &lt; 20 seg]]/Regiones[[#This Row],[Contestadas]],"")</f>
        <v>0.72000000000000008</v>
      </c>
      <c r="P162" s="13">
        <f>IFERROR(Regiones[[#This Row],[AHT]]*86400,"error")</f>
        <v>413</v>
      </c>
      <c r="Q162" s="13" t="str">
        <f>+VLOOKUP(Regiones[[#This Row],[Cola]],Tabla6[#Data],2,0)</f>
        <v>BUPA</v>
      </c>
      <c r="R162" s="13" t="e">
        <f>+VLOOKUP(Regiones[[#This Row],[Cola]],Tabla68[],2,0)</f>
        <v>#N/A</v>
      </c>
    </row>
    <row r="163" spans="2:18" x14ac:dyDescent="0.3">
      <c r="B163" s="6">
        <v>46205</v>
      </c>
      <c r="C163" s="14">
        <v>0.375</v>
      </c>
      <c r="D163" t="s">
        <v>53</v>
      </c>
      <c r="E163" t="s">
        <v>18</v>
      </c>
      <c r="F163">
        <v>1</v>
      </c>
      <c r="G163">
        <v>1</v>
      </c>
      <c r="H163">
        <v>0</v>
      </c>
      <c r="I163" s="2">
        <v>0</v>
      </c>
      <c r="J163" s="14" t="s">
        <v>19</v>
      </c>
      <c r="K163" s="6">
        <f>INT(Regiones[[#This Row],[Fecha]])</f>
        <v>46205</v>
      </c>
      <c r="L163" s="10">
        <f>IFERROR(Regiones[[#This Row],[Contestadas]]/Regiones[[#This Row],[Ofrecidas]],"")</f>
        <v>1</v>
      </c>
      <c r="M163" s="7">
        <f>IFERROR(Regiones[[#This Row],[Ofrecidas]]*Regiones[[#This Row],[% de nivel de servicio]],"")</f>
        <v>0</v>
      </c>
      <c r="N163" s="7"/>
      <c r="O163" s="12">
        <f>IFERROR(Regiones[[#This Row],[Aten &lt; 20 seg]]/Regiones[[#This Row],[Contestadas]],"")</f>
        <v>0</v>
      </c>
      <c r="P163" s="13" t="str">
        <f>IFERROR(Regiones[[#This Row],[AHT]]*86400,"error")</f>
        <v>error</v>
      </c>
      <c r="Q163" s="13" t="str">
        <f>+VLOOKUP(Regiones[[#This Row],[Cola]],Tabla6[#Data],2,0)</f>
        <v>BUPA</v>
      </c>
      <c r="R163" s="13" t="e">
        <f>+VLOOKUP(Regiones[[#This Row],[Cola]],Tabla68[],2,0)</f>
        <v>#N/A</v>
      </c>
    </row>
    <row r="164" spans="2:18" x14ac:dyDescent="0.3">
      <c r="B164" s="6">
        <v>46205</v>
      </c>
      <c r="C164" s="14">
        <v>0.375</v>
      </c>
      <c r="D164" t="s">
        <v>55</v>
      </c>
      <c r="E164" t="s">
        <v>18</v>
      </c>
      <c r="F164">
        <v>1</v>
      </c>
      <c r="G164">
        <v>1</v>
      </c>
      <c r="H164">
        <v>0</v>
      </c>
      <c r="I164" s="2">
        <v>0</v>
      </c>
      <c r="J164" s="14">
        <v>1.1527777777777777E-2</v>
      </c>
      <c r="K164" s="6">
        <f>INT(Regiones[[#This Row],[Fecha]])</f>
        <v>46205</v>
      </c>
      <c r="L164" s="10">
        <f>IFERROR(Regiones[[#This Row],[Contestadas]]/Regiones[[#This Row],[Ofrecidas]],"")</f>
        <v>1</v>
      </c>
      <c r="M164" s="7">
        <f>IFERROR(Regiones[[#This Row],[Ofrecidas]]*Regiones[[#This Row],[% de nivel de servicio]],"")</f>
        <v>0</v>
      </c>
      <c r="N164" s="7"/>
      <c r="O164" s="12">
        <f>IFERROR(Regiones[[#This Row],[Aten &lt; 20 seg]]/Regiones[[#This Row],[Contestadas]],"")</f>
        <v>0</v>
      </c>
      <c r="P164" s="13">
        <f>IFERROR(Regiones[[#This Row],[AHT]]*86400,"error")</f>
        <v>996</v>
      </c>
      <c r="Q164" s="13" t="str">
        <f>+VLOOKUP(Regiones[[#This Row],[Cola]],Tabla6[#Data],2,0)</f>
        <v>BUPA</v>
      </c>
      <c r="R164" s="13" t="e">
        <f>+VLOOKUP(Regiones[[#This Row],[Cola]],Tabla68[],2,0)</f>
        <v>#N/A</v>
      </c>
    </row>
    <row r="165" spans="2:18" x14ac:dyDescent="0.3">
      <c r="B165" s="6">
        <v>46205</v>
      </c>
      <c r="C165" s="14">
        <v>0.39583333333333331</v>
      </c>
      <c r="D165" t="s">
        <v>53</v>
      </c>
      <c r="E165" t="s">
        <v>18</v>
      </c>
      <c r="F165">
        <v>1</v>
      </c>
      <c r="G165">
        <v>1</v>
      </c>
      <c r="H165">
        <v>0</v>
      </c>
      <c r="I165" s="2">
        <v>1</v>
      </c>
      <c r="J165" s="14">
        <v>6.5740740740740742E-3</v>
      </c>
      <c r="K165" s="6">
        <f>INT(Regiones[[#This Row],[Fecha]])</f>
        <v>46205</v>
      </c>
      <c r="L165" s="10">
        <f>IFERROR(Regiones[[#This Row],[Contestadas]]/Regiones[[#This Row],[Ofrecidas]],"")</f>
        <v>1</v>
      </c>
      <c r="M165" s="7">
        <f>IFERROR(Regiones[[#This Row],[Ofrecidas]]*Regiones[[#This Row],[% de nivel de servicio]],"")</f>
        <v>1</v>
      </c>
      <c r="N165" s="7"/>
      <c r="O165" s="12">
        <f>IFERROR(Regiones[[#This Row],[Aten &lt; 20 seg]]/Regiones[[#This Row],[Contestadas]],"")</f>
        <v>1</v>
      </c>
      <c r="P165" s="13">
        <f>IFERROR(Regiones[[#This Row],[AHT]]*86400,"error")</f>
        <v>568</v>
      </c>
      <c r="Q165" s="13" t="str">
        <f>+VLOOKUP(Regiones[[#This Row],[Cola]],Tabla6[#Data],2,0)</f>
        <v>BUPA</v>
      </c>
      <c r="R165" s="13" t="e">
        <f>+VLOOKUP(Regiones[[#This Row],[Cola]],Tabla68[],2,0)</f>
        <v>#N/A</v>
      </c>
    </row>
    <row r="166" spans="2:18" x14ac:dyDescent="0.3">
      <c r="B166" s="6">
        <v>46205</v>
      </c>
      <c r="C166" s="14">
        <v>0.39583333333333331</v>
      </c>
      <c r="D166" t="s">
        <v>47</v>
      </c>
      <c r="E166" t="s">
        <v>18</v>
      </c>
      <c r="F166">
        <v>10</v>
      </c>
      <c r="G166">
        <v>11</v>
      </c>
      <c r="H166">
        <v>1</v>
      </c>
      <c r="I166" s="2">
        <v>0.75</v>
      </c>
      <c r="J166" s="14">
        <v>6.3194444444444444E-3</v>
      </c>
      <c r="K166" s="6">
        <f>INT(Regiones[[#This Row],[Fecha]])</f>
        <v>46205</v>
      </c>
      <c r="L166" s="10">
        <f>IFERROR(Regiones[[#This Row],[Contestadas]]/Regiones[[#This Row],[Ofrecidas]],"")</f>
        <v>1.1000000000000001</v>
      </c>
      <c r="M166" s="7">
        <f>IFERROR(Regiones[[#This Row],[Ofrecidas]]*Regiones[[#This Row],[% de nivel de servicio]],"")</f>
        <v>7.5</v>
      </c>
      <c r="N166" s="7"/>
      <c r="O166" s="12">
        <f>IFERROR(Regiones[[#This Row],[Aten &lt; 20 seg]]/Regiones[[#This Row],[Contestadas]],"")</f>
        <v>0.68181818181818177</v>
      </c>
      <c r="P166" s="13">
        <f>IFERROR(Regiones[[#This Row],[AHT]]*86400,"error")</f>
        <v>546</v>
      </c>
      <c r="Q166" s="13" t="str">
        <f>+VLOOKUP(Regiones[[#This Row],[Cola]],Tabla6[#Data],2,0)</f>
        <v>BUPA</v>
      </c>
      <c r="R166" s="13" t="e">
        <f>+VLOOKUP(Regiones[[#This Row],[Cola]],Tabla68[],2,0)</f>
        <v>#N/A</v>
      </c>
    </row>
    <row r="167" spans="2:18" x14ac:dyDescent="0.3">
      <c r="B167" s="6">
        <v>46205</v>
      </c>
      <c r="C167" s="14">
        <v>0.39583333333333331</v>
      </c>
      <c r="D167" t="s">
        <v>46</v>
      </c>
      <c r="E167" t="s">
        <v>18</v>
      </c>
      <c r="F167">
        <v>7</v>
      </c>
      <c r="G167">
        <v>7</v>
      </c>
      <c r="H167">
        <v>0</v>
      </c>
      <c r="I167" s="2">
        <v>0.86</v>
      </c>
      <c r="J167" s="14">
        <v>6.122685185185185E-3</v>
      </c>
      <c r="K167" s="6">
        <f>INT(Regiones[[#This Row],[Fecha]])</f>
        <v>46205</v>
      </c>
      <c r="L167" s="10">
        <f>IFERROR(Regiones[[#This Row],[Contestadas]]/Regiones[[#This Row],[Ofrecidas]],"")</f>
        <v>1</v>
      </c>
      <c r="M167" s="7">
        <f>IFERROR(Regiones[[#This Row],[Ofrecidas]]*Regiones[[#This Row],[% de nivel de servicio]],"")</f>
        <v>6.02</v>
      </c>
      <c r="N167" s="7"/>
      <c r="O167" s="12">
        <f>IFERROR(Regiones[[#This Row],[Aten &lt; 20 seg]]/Regiones[[#This Row],[Contestadas]],"")</f>
        <v>0.86</v>
      </c>
      <c r="P167" s="13">
        <f>IFERROR(Regiones[[#This Row],[AHT]]*86400,"error")</f>
        <v>529</v>
      </c>
      <c r="Q167" s="13" t="str">
        <f>+VLOOKUP(Regiones[[#This Row],[Cola]],Tabla6[#Data],2,0)</f>
        <v>BUPA</v>
      </c>
      <c r="R167" s="13" t="e">
        <f>+VLOOKUP(Regiones[[#This Row],[Cola]],Tabla68[],2,0)</f>
        <v>#N/A</v>
      </c>
    </row>
    <row r="168" spans="2:18" x14ac:dyDescent="0.3">
      <c r="B168" s="6">
        <v>46205</v>
      </c>
      <c r="C168" s="14">
        <v>0.39583333333333331</v>
      </c>
      <c r="D168" t="s">
        <v>48</v>
      </c>
      <c r="E168" t="s">
        <v>18</v>
      </c>
      <c r="F168">
        <v>12</v>
      </c>
      <c r="G168">
        <v>12</v>
      </c>
      <c r="H168">
        <v>0</v>
      </c>
      <c r="I168" s="2">
        <v>0.67</v>
      </c>
      <c r="J168" s="14">
        <v>5.7407407407407407E-3</v>
      </c>
      <c r="K168" s="6">
        <f>INT(Regiones[[#This Row],[Fecha]])</f>
        <v>46205</v>
      </c>
      <c r="L168" s="10">
        <f>IFERROR(Regiones[[#This Row],[Contestadas]]/Regiones[[#This Row],[Ofrecidas]],"")</f>
        <v>1</v>
      </c>
      <c r="M168" s="7">
        <f>IFERROR(Regiones[[#This Row],[Ofrecidas]]*Regiones[[#This Row],[% de nivel de servicio]],"")</f>
        <v>8.0400000000000009</v>
      </c>
      <c r="N168" s="7"/>
      <c r="O168" s="12">
        <f>IFERROR(Regiones[[#This Row],[Aten &lt; 20 seg]]/Regiones[[#This Row],[Contestadas]],"")</f>
        <v>0.67</v>
      </c>
      <c r="P168" s="13">
        <f>IFERROR(Regiones[[#This Row],[AHT]]*86400,"error")</f>
        <v>496</v>
      </c>
      <c r="Q168" s="13" t="str">
        <f>+VLOOKUP(Regiones[[#This Row],[Cola]],Tabla6[#Data],2,0)</f>
        <v>BUPA</v>
      </c>
      <c r="R168" s="13" t="e">
        <f>+VLOOKUP(Regiones[[#This Row],[Cola]],Tabla68[],2,0)</f>
        <v>#N/A</v>
      </c>
    </row>
    <row r="169" spans="2:18" x14ac:dyDescent="0.3">
      <c r="B169" s="6">
        <v>46205</v>
      </c>
      <c r="C169" s="14">
        <v>0.39583333333333331</v>
      </c>
      <c r="D169" t="s">
        <v>54</v>
      </c>
      <c r="E169" t="s">
        <v>18</v>
      </c>
      <c r="F169">
        <v>1</v>
      </c>
      <c r="G169">
        <v>1</v>
      </c>
      <c r="H169">
        <v>0</v>
      </c>
      <c r="I169" s="2">
        <v>0</v>
      </c>
      <c r="J169" s="14">
        <v>3.6574074074074074E-3</v>
      </c>
      <c r="K169" s="6">
        <f>INT(Regiones[[#This Row],[Fecha]])</f>
        <v>46205</v>
      </c>
      <c r="L169" s="10">
        <f>IFERROR(Regiones[[#This Row],[Contestadas]]/Regiones[[#This Row],[Ofrecidas]],"")</f>
        <v>1</v>
      </c>
      <c r="M169" s="7">
        <f>IFERROR(Regiones[[#This Row],[Ofrecidas]]*Regiones[[#This Row],[% de nivel de servicio]],"")</f>
        <v>0</v>
      </c>
      <c r="N169" s="7"/>
      <c r="O169" s="12">
        <f>IFERROR(Regiones[[#This Row],[Aten &lt; 20 seg]]/Regiones[[#This Row],[Contestadas]],"")</f>
        <v>0</v>
      </c>
      <c r="P169" s="13">
        <f>IFERROR(Regiones[[#This Row],[AHT]]*86400,"error")</f>
        <v>316</v>
      </c>
      <c r="Q169" s="13" t="str">
        <f>+VLOOKUP(Regiones[[#This Row],[Cola]],Tabla6[#Data],2,0)</f>
        <v>BUPA</v>
      </c>
      <c r="R169" s="13" t="e">
        <f>+VLOOKUP(Regiones[[#This Row],[Cola]],Tabla68[],2,0)</f>
        <v>#N/A</v>
      </c>
    </row>
    <row r="170" spans="2:18" x14ac:dyDescent="0.3">
      <c r="B170" s="6">
        <v>46205</v>
      </c>
      <c r="C170" s="14">
        <v>0.39583333333333331</v>
      </c>
      <c r="D170" t="s">
        <v>57</v>
      </c>
      <c r="E170" t="s">
        <v>18</v>
      </c>
      <c r="F170">
        <v>2</v>
      </c>
      <c r="G170">
        <v>2</v>
      </c>
      <c r="H170">
        <v>0</v>
      </c>
      <c r="I170" s="2">
        <v>0</v>
      </c>
      <c r="J170" s="14">
        <v>7.0949074074074074E-3</v>
      </c>
      <c r="K170" s="6">
        <f>INT(Regiones[[#This Row],[Fecha]])</f>
        <v>46205</v>
      </c>
      <c r="L170" s="10">
        <f>IFERROR(Regiones[[#This Row],[Contestadas]]/Regiones[[#This Row],[Ofrecidas]],"")</f>
        <v>1</v>
      </c>
      <c r="M170" s="7">
        <f>IFERROR(Regiones[[#This Row],[Ofrecidas]]*Regiones[[#This Row],[% de nivel de servicio]],"")</f>
        <v>0</v>
      </c>
      <c r="N170" s="7"/>
      <c r="O170" s="12">
        <f>IFERROR(Regiones[[#This Row],[Aten &lt; 20 seg]]/Regiones[[#This Row],[Contestadas]],"")</f>
        <v>0</v>
      </c>
      <c r="P170" s="13">
        <f>IFERROR(Regiones[[#This Row],[AHT]]*86400,"error")</f>
        <v>613</v>
      </c>
      <c r="Q170" s="13" t="str">
        <f>+VLOOKUP(Regiones[[#This Row],[Cola]],Tabla6[#Data],2,0)</f>
        <v>BUPA</v>
      </c>
      <c r="R170" s="13" t="e">
        <f>+VLOOKUP(Regiones[[#This Row],[Cola]],Tabla68[],2,0)</f>
        <v>#N/A</v>
      </c>
    </row>
    <row r="171" spans="2:18" x14ac:dyDescent="0.3">
      <c r="B171" s="6">
        <v>46205</v>
      </c>
      <c r="C171" s="14">
        <v>0.39583333333333331</v>
      </c>
      <c r="D171" t="s">
        <v>50</v>
      </c>
      <c r="E171" t="s">
        <v>18</v>
      </c>
      <c r="F171">
        <v>2</v>
      </c>
      <c r="G171">
        <v>3</v>
      </c>
      <c r="H171">
        <v>0</v>
      </c>
      <c r="I171" s="2">
        <v>0.33</v>
      </c>
      <c r="J171" s="14">
        <v>3.3101851851851851E-3</v>
      </c>
      <c r="K171" s="6">
        <f>INT(Regiones[[#This Row],[Fecha]])</f>
        <v>46205</v>
      </c>
      <c r="L171" s="10">
        <f>IFERROR(Regiones[[#This Row],[Contestadas]]/Regiones[[#This Row],[Ofrecidas]],"")</f>
        <v>1.5</v>
      </c>
      <c r="M171" s="7">
        <f>IFERROR(Regiones[[#This Row],[Ofrecidas]]*Regiones[[#This Row],[% de nivel de servicio]],"")</f>
        <v>0.66</v>
      </c>
      <c r="N171" s="7"/>
      <c r="O171" s="12">
        <f>IFERROR(Regiones[[#This Row],[Aten &lt; 20 seg]]/Regiones[[#This Row],[Contestadas]],"")</f>
        <v>0.22</v>
      </c>
      <c r="P171" s="13">
        <f>IFERROR(Regiones[[#This Row],[AHT]]*86400,"error")</f>
        <v>286</v>
      </c>
      <c r="Q171" s="13" t="str">
        <f>+VLOOKUP(Regiones[[#This Row],[Cola]],Tabla6[#Data],2,0)</f>
        <v>BUPA</v>
      </c>
      <c r="R171" s="13" t="e">
        <f>+VLOOKUP(Regiones[[#This Row],[Cola]],Tabla68[],2,0)</f>
        <v>#N/A</v>
      </c>
    </row>
    <row r="172" spans="2:18" x14ac:dyDescent="0.3">
      <c r="B172" s="6">
        <v>46205</v>
      </c>
      <c r="C172" s="14">
        <v>0.39583333333333331</v>
      </c>
      <c r="D172" t="s">
        <v>52</v>
      </c>
      <c r="E172" t="s">
        <v>18</v>
      </c>
      <c r="F172">
        <v>0</v>
      </c>
      <c r="G172">
        <v>1</v>
      </c>
      <c r="H172">
        <v>0</v>
      </c>
      <c r="I172" s="2">
        <v>0</v>
      </c>
      <c r="J172" s="14">
        <v>8.6342592592592599E-3</v>
      </c>
      <c r="K172" s="6">
        <f>INT(Regiones[[#This Row],[Fecha]])</f>
        <v>46205</v>
      </c>
      <c r="L172" s="10" t="str">
        <f>IFERROR(Regiones[[#This Row],[Contestadas]]/Regiones[[#This Row],[Ofrecidas]],"")</f>
        <v/>
      </c>
      <c r="M172" s="7">
        <f>IFERROR(Regiones[[#This Row],[Ofrecidas]]*Regiones[[#This Row],[% de nivel de servicio]],"")</f>
        <v>0</v>
      </c>
      <c r="N172" s="7"/>
      <c r="O172" s="12">
        <f>IFERROR(Regiones[[#This Row],[Aten &lt; 20 seg]]/Regiones[[#This Row],[Contestadas]],"")</f>
        <v>0</v>
      </c>
      <c r="P172" s="13">
        <f>IFERROR(Regiones[[#This Row],[AHT]]*86400,"error")</f>
        <v>746.00000000000011</v>
      </c>
      <c r="Q172" s="13" t="str">
        <f>+VLOOKUP(Regiones[[#This Row],[Cola]],Tabla6[#Data],2,0)</f>
        <v>BUPA</v>
      </c>
      <c r="R172" s="13" t="e">
        <f>+VLOOKUP(Regiones[[#This Row],[Cola]],Tabla68[],2,0)</f>
        <v>#N/A</v>
      </c>
    </row>
    <row r="173" spans="2:18" x14ac:dyDescent="0.3">
      <c r="B173" s="6">
        <v>46205</v>
      </c>
      <c r="C173" s="14">
        <v>0.41666666666666669</v>
      </c>
      <c r="D173" t="s">
        <v>52</v>
      </c>
      <c r="E173" t="s">
        <v>18</v>
      </c>
      <c r="F173">
        <v>2</v>
      </c>
      <c r="G173">
        <v>2</v>
      </c>
      <c r="H173">
        <v>0</v>
      </c>
      <c r="I173" s="2">
        <v>0.5</v>
      </c>
      <c r="J173" s="14">
        <v>5.9490740740740745E-3</v>
      </c>
      <c r="K173" s="6">
        <f>INT(Regiones[[#This Row],[Fecha]])</f>
        <v>46205</v>
      </c>
      <c r="L173" s="10">
        <f>IFERROR(Regiones[[#This Row],[Contestadas]]/Regiones[[#This Row],[Ofrecidas]],"")</f>
        <v>1</v>
      </c>
      <c r="M173" s="7">
        <f>IFERROR(Regiones[[#This Row],[Ofrecidas]]*Regiones[[#This Row],[% de nivel de servicio]],"")</f>
        <v>1</v>
      </c>
      <c r="N173" s="7"/>
      <c r="O173" s="12">
        <f>IFERROR(Regiones[[#This Row],[Aten &lt; 20 seg]]/Regiones[[#This Row],[Contestadas]],"")</f>
        <v>0.5</v>
      </c>
      <c r="P173" s="13">
        <f>IFERROR(Regiones[[#This Row],[AHT]]*86400,"error")</f>
        <v>514</v>
      </c>
      <c r="Q173" s="13" t="str">
        <f>+VLOOKUP(Regiones[[#This Row],[Cola]],Tabla6[#Data],2,0)</f>
        <v>BUPA</v>
      </c>
      <c r="R173" s="13" t="e">
        <f>+VLOOKUP(Regiones[[#This Row],[Cola]],Tabla68[],2,0)</f>
        <v>#N/A</v>
      </c>
    </row>
    <row r="174" spans="2:18" x14ac:dyDescent="0.3">
      <c r="B174" s="6">
        <v>46205</v>
      </c>
      <c r="C174" s="14">
        <v>0.41666666666666669</v>
      </c>
      <c r="D174" t="s">
        <v>50</v>
      </c>
      <c r="E174" t="s">
        <v>18</v>
      </c>
      <c r="F174">
        <v>2</v>
      </c>
      <c r="G174">
        <v>2</v>
      </c>
      <c r="H174">
        <v>0</v>
      </c>
      <c r="I174" s="2">
        <v>0</v>
      </c>
      <c r="J174" s="14">
        <v>9.2592592592592596E-4</v>
      </c>
      <c r="K174" s="6">
        <f>INT(Regiones[[#This Row],[Fecha]])</f>
        <v>46205</v>
      </c>
      <c r="L174" s="10">
        <f>IFERROR(Regiones[[#This Row],[Contestadas]]/Regiones[[#This Row],[Ofrecidas]],"")</f>
        <v>1</v>
      </c>
      <c r="M174" s="7">
        <f>IFERROR(Regiones[[#This Row],[Ofrecidas]]*Regiones[[#This Row],[% de nivel de servicio]],"")</f>
        <v>0</v>
      </c>
      <c r="N174" s="7"/>
      <c r="O174" s="12">
        <f>IFERROR(Regiones[[#This Row],[Aten &lt; 20 seg]]/Regiones[[#This Row],[Contestadas]],"")</f>
        <v>0</v>
      </c>
      <c r="P174" s="13">
        <f>IFERROR(Regiones[[#This Row],[AHT]]*86400,"error")</f>
        <v>80</v>
      </c>
      <c r="Q174" s="13" t="str">
        <f>+VLOOKUP(Regiones[[#This Row],[Cola]],Tabla6[#Data],2,0)</f>
        <v>BUPA</v>
      </c>
      <c r="R174" s="13" t="e">
        <f>+VLOOKUP(Regiones[[#This Row],[Cola]],Tabla68[],2,0)</f>
        <v>#N/A</v>
      </c>
    </row>
    <row r="175" spans="2:18" x14ac:dyDescent="0.3">
      <c r="B175" s="6">
        <v>46205</v>
      </c>
      <c r="C175" s="14">
        <v>0.41666666666666669</v>
      </c>
      <c r="D175" t="s">
        <v>57</v>
      </c>
      <c r="E175" t="s">
        <v>18</v>
      </c>
      <c r="F175">
        <v>1</v>
      </c>
      <c r="G175">
        <v>1</v>
      </c>
      <c r="H175">
        <v>0</v>
      </c>
      <c r="I175" s="2">
        <v>0</v>
      </c>
      <c r="J175" s="14">
        <v>2.6967592592592594E-3</v>
      </c>
      <c r="K175" s="6">
        <f>INT(Regiones[[#This Row],[Fecha]])</f>
        <v>46205</v>
      </c>
      <c r="L175" s="10">
        <f>IFERROR(Regiones[[#This Row],[Contestadas]]/Regiones[[#This Row],[Ofrecidas]],"")</f>
        <v>1</v>
      </c>
      <c r="M175" s="7">
        <f>IFERROR(Regiones[[#This Row],[Ofrecidas]]*Regiones[[#This Row],[% de nivel de servicio]],"")</f>
        <v>0</v>
      </c>
      <c r="N175" s="7"/>
      <c r="O175" s="12">
        <f>IFERROR(Regiones[[#This Row],[Aten &lt; 20 seg]]/Regiones[[#This Row],[Contestadas]],"")</f>
        <v>0</v>
      </c>
      <c r="P175" s="13">
        <f>IFERROR(Regiones[[#This Row],[AHT]]*86400,"error")</f>
        <v>233</v>
      </c>
      <c r="Q175" s="13" t="str">
        <f>+VLOOKUP(Regiones[[#This Row],[Cola]],Tabla6[#Data],2,0)</f>
        <v>BUPA</v>
      </c>
      <c r="R175" s="13" t="e">
        <f>+VLOOKUP(Regiones[[#This Row],[Cola]],Tabla68[],2,0)</f>
        <v>#N/A</v>
      </c>
    </row>
    <row r="176" spans="2:18" x14ac:dyDescent="0.3">
      <c r="B176" s="6">
        <v>46205</v>
      </c>
      <c r="C176" s="14">
        <v>0.41666666666666669</v>
      </c>
      <c r="D176" t="s">
        <v>47</v>
      </c>
      <c r="E176" t="s">
        <v>18</v>
      </c>
      <c r="F176">
        <v>12</v>
      </c>
      <c r="G176">
        <v>11</v>
      </c>
      <c r="H176">
        <v>1</v>
      </c>
      <c r="I176" s="2">
        <v>0.33</v>
      </c>
      <c r="J176" s="14">
        <v>5.2662037037037035E-3</v>
      </c>
      <c r="K176" s="6">
        <f>INT(Regiones[[#This Row],[Fecha]])</f>
        <v>46205</v>
      </c>
      <c r="L176" s="10">
        <f>IFERROR(Regiones[[#This Row],[Contestadas]]/Regiones[[#This Row],[Ofrecidas]],"")</f>
        <v>0.91666666666666663</v>
      </c>
      <c r="M176" s="7">
        <f>IFERROR(Regiones[[#This Row],[Ofrecidas]]*Regiones[[#This Row],[% de nivel de servicio]],"")</f>
        <v>3.96</v>
      </c>
      <c r="N176" s="7"/>
      <c r="O176" s="12">
        <f>IFERROR(Regiones[[#This Row],[Aten &lt; 20 seg]]/Regiones[[#This Row],[Contestadas]],"")</f>
        <v>0.36</v>
      </c>
      <c r="P176" s="13">
        <f>IFERROR(Regiones[[#This Row],[AHT]]*86400,"error")</f>
        <v>455</v>
      </c>
      <c r="Q176" s="13" t="str">
        <f>+VLOOKUP(Regiones[[#This Row],[Cola]],Tabla6[#Data],2,0)</f>
        <v>BUPA</v>
      </c>
      <c r="R176" s="13" t="e">
        <f>+VLOOKUP(Regiones[[#This Row],[Cola]],Tabla68[],2,0)</f>
        <v>#N/A</v>
      </c>
    </row>
    <row r="177" spans="2:18" x14ac:dyDescent="0.3">
      <c r="B177" s="6">
        <v>46205</v>
      </c>
      <c r="C177" s="14">
        <v>0.41666666666666669</v>
      </c>
      <c r="D177" t="s">
        <v>53</v>
      </c>
      <c r="E177" t="s">
        <v>18</v>
      </c>
      <c r="F177">
        <v>2</v>
      </c>
      <c r="G177">
        <v>2</v>
      </c>
      <c r="H177">
        <v>0</v>
      </c>
      <c r="I177" s="2">
        <v>0.5</v>
      </c>
      <c r="J177" s="14">
        <v>4.5717592592592589E-3</v>
      </c>
      <c r="K177" s="6">
        <f>INT(Regiones[[#This Row],[Fecha]])</f>
        <v>46205</v>
      </c>
      <c r="L177" s="10">
        <f>IFERROR(Regiones[[#This Row],[Contestadas]]/Regiones[[#This Row],[Ofrecidas]],"")</f>
        <v>1</v>
      </c>
      <c r="M177" s="7">
        <f>IFERROR(Regiones[[#This Row],[Ofrecidas]]*Regiones[[#This Row],[% de nivel de servicio]],"")</f>
        <v>1</v>
      </c>
      <c r="N177" s="7"/>
      <c r="O177" s="12">
        <f>IFERROR(Regiones[[#This Row],[Aten &lt; 20 seg]]/Regiones[[#This Row],[Contestadas]],"")</f>
        <v>0.5</v>
      </c>
      <c r="P177" s="13">
        <f>IFERROR(Regiones[[#This Row],[AHT]]*86400,"error")</f>
        <v>394.99999999999994</v>
      </c>
      <c r="Q177" s="13" t="str">
        <f>+VLOOKUP(Regiones[[#This Row],[Cola]],Tabla6[#Data],2,0)</f>
        <v>BUPA</v>
      </c>
      <c r="R177" s="13" t="e">
        <f>+VLOOKUP(Regiones[[#This Row],[Cola]],Tabla68[],2,0)</f>
        <v>#N/A</v>
      </c>
    </row>
    <row r="178" spans="2:18" x14ac:dyDescent="0.3">
      <c r="B178" s="6">
        <v>46205</v>
      </c>
      <c r="C178" s="14">
        <v>0.41666666666666669</v>
      </c>
      <c r="D178" t="s">
        <v>56</v>
      </c>
      <c r="E178" t="s">
        <v>18</v>
      </c>
      <c r="F178">
        <v>1</v>
      </c>
      <c r="G178">
        <v>1</v>
      </c>
      <c r="H178">
        <v>0</v>
      </c>
      <c r="I178" s="2">
        <v>0</v>
      </c>
      <c r="J178" s="14">
        <v>6.6898148148148151E-3</v>
      </c>
      <c r="K178" s="6">
        <f>INT(Regiones[[#This Row],[Fecha]])</f>
        <v>46205</v>
      </c>
      <c r="L178" s="10">
        <f>IFERROR(Regiones[[#This Row],[Contestadas]]/Regiones[[#This Row],[Ofrecidas]],"")</f>
        <v>1</v>
      </c>
      <c r="M178" s="7">
        <f>IFERROR(Regiones[[#This Row],[Ofrecidas]]*Regiones[[#This Row],[% de nivel de servicio]],"")</f>
        <v>0</v>
      </c>
      <c r="N178" s="7"/>
      <c r="O178" s="12">
        <f>IFERROR(Regiones[[#This Row],[Aten &lt; 20 seg]]/Regiones[[#This Row],[Contestadas]],"")</f>
        <v>0</v>
      </c>
      <c r="P178" s="13">
        <f>IFERROR(Regiones[[#This Row],[AHT]]*86400,"error")</f>
        <v>578</v>
      </c>
      <c r="Q178" s="13" t="str">
        <f>+VLOOKUP(Regiones[[#This Row],[Cola]],Tabla6[#Data],2,0)</f>
        <v>BUPA</v>
      </c>
      <c r="R178" s="13" t="e">
        <f>+VLOOKUP(Regiones[[#This Row],[Cola]],Tabla68[],2,0)</f>
        <v>#N/A</v>
      </c>
    </row>
    <row r="179" spans="2:18" x14ac:dyDescent="0.3">
      <c r="B179" s="6">
        <v>46205</v>
      </c>
      <c r="C179" s="14">
        <v>0.41666666666666669</v>
      </c>
      <c r="D179" t="s">
        <v>46</v>
      </c>
      <c r="E179" t="s">
        <v>18</v>
      </c>
      <c r="F179">
        <v>14</v>
      </c>
      <c r="G179">
        <v>9</v>
      </c>
      <c r="H179">
        <v>5</v>
      </c>
      <c r="I179" s="2">
        <v>7.0000000000000007E-2</v>
      </c>
      <c r="J179" s="14">
        <v>5.7291666666666663E-3</v>
      </c>
      <c r="K179" s="6">
        <f>INT(Regiones[[#This Row],[Fecha]])</f>
        <v>46205</v>
      </c>
      <c r="L179" s="10">
        <f>IFERROR(Regiones[[#This Row],[Contestadas]]/Regiones[[#This Row],[Ofrecidas]],"")</f>
        <v>0.6428571428571429</v>
      </c>
      <c r="M179" s="7">
        <f>IFERROR(Regiones[[#This Row],[Ofrecidas]]*Regiones[[#This Row],[% de nivel de servicio]],"")</f>
        <v>0.98000000000000009</v>
      </c>
      <c r="N179" s="7"/>
      <c r="O179" s="12">
        <f>IFERROR(Regiones[[#This Row],[Aten &lt; 20 seg]]/Regiones[[#This Row],[Contestadas]],"")</f>
        <v>0.1088888888888889</v>
      </c>
      <c r="P179" s="13">
        <f>IFERROR(Regiones[[#This Row],[AHT]]*86400,"error")</f>
        <v>494.99999999999994</v>
      </c>
      <c r="Q179" s="13" t="str">
        <f>+VLOOKUP(Regiones[[#This Row],[Cola]],Tabla6[#Data],2,0)</f>
        <v>BUPA</v>
      </c>
      <c r="R179" s="13" t="e">
        <f>+VLOOKUP(Regiones[[#This Row],[Cola]],Tabla68[],2,0)</f>
        <v>#N/A</v>
      </c>
    </row>
    <row r="180" spans="2:18" x14ac:dyDescent="0.3">
      <c r="B180" s="6">
        <v>46205</v>
      </c>
      <c r="C180" s="14">
        <v>0.41666666666666669</v>
      </c>
      <c r="D180" t="s">
        <v>54</v>
      </c>
      <c r="E180" t="s">
        <v>18</v>
      </c>
      <c r="F180">
        <v>3</v>
      </c>
      <c r="G180">
        <v>3</v>
      </c>
      <c r="H180">
        <v>0</v>
      </c>
      <c r="I180" s="2">
        <v>0.67</v>
      </c>
      <c r="J180" s="14">
        <v>3.1018518518518517E-3</v>
      </c>
      <c r="K180" s="6">
        <f>INT(Regiones[[#This Row],[Fecha]])</f>
        <v>46205</v>
      </c>
      <c r="L180" s="10">
        <f>IFERROR(Regiones[[#This Row],[Contestadas]]/Regiones[[#This Row],[Ofrecidas]],"")</f>
        <v>1</v>
      </c>
      <c r="M180" s="7">
        <f>IFERROR(Regiones[[#This Row],[Ofrecidas]]*Regiones[[#This Row],[% de nivel de servicio]],"")</f>
        <v>2.0100000000000002</v>
      </c>
      <c r="N180" s="7"/>
      <c r="O180" s="12">
        <f>IFERROR(Regiones[[#This Row],[Aten &lt; 20 seg]]/Regiones[[#This Row],[Contestadas]],"")</f>
        <v>0.67</v>
      </c>
      <c r="P180" s="13">
        <f>IFERROR(Regiones[[#This Row],[AHT]]*86400,"error")</f>
        <v>268</v>
      </c>
      <c r="Q180" s="13" t="str">
        <f>+VLOOKUP(Regiones[[#This Row],[Cola]],Tabla6[#Data],2,0)</f>
        <v>BUPA</v>
      </c>
      <c r="R180" s="13" t="e">
        <f>+VLOOKUP(Regiones[[#This Row],[Cola]],Tabla68[],2,0)</f>
        <v>#N/A</v>
      </c>
    </row>
    <row r="181" spans="2:18" x14ac:dyDescent="0.3">
      <c r="B181" s="6">
        <v>46205</v>
      </c>
      <c r="C181" s="14">
        <v>0.41666666666666669</v>
      </c>
      <c r="D181" t="s">
        <v>48</v>
      </c>
      <c r="E181" t="s">
        <v>18</v>
      </c>
      <c r="F181">
        <v>8</v>
      </c>
      <c r="G181">
        <v>7</v>
      </c>
      <c r="H181">
        <v>1</v>
      </c>
      <c r="I181" s="2">
        <v>0.5</v>
      </c>
      <c r="J181" s="14">
        <v>7.1064814814814819E-3</v>
      </c>
      <c r="K181" s="6">
        <f>INT(Regiones[[#This Row],[Fecha]])</f>
        <v>46205</v>
      </c>
      <c r="L181" s="10">
        <f>IFERROR(Regiones[[#This Row],[Contestadas]]/Regiones[[#This Row],[Ofrecidas]],"")</f>
        <v>0.875</v>
      </c>
      <c r="M181" s="7">
        <f>IFERROR(Regiones[[#This Row],[Ofrecidas]]*Regiones[[#This Row],[% de nivel de servicio]],"")</f>
        <v>4</v>
      </c>
      <c r="N181" s="7"/>
      <c r="O181" s="12">
        <f>IFERROR(Regiones[[#This Row],[Aten &lt; 20 seg]]/Regiones[[#This Row],[Contestadas]],"")</f>
        <v>0.5714285714285714</v>
      </c>
      <c r="P181" s="13">
        <f>IFERROR(Regiones[[#This Row],[AHT]]*86400,"error")</f>
        <v>614</v>
      </c>
      <c r="Q181" s="13" t="str">
        <f>+VLOOKUP(Regiones[[#This Row],[Cola]],Tabla6[#Data],2,0)</f>
        <v>BUPA</v>
      </c>
      <c r="R181" s="13" t="e">
        <f>+VLOOKUP(Regiones[[#This Row],[Cola]],Tabla68[],2,0)</f>
        <v>#N/A</v>
      </c>
    </row>
    <row r="182" spans="2:18" x14ac:dyDescent="0.3">
      <c r="B182" s="6">
        <v>46205</v>
      </c>
      <c r="C182" s="14">
        <v>0.41666666666666669</v>
      </c>
      <c r="D182" t="s">
        <v>49</v>
      </c>
      <c r="E182" t="s">
        <v>18</v>
      </c>
      <c r="F182">
        <v>2</v>
      </c>
      <c r="G182">
        <v>2</v>
      </c>
      <c r="H182">
        <v>0</v>
      </c>
      <c r="I182" s="2">
        <v>0</v>
      </c>
      <c r="J182" s="14">
        <v>3.8078703703703703E-3</v>
      </c>
      <c r="K182" s="6">
        <f>INT(Regiones[[#This Row],[Fecha]])</f>
        <v>46205</v>
      </c>
      <c r="L182" s="10">
        <f>IFERROR(Regiones[[#This Row],[Contestadas]]/Regiones[[#This Row],[Ofrecidas]],"")</f>
        <v>1</v>
      </c>
      <c r="M182" s="7">
        <f>IFERROR(Regiones[[#This Row],[Ofrecidas]]*Regiones[[#This Row],[% de nivel de servicio]],"")</f>
        <v>0</v>
      </c>
      <c r="N182" s="7"/>
      <c r="O182" s="12">
        <f>IFERROR(Regiones[[#This Row],[Aten &lt; 20 seg]]/Regiones[[#This Row],[Contestadas]],"")</f>
        <v>0</v>
      </c>
      <c r="P182" s="13">
        <f>IFERROR(Regiones[[#This Row],[AHT]]*86400,"error")</f>
        <v>329</v>
      </c>
      <c r="Q182" s="13" t="str">
        <f>+VLOOKUP(Regiones[[#This Row],[Cola]],Tabla6[#Data],2,0)</f>
        <v>BUPA</v>
      </c>
      <c r="R182" s="13" t="e">
        <f>+VLOOKUP(Regiones[[#This Row],[Cola]],Tabla68[],2,0)</f>
        <v>#N/A</v>
      </c>
    </row>
    <row r="183" spans="2:18" x14ac:dyDescent="0.3">
      <c r="B183" s="6">
        <v>46205</v>
      </c>
      <c r="C183" s="14">
        <v>0.4375</v>
      </c>
      <c r="D183" t="s">
        <v>54</v>
      </c>
      <c r="E183" t="s">
        <v>18</v>
      </c>
      <c r="F183">
        <v>1</v>
      </c>
      <c r="G183">
        <v>1</v>
      </c>
      <c r="H183">
        <v>0</v>
      </c>
      <c r="I183" s="2">
        <v>0</v>
      </c>
      <c r="J183" s="14">
        <v>7.2916666666666668E-3</v>
      </c>
      <c r="K183" s="6">
        <f>INT(Regiones[[#This Row],[Fecha]])</f>
        <v>46205</v>
      </c>
      <c r="L183" s="10">
        <f>IFERROR(Regiones[[#This Row],[Contestadas]]/Regiones[[#This Row],[Ofrecidas]],"")</f>
        <v>1</v>
      </c>
      <c r="M183" s="7">
        <f>IFERROR(Regiones[[#This Row],[Ofrecidas]]*Regiones[[#This Row],[% de nivel de servicio]],"")</f>
        <v>0</v>
      </c>
      <c r="N183" s="7"/>
      <c r="O183" s="12">
        <f>IFERROR(Regiones[[#This Row],[Aten &lt; 20 seg]]/Regiones[[#This Row],[Contestadas]],"")</f>
        <v>0</v>
      </c>
      <c r="P183" s="13">
        <f>IFERROR(Regiones[[#This Row],[AHT]]*86400,"error")</f>
        <v>630</v>
      </c>
      <c r="Q183" s="13" t="str">
        <f>+VLOOKUP(Regiones[[#This Row],[Cola]],Tabla6[#Data],2,0)</f>
        <v>BUPA</v>
      </c>
      <c r="R183" s="13" t="e">
        <f>+VLOOKUP(Regiones[[#This Row],[Cola]],Tabla68[],2,0)</f>
        <v>#N/A</v>
      </c>
    </row>
    <row r="184" spans="2:18" x14ac:dyDescent="0.3">
      <c r="B184" s="6">
        <v>46205</v>
      </c>
      <c r="C184" s="14">
        <v>0.4375</v>
      </c>
      <c r="D184" t="s">
        <v>48</v>
      </c>
      <c r="E184" t="s">
        <v>18</v>
      </c>
      <c r="F184">
        <v>10</v>
      </c>
      <c r="G184">
        <v>8</v>
      </c>
      <c r="H184">
        <v>1</v>
      </c>
      <c r="I184" s="2">
        <v>0.22</v>
      </c>
      <c r="J184" s="14">
        <v>8.8425925925925929E-3</v>
      </c>
      <c r="K184" s="6">
        <f>INT(Regiones[[#This Row],[Fecha]])</f>
        <v>46205</v>
      </c>
      <c r="L184" s="10">
        <f>IFERROR(Regiones[[#This Row],[Contestadas]]/Regiones[[#This Row],[Ofrecidas]],"")</f>
        <v>0.8</v>
      </c>
      <c r="M184" s="7">
        <f>IFERROR(Regiones[[#This Row],[Ofrecidas]]*Regiones[[#This Row],[% de nivel de servicio]],"")</f>
        <v>2.2000000000000002</v>
      </c>
      <c r="N184" s="7"/>
      <c r="O184" s="12">
        <f>IFERROR(Regiones[[#This Row],[Aten &lt; 20 seg]]/Regiones[[#This Row],[Contestadas]],"")</f>
        <v>0.27500000000000002</v>
      </c>
      <c r="P184" s="13">
        <f>IFERROR(Regiones[[#This Row],[AHT]]*86400,"error")</f>
        <v>764</v>
      </c>
      <c r="Q184" s="13" t="str">
        <f>+VLOOKUP(Regiones[[#This Row],[Cola]],Tabla6[#Data],2,0)</f>
        <v>BUPA</v>
      </c>
      <c r="R184" s="13" t="e">
        <f>+VLOOKUP(Regiones[[#This Row],[Cola]],Tabla68[],2,0)</f>
        <v>#N/A</v>
      </c>
    </row>
    <row r="185" spans="2:18" x14ac:dyDescent="0.3">
      <c r="B185" s="6">
        <v>46205</v>
      </c>
      <c r="C185" s="14">
        <v>0.4375</v>
      </c>
      <c r="D185" t="s">
        <v>49</v>
      </c>
      <c r="E185" t="s">
        <v>18</v>
      </c>
      <c r="F185">
        <v>0</v>
      </c>
      <c r="G185">
        <v>0</v>
      </c>
      <c r="H185">
        <v>0</v>
      </c>
      <c r="I185" s="2" t="s">
        <v>20</v>
      </c>
      <c r="J185" s="14">
        <v>7.5578703703703702E-3</v>
      </c>
      <c r="K185" s="6">
        <f>INT(Regiones[[#This Row],[Fecha]])</f>
        <v>46205</v>
      </c>
      <c r="L185" s="10" t="str">
        <f>IFERROR(Regiones[[#This Row],[Contestadas]]/Regiones[[#This Row],[Ofrecidas]],"")</f>
        <v/>
      </c>
      <c r="M185" s="7" t="str">
        <f>IFERROR(Regiones[[#This Row],[Ofrecidas]]*Regiones[[#This Row],[% de nivel de servicio]],"")</f>
        <v/>
      </c>
      <c r="N185" s="7"/>
      <c r="O185" s="12" t="str">
        <f>IFERROR(Regiones[[#This Row],[Aten &lt; 20 seg]]/Regiones[[#This Row],[Contestadas]],"")</f>
        <v/>
      </c>
      <c r="P185" s="13">
        <f>IFERROR(Regiones[[#This Row],[AHT]]*86400,"error")</f>
        <v>653</v>
      </c>
      <c r="Q185" s="13" t="str">
        <f>+VLOOKUP(Regiones[[#This Row],[Cola]],Tabla6[#Data],2,0)</f>
        <v>BUPA</v>
      </c>
      <c r="R185" s="13" t="e">
        <f>+VLOOKUP(Regiones[[#This Row],[Cola]],Tabla68[],2,0)</f>
        <v>#N/A</v>
      </c>
    </row>
    <row r="186" spans="2:18" x14ac:dyDescent="0.3">
      <c r="B186" s="6">
        <v>46205</v>
      </c>
      <c r="C186" s="14">
        <v>0.4375</v>
      </c>
      <c r="D186" t="s">
        <v>57</v>
      </c>
      <c r="E186" t="s">
        <v>18</v>
      </c>
      <c r="F186">
        <v>2</v>
      </c>
      <c r="G186">
        <v>1</v>
      </c>
      <c r="H186">
        <v>0</v>
      </c>
      <c r="I186" s="2">
        <v>1</v>
      </c>
      <c r="J186" s="14">
        <v>4.0856481481481481E-3</v>
      </c>
      <c r="K186" s="6">
        <f>INT(Regiones[[#This Row],[Fecha]])</f>
        <v>46205</v>
      </c>
      <c r="L186" s="10">
        <f>IFERROR(Regiones[[#This Row],[Contestadas]]/Regiones[[#This Row],[Ofrecidas]],"")</f>
        <v>0.5</v>
      </c>
      <c r="M186" s="7">
        <f>IFERROR(Regiones[[#This Row],[Ofrecidas]]*Regiones[[#This Row],[% de nivel de servicio]],"")</f>
        <v>2</v>
      </c>
      <c r="N186" s="7"/>
      <c r="O186" s="12">
        <f>IFERROR(Regiones[[#This Row],[Aten &lt; 20 seg]]/Regiones[[#This Row],[Contestadas]],"")</f>
        <v>2</v>
      </c>
      <c r="P186" s="13">
        <f>IFERROR(Regiones[[#This Row],[AHT]]*86400,"error")</f>
        <v>353</v>
      </c>
      <c r="Q186" s="13" t="str">
        <f>+VLOOKUP(Regiones[[#This Row],[Cola]],Tabla6[#Data],2,0)</f>
        <v>BUPA</v>
      </c>
      <c r="R186" s="13" t="e">
        <f>+VLOOKUP(Regiones[[#This Row],[Cola]],Tabla68[],2,0)</f>
        <v>#N/A</v>
      </c>
    </row>
    <row r="187" spans="2:18" x14ac:dyDescent="0.3">
      <c r="B187" s="6">
        <v>46205</v>
      </c>
      <c r="C187" s="14">
        <v>0.4375</v>
      </c>
      <c r="D187" t="s">
        <v>52</v>
      </c>
      <c r="E187" t="s">
        <v>18</v>
      </c>
      <c r="F187">
        <v>1</v>
      </c>
      <c r="G187">
        <v>0</v>
      </c>
      <c r="H187">
        <v>1</v>
      </c>
      <c r="I187" s="2">
        <v>0</v>
      </c>
      <c r="J187" s="14" t="s">
        <v>19</v>
      </c>
      <c r="K187" s="6">
        <f>INT(Regiones[[#This Row],[Fecha]])</f>
        <v>46205</v>
      </c>
      <c r="L187" s="10">
        <f>IFERROR(Regiones[[#This Row],[Contestadas]]/Regiones[[#This Row],[Ofrecidas]],"")</f>
        <v>0</v>
      </c>
      <c r="M187" s="7">
        <f>IFERROR(Regiones[[#This Row],[Ofrecidas]]*Regiones[[#This Row],[% de nivel de servicio]],"")</f>
        <v>0</v>
      </c>
      <c r="N187" s="7"/>
      <c r="O187" s="12" t="str">
        <f>IFERROR(Regiones[[#This Row],[Aten &lt; 20 seg]]/Regiones[[#This Row],[Contestadas]],"")</f>
        <v/>
      </c>
      <c r="P187" s="13" t="str">
        <f>IFERROR(Regiones[[#This Row],[AHT]]*86400,"error")</f>
        <v>error</v>
      </c>
      <c r="Q187" s="13" t="str">
        <f>+VLOOKUP(Regiones[[#This Row],[Cola]],Tabla6[#Data],2,0)</f>
        <v>BUPA</v>
      </c>
      <c r="R187" s="13" t="e">
        <f>+VLOOKUP(Regiones[[#This Row],[Cola]],Tabla68[],2,0)</f>
        <v>#N/A</v>
      </c>
    </row>
    <row r="188" spans="2:18" x14ac:dyDescent="0.3">
      <c r="B188" s="6">
        <v>46205</v>
      </c>
      <c r="C188" s="14">
        <v>0.4375</v>
      </c>
      <c r="D188" t="s">
        <v>50</v>
      </c>
      <c r="E188" t="s">
        <v>18</v>
      </c>
      <c r="F188">
        <v>3</v>
      </c>
      <c r="G188">
        <v>1</v>
      </c>
      <c r="H188">
        <v>1</v>
      </c>
      <c r="I188" s="2">
        <v>0.5</v>
      </c>
      <c r="J188" s="14">
        <v>3.414351851851852E-3</v>
      </c>
      <c r="K188" s="6">
        <f>INT(Regiones[[#This Row],[Fecha]])</f>
        <v>46205</v>
      </c>
      <c r="L188" s="10">
        <f>IFERROR(Regiones[[#This Row],[Contestadas]]/Regiones[[#This Row],[Ofrecidas]],"")</f>
        <v>0.33333333333333331</v>
      </c>
      <c r="M188" s="7">
        <f>IFERROR(Regiones[[#This Row],[Ofrecidas]]*Regiones[[#This Row],[% de nivel de servicio]],"")</f>
        <v>1.5</v>
      </c>
      <c r="N188" s="7"/>
      <c r="O188" s="12">
        <f>IFERROR(Regiones[[#This Row],[Aten &lt; 20 seg]]/Regiones[[#This Row],[Contestadas]],"")</f>
        <v>1.5</v>
      </c>
      <c r="P188" s="13">
        <f>IFERROR(Regiones[[#This Row],[AHT]]*86400,"error")</f>
        <v>295</v>
      </c>
      <c r="Q188" s="13" t="str">
        <f>+VLOOKUP(Regiones[[#This Row],[Cola]],Tabla6[#Data],2,0)</f>
        <v>BUPA</v>
      </c>
      <c r="R188" s="13" t="e">
        <f>+VLOOKUP(Regiones[[#This Row],[Cola]],Tabla68[],2,0)</f>
        <v>#N/A</v>
      </c>
    </row>
    <row r="189" spans="2:18" x14ac:dyDescent="0.3">
      <c r="B189" s="6">
        <v>46205</v>
      </c>
      <c r="C189" s="14">
        <v>0.4375</v>
      </c>
      <c r="D189" t="s">
        <v>47</v>
      </c>
      <c r="E189" t="s">
        <v>18</v>
      </c>
      <c r="F189">
        <v>11</v>
      </c>
      <c r="G189">
        <v>8</v>
      </c>
      <c r="H189">
        <v>3</v>
      </c>
      <c r="I189" s="2">
        <v>0</v>
      </c>
      <c r="J189" s="14">
        <v>6.3194444444444444E-3</v>
      </c>
      <c r="K189" s="6">
        <f>INT(Regiones[[#This Row],[Fecha]])</f>
        <v>46205</v>
      </c>
      <c r="L189" s="10">
        <f>IFERROR(Regiones[[#This Row],[Contestadas]]/Regiones[[#This Row],[Ofrecidas]],"")</f>
        <v>0.72727272727272729</v>
      </c>
      <c r="M189" s="7">
        <f>IFERROR(Regiones[[#This Row],[Ofrecidas]]*Regiones[[#This Row],[% de nivel de servicio]],"")</f>
        <v>0</v>
      </c>
      <c r="N189" s="7"/>
      <c r="O189" s="12">
        <f>IFERROR(Regiones[[#This Row],[Aten &lt; 20 seg]]/Regiones[[#This Row],[Contestadas]],"")</f>
        <v>0</v>
      </c>
      <c r="P189" s="13">
        <f>IFERROR(Regiones[[#This Row],[AHT]]*86400,"error")</f>
        <v>546</v>
      </c>
      <c r="Q189" s="13" t="str">
        <f>+VLOOKUP(Regiones[[#This Row],[Cola]],Tabla6[#Data],2,0)</f>
        <v>BUPA</v>
      </c>
      <c r="R189" s="13" t="e">
        <f>+VLOOKUP(Regiones[[#This Row],[Cola]],Tabla68[],2,0)</f>
        <v>#N/A</v>
      </c>
    </row>
    <row r="190" spans="2:18" x14ac:dyDescent="0.3">
      <c r="B190" s="6">
        <v>46205</v>
      </c>
      <c r="C190" s="14">
        <v>0.4375</v>
      </c>
      <c r="D190" t="s">
        <v>46</v>
      </c>
      <c r="E190" t="s">
        <v>18</v>
      </c>
      <c r="F190">
        <v>9</v>
      </c>
      <c r="G190">
        <v>4</v>
      </c>
      <c r="H190">
        <v>2</v>
      </c>
      <c r="I190" s="2">
        <v>0</v>
      </c>
      <c r="J190" s="14">
        <v>4.2708333333333331E-3</v>
      </c>
      <c r="K190" s="6">
        <f>INT(Regiones[[#This Row],[Fecha]])</f>
        <v>46205</v>
      </c>
      <c r="L190" s="10">
        <f>IFERROR(Regiones[[#This Row],[Contestadas]]/Regiones[[#This Row],[Ofrecidas]],"")</f>
        <v>0.44444444444444442</v>
      </c>
      <c r="M190" s="7">
        <f>IFERROR(Regiones[[#This Row],[Ofrecidas]]*Regiones[[#This Row],[% de nivel de servicio]],"")</f>
        <v>0</v>
      </c>
      <c r="N190" s="7"/>
      <c r="O190" s="12">
        <f>IFERROR(Regiones[[#This Row],[Aten &lt; 20 seg]]/Regiones[[#This Row],[Contestadas]],"")</f>
        <v>0</v>
      </c>
      <c r="P190" s="13">
        <f>IFERROR(Regiones[[#This Row],[AHT]]*86400,"error")</f>
        <v>369</v>
      </c>
      <c r="Q190" s="13" t="str">
        <f>+VLOOKUP(Regiones[[#This Row],[Cola]],Tabla6[#Data],2,0)</f>
        <v>BUPA</v>
      </c>
      <c r="R190" s="13" t="e">
        <f>+VLOOKUP(Regiones[[#This Row],[Cola]],Tabla68[],2,0)</f>
        <v>#N/A</v>
      </c>
    </row>
    <row r="191" spans="2:18" x14ac:dyDescent="0.3">
      <c r="B191" s="6">
        <v>46205</v>
      </c>
      <c r="C191" s="14">
        <v>0.4375</v>
      </c>
      <c r="D191" t="s">
        <v>53</v>
      </c>
      <c r="E191" t="s">
        <v>18</v>
      </c>
      <c r="F191">
        <v>6</v>
      </c>
      <c r="G191">
        <v>3</v>
      </c>
      <c r="H191">
        <v>2</v>
      </c>
      <c r="I191" s="2">
        <v>0.2</v>
      </c>
      <c r="J191" s="14">
        <v>6.8634259259259256E-3</v>
      </c>
      <c r="K191" s="6">
        <f>INT(Regiones[[#This Row],[Fecha]])</f>
        <v>46205</v>
      </c>
      <c r="L191" s="10">
        <f>IFERROR(Regiones[[#This Row],[Contestadas]]/Regiones[[#This Row],[Ofrecidas]],"")</f>
        <v>0.5</v>
      </c>
      <c r="M191" s="7">
        <f>IFERROR(Regiones[[#This Row],[Ofrecidas]]*Regiones[[#This Row],[% de nivel de servicio]],"")</f>
        <v>1.2000000000000002</v>
      </c>
      <c r="N191" s="7"/>
      <c r="O191" s="12">
        <f>IFERROR(Regiones[[#This Row],[Aten &lt; 20 seg]]/Regiones[[#This Row],[Contestadas]],"")</f>
        <v>0.40000000000000008</v>
      </c>
      <c r="P191" s="13">
        <f>IFERROR(Regiones[[#This Row],[AHT]]*86400,"error")</f>
        <v>593</v>
      </c>
      <c r="Q191" s="13" t="str">
        <f>+VLOOKUP(Regiones[[#This Row],[Cola]],Tabla6[#Data],2,0)</f>
        <v>BUPA</v>
      </c>
      <c r="R191" s="13" t="e">
        <f>+VLOOKUP(Regiones[[#This Row],[Cola]],Tabla68[],2,0)</f>
        <v>#N/A</v>
      </c>
    </row>
    <row r="192" spans="2:18" x14ac:dyDescent="0.3">
      <c r="B192" s="6">
        <v>46205</v>
      </c>
      <c r="C192" s="14">
        <v>0.45833333333333331</v>
      </c>
      <c r="D192" t="s">
        <v>47</v>
      </c>
      <c r="E192" t="s">
        <v>18</v>
      </c>
      <c r="F192">
        <v>16</v>
      </c>
      <c r="G192">
        <v>16</v>
      </c>
      <c r="H192">
        <v>0</v>
      </c>
      <c r="I192" s="2">
        <v>0.62</v>
      </c>
      <c r="J192" s="14">
        <v>4.7337962962962967E-3</v>
      </c>
      <c r="K192" s="6">
        <f>INT(Regiones[[#This Row],[Fecha]])</f>
        <v>46205</v>
      </c>
      <c r="L192" s="10">
        <f>IFERROR(Regiones[[#This Row],[Contestadas]]/Regiones[[#This Row],[Ofrecidas]],"")</f>
        <v>1</v>
      </c>
      <c r="M192" s="7">
        <f>IFERROR(Regiones[[#This Row],[Ofrecidas]]*Regiones[[#This Row],[% de nivel de servicio]],"")</f>
        <v>9.92</v>
      </c>
      <c r="N192" s="7"/>
      <c r="O192" s="12">
        <f>IFERROR(Regiones[[#This Row],[Aten &lt; 20 seg]]/Regiones[[#This Row],[Contestadas]],"")</f>
        <v>0.62</v>
      </c>
      <c r="P192" s="13">
        <f>IFERROR(Regiones[[#This Row],[AHT]]*86400,"error")</f>
        <v>409.00000000000006</v>
      </c>
      <c r="Q192" s="13" t="str">
        <f>+VLOOKUP(Regiones[[#This Row],[Cola]],Tabla6[#Data],2,0)</f>
        <v>BUPA</v>
      </c>
      <c r="R192" s="13" t="e">
        <f>+VLOOKUP(Regiones[[#This Row],[Cola]],Tabla68[],2,0)</f>
        <v>#N/A</v>
      </c>
    </row>
    <row r="193" spans="2:18" x14ac:dyDescent="0.3">
      <c r="B193" s="6">
        <v>46205</v>
      </c>
      <c r="C193" s="14">
        <v>0.45833333333333331</v>
      </c>
      <c r="D193" t="s">
        <v>46</v>
      </c>
      <c r="E193" t="s">
        <v>18</v>
      </c>
      <c r="F193">
        <v>3</v>
      </c>
      <c r="G193">
        <v>5</v>
      </c>
      <c r="H193">
        <v>1</v>
      </c>
      <c r="I193" s="2">
        <v>0.17</v>
      </c>
      <c r="J193" s="14">
        <v>4.4212962962962964E-3</v>
      </c>
      <c r="K193" s="6">
        <f>INT(Regiones[[#This Row],[Fecha]])</f>
        <v>46205</v>
      </c>
      <c r="L193" s="10">
        <f>IFERROR(Regiones[[#This Row],[Contestadas]]/Regiones[[#This Row],[Ofrecidas]],"")</f>
        <v>1.6666666666666667</v>
      </c>
      <c r="M193" s="7">
        <f>IFERROR(Regiones[[#This Row],[Ofrecidas]]*Regiones[[#This Row],[% de nivel de servicio]],"")</f>
        <v>0.51</v>
      </c>
      <c r="N193" s="7"/>
      <c r="O193" s="12">
        <f>IFERROR(Regiones[[#This Row],[Aten &lt; 20 seg]]/Regiones[[#This Row],[Contestadas]],"")</f>
        <v>0.10200000000000001</v>
      </c>
      <c r="P193" s="13">
        <f>IFERROR(Regiones[[#This Row],[AHT]]*86400,"error")</f>
        <v>382</v>
      </c>
      <c r="Q193" s="13" t="str">
        <f>+VLOOKUP(Regiones[[#This Row],[Cola]],Tabla6[#Data],2,0)</f>
        <v>BUPA</v>
      </c>
      <c r="R193" s="13" t="e">
        <f>+VLOOKUP(Regiones[[#This Row],[Cola]],Tabla68[],2,0)</f>
        <v>#N/A</v>
      </c>
    </row>
    <row r="194" spans="2:18" x14ac:dyDescent="0.3">
      <c r="B194" s="6">
        <v>46205</v>
      </c>
      <c r="C194" s="14">
        <v>0.45833333333333331</v>
      </c>
      <c r="D194" t="s">
        <v>56</v>
      </c>
      <c r="E194" t="s">
        <v>18</v>
      </c>
      <c r="F194">
        <v>2</v>
      </c>
      <c r="G194">
        <v>2</v>
      </c>
      <c r="H194">
        <v>0</v>
      </c>
      <c r="I194" s="2">
        <v>0.5</v>
      </c>
      <c r="J194" s="14">
        <v>4.5370370370370373E-3</v>
      </c>
      <c r="K194" s="6">
        <f>INT(Regiones[[#This Row],[Fecha]])</f>
        <v>46205</v>
      </c>
      <c r="L194" s="10">
        <f>IFERROR(Regiones[[#This Row],[Contestadas]]/Regiones[[#This Row],[Ofrecidas]],"")</f>
        <v>1</v>
      </c>
      <c r="M194" s="7">
        <f>IFERROR(Regiones[[#This Row],[Ofrecidas]]*Regiones[[#This Row],[% de nivel de servicio]],"")</f>
        <v>1</v>
      </c>
      <c r="N194" s="7"/>
      <c r="O194" s="12">
        <f>IFERROR(Regiones[[#This Row],[Aten &lt; 20 seg]]/Regiones[[#This Row],[Contestadas]],"")</f>
        <v>0.5</v>
      </c>
      <c r="P194" s="13">
        <f>IFERROR(Regiones[[#This Row],[AHT]]*86400,"error")</f>
        <v>392</v>
      </c>
      <c r="Q194" s="13" t="str">
        <f>+VLOOKUP(Regiones[[#This Row],[Cola]],Tabla6[#Data],2,0)</f>
        <v>BUPA</v>
      </c>
      <c r="R194" s="13" t="e">
        <f>+VLOOKUP(Regiones[[#This Row],[Cola]],Tabla68[],2,0)</f>
        <v>#N/A</v>
      </c>
    </row>
    <row r="195" spans="2:18" x14ac:dyDescent="0.3">
      <c r="B195" s="6">
        <v>46205</v>
      </c>
      <c r="C195" s="14">
        <v>0.45833333333333331</v>
      </c>
      <c r="D195" t="s">
        <v>53</v>
      </c>
      <c r="E195" t="s">
        <v>18</v>
      </c>
      <c r="F195">
        <v>2</v>
      </c>
      <c r="G195">
        <v>3</v>
      </c>
      <c r="H195">
        <v>0</v>
      </c>
      <c r="I195" s="2">
        <v>0</v>
      </c>
      <c r="J195" s="14">
        <v>3.425925925925926E-3</v>
      </c>
      <c r="K195" s="6">
        <f>INT(Regiones[[#This Row],[Fecha]])</f>
        <v>46205</v>
      </c>
      <c r="L195" s="10">
        <f>IFERROR(Regiones[[#This Row],[Contestadas]]/Regiones[[#This Row],[Ofrecidas]],"")</f>
        <v>1.5</v>
      </c>
      <c r="M195" s="7">
        <f>IFERROR(Regiones[[#This Row],[Ofrecidas]]*Regiones[[#This Row],[% de nivel de servicio]],"")</f>
        <v>0</v>
      </c>
      <c r="N195" s="7"/>
      <c r="O195" s="12">
        <f>IFERROR(Regiones[[#This Row],[Aten &lt; 20 seg]]/Regiones[[#This Row],[Contestadas]],"")</f>
        <v>0</v>
      </c>
      <c r="P195" s="13">
        <f>IFERROR(Regiones[[#This Row],[AHT]]*86400,"error")</f>
        <v>296</v>
      </c>
      <c r="Q195" s="13" t="str">
        <f>+VLOOKUP(Regiones[[#This Row],[Cola]],Tabla6[#Data],2,0)</f>
        <v>BUPA</v>
      </c>
      <c r="R195" s="13" t="e">
        <f>+VLOOKUP(Regiones[[#This Row],[Cola]],Tabla68[],2,0)</f>
        <v>#N/A</v>
      </c>
    </row>
    <row r="196" spans="2:18" x14ac:dyDescent="0.3">
      <c r="B196" s="6">
        <v>46205</v>
      </c>
      <c r="C196" s="14">
        <v>0.45833333333333331</v>
      </c>
      <c r="D196" t="s">
        <v>48</v>
      </c>
      <c r="E196" t="s">
        <v>18</v>
      </c>
      <c r="F196">
        <v>3</v>
      </c>
      <c r="G196">
        <v>4</v>
      </c>
      <c r="H196">
        <v>0</v>
      </c>
      <c r="I196" s="2">
        <v>0.5</v>
      </c>
      <c r="J196" s="14">
        <v>3.6111111111111109E-3</v>
      </c>
      <c r="K196" s="6">
        <f>INT(Regiones[[#This Row],[Fecha]])</f>
        <v>46205</v>
      </c>
      <c r="L196" s="10">
        <f>IFERROR(Regiones[[#This Row],[Contestadas]]/Regiones[[#This Row],[Ofrecidas]],"")</f>
        <v>1.3333333333333333</v>
      </c>
      <c r="M196" s="7">
        <f>IFERROR(Regiones[[#This Row],[Ofrecidas]]*Regiones[[#This Row],[% de nivel de servicio]],"")</f>
        <v>1.5</v>
      </c>
      <c r="N196" s="7"/>
      <c r="O196" s="12">
        <f>IFERROR(Regiones[[#This Row],[Aten &lt; 20 seg]]/Regiones[[#This Row],[Contestadas]],"")</f>
        <v>0.375</v>
      </c>
      <c r="P196" s="13">
        <f>IFERROR(Regiones[[#This Row],[AHT]]*86400,"error")</f>
        <v>312</v>
      </c>
      <c r="Q196" s="13" t="str">
        <f>+VLOOKUP(Regiones[[#This Row],[Cola]],Tabla6[#Data],2,0)</f>
        <v>BUPA</v>
      </c>
      <c r="R196" s="13" t="e">
        <f>+VLOOKUP(Regiones[[#This Row],[Cola]],Tabla68[],2,0)</f>
        <v>#N/A</v>
      </c>
    </row>
    <row r="197" spans="2:18" x14ac:dyDescent="0.3">
      <c r="B197" s="6">
        <v>46205</v>
      </c>
      <c r="C197" s="14">
        <v>0.45833333333333331</v>
      </c>
      <c r="D197" t="s">
        <v>57</v>
      </c>
      <c r="E197" t="s">
        <v>18</v>
      </c>
      <c r="F197">
        <v>0</v>
      </c>
      <c r="G197">
        <v>1</v>
      </c>
      <c r="H197">
        <v>0</v>
      </c>
      <c r="I197" s="2">
        <v>0</v>
      </c>
      <c r="J197" s="14">
        <v>3.6458333333333334E-3</v>
      </c>
      <c r="K197" s="6">
        <f>INT(Regiones[[#This Row],[Fecha]])</f>
        <v>46205</v>
      </c>
      <c r="L197" s="10" t="str">
        <f>IFERROR(Regiones[[#This Row],[Contestadas]]/Regiones[[#This Row],[Ofrecidas]],"")</f>
        <v/>
      </c>
      <c r="M197" s="7">
        <f>IFERROR(Regiones[[#This Row],[Ofrecidas]]*Regiones[[#This Row],[% de nivel de servicio]],"")</f>
        <v>0</v>
      </c>
      <c r="N197" s="7"/>
      <c r="O197" s="12">
        <f>IFERROR(Regiones[[#This Row],[Aten &lt; 20 seg]]/Regiones[[#This Row],[Contestadas]],"")</f>
        <v>0</v>
      </c>
      <c r="P197" s="13">
        <f>IFERROR(Regiones[[#This Row],[AHT]]*86400,"error")</f>
        <v>315</v>
      </c>
      <c r="Q197" s="13" t="str">
        <f>+VLOOKUP(Regiones[[#This Row],[Cola]],Tabla6[#Data],2,0)</f>
        <v>BUPA</v>
      </c>
      <c r="R197" s="13" t="e">
        <f>+VLOOKUP(Regiones[[#This Row],[Cola]],Tabla68[],2,0)</f>
        <v>#N/A</v>
      </c>
    </row>
    <row r="198" spans="2:18" x14ac:dyDescent="0.3">
      <c r="B198" s="6">
        <v>46205</v>
      </c>
      <c r="C198" s="14">
        <v>0.45833333333333331</v>
      </c>
      <c r="D198" t="s">
        <v>50</v>
      </c>
      <c r="E198" t="s">
        <v>18</v>
      </c>
      <c r="F198">
        <v>1</v>
      </c>
      <c r="G198">
        <v>2</v>
      </c>
      <c r="H198">
        <v>0</v>
      </c>
      <c r="I198" s="2">
        <v>0</v>
      </c>
      <c r="J198" s="14">
        <v>8.3564814814814821E-3</v>
      </c>
      <c r="K198" s="6">
        <f>INT(Regiones[[#This Row],[Fecha]])</f>
        <v>46205</v>
      </c>
      <c r="L198" s="10">
        <f>IFERROR(Regiones[[#This Row],[Contestadas]]/Regiones[[#This Row],[Ofrecidas]],"")</f>
        <v>2</v>
      </c>
      <c r="M198" s="7">
        <f>IFERROR(Regiones[[#This Row],[Ofrecidas]]*Regiones[[#This Row],[% de nivel de servicio]],"")</f>
        <v>0</v>
      </c>
      <c r="N198" s="7"/>
      <c r="O198" s="12">
        <f>IFERROR(Regiones[[#This Row],[Aten &lt; 20 seg]]/Regiones[[#This Row],[Contestadas]],"")</f>
        <v>0</v>
      </c>
      <c r="P198" s="13">
        <f>IFERROR(Regiones[[#This Row],[AHT]]*86400,"error")</f>
        <v>722</v>
      </c>
      <c r="Q198" s="13" t="str">
        <f>+VLOOKUP(Regiones[[#This Row],[Cola]],Tabla6[#Data],2,0)</f>
        <v>BUPA</v>
      </c>
      <c r="R198" s="13" t="e">
        <f>+VLOOKUP(Regiones[[#This Row],[Cola]],Tabla68[],2,0)</f>
        <v>#N/A</v>
      </c>
    </row>
    <row r="199" spans="2:18" x14ac:dyDescent="0.3">
      <c r="B199" s="6">
        <v>46205</v>
      </c>
      <c r="C199" s="14">
        <v>0.47916666666666669</v>
      </c>
      <c r="D199" t="s">
        <v>52</v>
      </c>
      <c r="E199" t="s">
        <v>18</v>
      </c>
      <c r="F199">
        <v>3</v>
      </c>
      <c r="G199">
        <v>3</v>
      </c>
      <c r="H199">
        <v>0</v>
      </c>
      <c r="I199" s="2">
        <v>1</v>
      </c>
      <c r="J199" s="14">
        <v>4.7685185185185183E-3</v>
      </c>
      <c r="K199" s="6">
        <f>INT(Regiones[[#This Row],[Fecha]])</f>
        <v>46205</v>
      </c>
      <c r="L199" s="10">
        <f>IFERROR(Regiones[[#This Row],[Contestadas]]/Regiones[[#This Row],[Ofrecidas]],"")</f>
        <v>1</v>
      </c>
      <c r="M199" s="7">
        <f>IFERROR(Regiones[[#This Row],[Ofrecidas]]*Regiones[[#This Row],[% de nivel de servicio]],"")</f>
        <v>3</v>
      </c>
      <c r="N199" s="7"/>
      <c r="O199" s="12">
        <f>IFERROR(Regiones[[#This Row],[Aten &lt; 20 seg]]/Regiones[[#This Row],[Contestadas]],"")</f>
        <v>1</v>
      </c>
      <c r="P199" s="13">
        <f>IFERROR(Regiones[[#This Row],[AHT]]*86400,"error")</f>
        <v>412</v>
      </c>
      <c r="Q199" s="13" t="str">
        <f>+VLOOKUP(Regiones[[#This Row],[Cola]],Tabla6[#Data],2,0)</f>
        <v>BUPA</v>
      </c>
      <c r="R199" s="13" t="e">
        <f>+VLOOKUP(Regiones[[#This Row],[Cola]],Tabla68[],2,0)</f>
        <v>#N/A</v>
      </c>
    </row>
    <row r="200" spans="2:18" x14ac:dyDescent="0.3">
      <c r="B200" s="6">
        <v>46205</v>
      </c>
      <c r="C200" s="14">
        <v>0.47916666666666669</v>
      </c>
      <c r="D200" t="s">
        <v>50</v>
      </c>
      <c r="E200" t="s">
        <v>18</v>
      </c>
      <c r="F200">
        <v>4</v>
      </c>
      <c r="G200">
        <v>3</v>
      </c>
      <c r="H200">
        <v>1</v>
      </c>
      <c r="I200" s="2">
        <v>0.75</v>
      </c>
      <c r="J200" s="14">
        <v>3.7962962962962963E-3</v>
      </c>
      <c r="K200" s="6">
        <f>INT(Regiones[[#This Row],[Fecha]])</f>
        <v>46205</v>
      </c>
      <c r="L200" s="10">
        <f>IFERROR(Regiones[[#This Row],[Contestadas]]/Regiones[[#This Row],[Ofrecidas]],"")</f>
        <v>0.75</v>
      </c>
      <c r="M200" s="7">
        <f>IFERROR(Regiones[[#This Row],[Ofrecidas]]*Regiones[[#This Row],[% de nivel de servicio]],"")</f>
        <v>3</v>
      </c>
      <c r="N200" s="7"/>
      <c r="O200" s="12">
        <f>IFERROR(Regiones[[#This Row],[Aten &lt; 20 seg]]/Regiones[[#This Row],[Contestadas]],"")</f>
        <v>1</v>
      </c>
      <c r="P200" s="13">
        <f>IFERROR(Regiones[[#This Row],[AHT]]*86400,"error")</f>
        <v>328</v>
      </c>
      <c r="Q200" s="13" t="str">
        <f>+VLOOKUP(Regiones[[#This Row],[Cola]],Tabla6[#Data],2,0)</f>
        <v>BUPA</v>
      </c>
      <c r="R200" s="13" t="e">
        <f>+VLOOKUP(Regiones[[#This Row],[Cola]],Tabla68[],2,0)</f>
        <v>#N/A</v>
      </c>
    </row>
    <row r="201" spans="2:18" x14ac:dyDescent="0.3">
      <c r="B201" s="6">
        <v>46205</v>
      </c>
      <c r="C201" s="14">
        <v>0.47916666666666669</v>
      </c>
      <c r="D201" t="s">
        <v>53</v>
      </c>
      <c r="E201" t="s">
        <v>18</v>
      </c>
      <c r="F201">
        <v>3</v>
      </c>
      <c r="G201">
        <v>3</v>
      </c>
      <c r="H201">
        <v>0</v>
      </c>
      <c r="I201" s="2">
        <v>1</v>
      </c>
      <c r="J201" s="14">
        <v>5.5902777777777773E-3</v>
      </c>
      <c r="K201" s="6">
        <f>INT(Regiones[[#This Row],[Fecha]])</f>
        <v>46205</v>
      </c>
      <c r="L201" s="10">
        <f>IFERROR(Regiones[[#This Row],[Contestadas]]/Regiones[[#This Row],[Ofrecidas]],"")</f>
        <v>1</v>
      </c>
      <c r="M201" s="7">
        <f>IFERROR(Regiones[[#This Row],[Ofrecidas]]*Regiones[[#This Row],[% de nivel de servicio]],"")</f>
        <v>3</v>
      </c>
      <c r="N201" s="7"/>
      <c r="O201" s="12">
        <f>IFERROR(Regiones[[#This Row],[Aten &lt; 20 seg]]/Regiones[[#This Row],[Contestadas]],"")</f>
        <v>1</v>
      </c>
      <c r="P201" s="13">
        <f>IFERROR(Regiones[[#This Row],[AHT]]*86400,"error")</f>
        <v>482.99999999999994</v>
      </c>
      <c r="Q201" s="13" t="str">
        <f>+VLOOKUP(Regiones[[#This Row],[Cola]],Tabla6[#Data],2,0)</f>
        <v>BUPA</v>
      </c>
      <c r="R201" s="13" t="e">
        <f>+VLOOKUP(Regiones[[#This Row],[Cola]],Tabla68[],2,0)</f>
        <v>#N/A</v>
      </c>
    </row>
    <row r="202" spans="2:18" x14ac:dyDescent="0.3">
      <c r="B202" s="6">
        <v>46205</v>
      </c>
      <c r="C202" s="14">
        <v>0.47916666666666669</v>
      </c>
      <c r="D202" t="s">
        <v>47</v>
      </c>
      <c r="E202" t="s">
        <v>18</v>
      </c>
      <c r="F202">
        <v>12</v>
      </c>
      <c r="G202">
        <v>12</v>
      </c>
      <c r="H202">
        <v>0</v>
      </c>
      <c r="I202" s="2">
        <v>0.83</v>
      </c>
      <c r="J202" s="14">
        <v>5.3935185185185188E-3</v>
      </c>
      <c r="K202" s="6">
        <f>INT(Regiones[[#This Row],[Fecha]])</f>
        <v>46205</v>
      </c>
      <c r="L202" s="10">
        <f>IFERROR(Regiones[[#This Row],[Contestadas]]/Regiones[[#This Row],[Ofrecidas]],"")</f>
        <v>1</v>
      </c>
      <c r="M202" s="7">
        <f>IFERROR(Regiones[[#This Row],[Ofrecidas]]*Regiones[[#This Row],[% de nivel de servicio]],"")</f>
        <v>9.9599999999999991</v>
      </c>
      <c r="N202" s="7"/>
      <c r="O202" s="12">
        <f>IFERROR(Regiones[[#This Row],[Aten &lt; 20 seg]]/Regiones[[#This Row],[Contestadas]],"")</f>
        <v>0.83</v>
      </c>
      <c r="P202" s="13">
        <f>IFERROR(Regiones[[#This Row],[AHT]]*86400,"error")</f>
        <v>466</v>
      </c>
      <c r="Q202" s="13" t="str">
        <f>+VLOOKUP(Regiones[[#This Row],[Cola]],Tabla6[#Data],2,0)</f>
        <v>BUPA</v>
      </c>
      <c r="R202" s="13" t="e">
        <f>+VLOOKUP(Regiones[[#This Row],[Cola]],Tabla68[],2,0)</f>
        <v>#N/A</v>
      </c>
    </row>
    <row r="203" spans="2:18" x14ac:dyDescent="0.3">
      <c r="B203" s="6">
        <v>46205</v>
      </c>
      <c r="C203" s="14">
        <v>0.47916666666666669</v>
      </c>
      <c r="D203" t="s">
        <v>46</v>
      </c>
      <c r="E203" t="s">
        <v>18</v>
      </c>
      <c r="F203">
        <v>9</v>
      </c>
      <c r="G203">
        <v>9</v>
      </c>
      <c r="H203">
        <v>0</v>
      </c>
      <c r="I203" s="2">
        <v>0.78</v>
      </c>
      <c r="J203" s="14">
        <v>9.4212962962962957E-3</v>
      </c>
      <c r="K203" s="6">
        <f>INT(Regiones[[#This Row],[Fecha]])</f>
        <v>46205</v>
      </c>
      <c r="L203" s="10">
        <f>IFERROR(Regiones[[#This Row],[Contestadas]]/Regiones[[#This Row],[Ofrecidas]],"")</f>
        <v>1</v>
      </c>
      <c r="M203" s="7">
        <f>IFERROR(Regiones[[#This Row],[Ofrecidas]]*Regiones[[#This Row],[% de nivel de servicio]],"")</f>
        <v>7.0200000000000005</v>
      </c>
      <c r="N203" s="7"/>
      <c r="O203" s="12">
        <f>IFERROR(Regiones[[#This Row],[Aten &lt; 20 seg]]/Regiones[[#This Row],[Contestadas]],"")</f>
        <v>0.78</v>
      </c>
      <c r="P203" s="13">
        <f>IFERROR(Regiones[[#This Row],[AHT]]*86400,"error")</f>
        <v>814</v>
      </c>
      <c r="Q203" s="13" t="str">
        <f>+VLOOKUP(Regiones[[#This Row],[Cola]],Tabla6[#Data],2,0)</f>
        <v>BUPA</v>
      </c>
      <c r="R203" s="13" t="e">
        <f>+VLOOKUP(Regiones[[#This Row],[Cola]],Tabla68[],2,0)</f>
        <v>#N/A</v>
      </c>
    </row>
    <row r="204" spans="2:18" x14ac:dyDescent="0.3">
      <c r="B204" s="6">
        <v>46205</v>
      </c>
      <c r="C204" s="14">
        <v>0.47916666666666669</v>
      </c>
      <c r="D204" t="s">
        <v>55</v>
      </c>
      <c r="E204" t="s">
        <v>18</v>
      </c>
      <c r="F204">
        <v>1</v>
      </c>
      <c r="G204">
        <v>1</v>
      </c>
      <c r="H204">
        <v>0</v>
      </c>
      <c r="I204" s="2">
        <v>1</v>
      </c>
      <c r="J204" s="14" t="s">
        <v>19</v>
      </c>
      <c r="K204" s="6">
        <f>INT(Regiones[[#This Row],[Fecha]])</f>
        <v>46205</v>
      </c>
      <c r="L204" s="10">
        <f>IFERROR(Regiones[[#This Row],[Contestadas]]/Regiones[[#This Row],[Ofrecidas]],"")</f>
        <v>1</v>
      </c>
      <c r="M204" s="7">
        <f>IFERROR(Regiones[[#This Row],[Ofrecidas]]*Regiones[[#This Row],[% de nivel de servicio]],"")</f>
        <v>1</v>
      </c>
      <c r="N204" s="7"/>
      <c r="O204" s="12">
        <f>IFERROR(Regiones[[#This Row],[Aten &lt; 20 seg]]/Regiones[[#This Row],[Contestadas]],"")</f>
        <v>1</v>
      </c>
      <c r="P204" s="13" t="str">
        <f>IFERROR(Regiones[[#This Row],[AHT]]*86400,"error")</f>
        <v>error</v>
      </c>
      <c r="Q204" s="13" t="str">
        <f>+VLOOKUP(Regiones[[#This Row],[Cola]],Tabla6[#Data],2,0)</f>
        <v>BUPA</v>
      </c>
      <c r="R204" s="13" t="e">
        <f>+VLOOKUP(Regiones[[#This Row],[Cola]],Tabla68[],2,0)</f>
        <v>#N/A</v>
      </c>
    </row>
    <row r="205" spans="2:18" x14ac:dyDescent="0.3">
      <c r="B205" s="6">
        <v>46205</v>
      </c>
      <c r="C205" s="14">
        <v>0.47916666666666669</v>
      </c>
      <c r="D205" t="s">
        <v>49</v>
      </c>
      <c r="E205" t="s">
        <v>18</v>
      </c>
      <c r="F205">
        <v>1</v>
      </c>
      <c r="G205">
        <v>1</v>
      </c>
      <c r="H205">
        <v>0</v>
      </c>
      <c r="I205" s="2">
        <v>1</v>
      </c>
      <c r="J205" s="14">
        <v>1.5509259259259259E-3</v>
      </c>
      <c r="K205" s="6">
        <f>INT(Regiones[[#This Row],[Fecha]])</f>
        <v>46205</v>
      </c>
      <c r="L205" s="10">
        <f>IFERROR(Regiones[[#This Row],[Contestadas]]/Regiones[[#This Row],[Ofrecidas]],"")</f>
        <v>1</v>
      </c>
      <c r="M205" s="7">
        <f>IFERROR(Regiones[[#This Row],[Ofrecidas]]*Regiones[[#This Row],[% de nivel de servicio]],"")</f>
        <v>1</v>
      </c>
      <c r="N205" s="7"/>
      <c r="O205" s="12">
        <f>IFERROR(Regiones[[#This Row],[Aten &lt; 20 seg]]/Regiones[[#This Row],[Contestadas]],"")</f>
        <v>1</v>
      </c>
      <c r="P205" s="13">
        <f>IFERROR(Regiones[[#This Row],[AHT]]*86400,"error")</f>
        <v>134</v>
      </c>
      <c r="Q205" s="13" t="str">
        <f>+VLOOKUP(Regiones[[#This Row],[Cola]],Tabla6[#Data],2,0)</f>
        <v>BUPA</v>
      </c>
      <c r="R205" s="13" t="e">
        <f>+VLOOKUP(Regiones[[#This Row],[Cola]],Tabla68[],2,0)</f>
        <v>#N/A</v>
      </c>
    </row>
    <row r="206" spans="2:18" x14ac:dyDescent="0.3">
      <c r="B206" s="6">
        <v>46205</v>
      </c>
      <c r="C206" s="14">
        <v>0.47916666666666669</v>
      </c>
      <c r="D206" t="s">
        <v>54</v>
      </c>
      <c r="E206" t="s">
        <v>18</v>
      </c>
      <c r="F206">
        <v>1</v>
      </c>
      <c r="G206">
        <v>1</v>
      </c>
      <c r="H206">
        <v>0</v>
      </c>
      <c r="I206" s="2">
        <v>1</v>
      </c>
      <c r="J206" s="14">
        <v>8.7962962962962962E-4</v>
      </c>
      <c r="K206" s="6">
        <f>INT(Regiones[[#This Row],[Fecha]])</f>
        <v>46205</v>
      </c>
      <c r="L206" s="10">
        <f>IFERROR(Regiones[[#This Row],[Contestadas]]/Regiones[[#This Row],[Ofrecidas]],"")</f>
        <v>1</v>
      </c>
      <c r="M206" s="7">
        <f>IFERROR(Regiones[[#This Row],[Ofrecidas]]*Regiones[[#This Row],[% de nivel de servicio]],"")</f>
        <v>1</v>
      </c>
      <c r="N206" s="7"/>
      <c r="O206" s="12">
        <f>IFERROR(Regiones[[#This Row],[Aten &lt; 20 seg]]/Regiones[[#This Row],[Contestadas]],"")</f>
        <v>1</v>
      </c>
      <c r="P206" s="13">
        <f>IFERROR(Regiones[[#This Row],[AHT]]*86400,"error")</f>
        <v>76</v>
      </c>
      <c r="Q206" s="13" t="str">
        <f>+VLOOKUP(Regiones[[#This Row],[Cola]],Tabla6[#Data],2,0)</f>
        <v>BUPA</v>
      </c>
      <c r="R206" s="13" t="e">
        <f>+VLOOKUP(Regiones[[#This Row],[Cola]],Tabla68[],2,0)</f>
        <v>#N/A</v>
      </c>
    </row>
    <row r="207" spans="2:18" x14ac:dyDescent="0.3">
      <c r="B207" s="6">
        <v>46205</v>
      </c>
      <c r="C207" s="14">
        <v>0.47916666666666669</v>
      </c>
      <c r="D207" t="s">
        <v>48</v>
      </c>
      <c r="E207" t="s">
        <v>18</v>
      </c>
      <c r="F207">
        <v>8</v>
      </c>
      <c r="G207">
        <v>8</v>
      </c>
      <c r="H207">
        <v>0</v>
      </c>
      <c r="I207" s="2">
        <v>0.75</v>
      </c>
      <c r="J207" s="14">
        <v>4.0046296296296297E-3</v>
      </c>
      <c r="K207" s="6">
        <f>INT(Regiones[[#This Row],[Fecha]])</f>
        <v>46205</v>
      </c>
      <c r="L207" s="10">
        <f>IFERROR(Regiones[[#This Row],[Contestadas]]/Regiones[[#This Row],[Ofrecidas]],"")</f>
        <v>1</v>
      </c>
      <c r="M207" s="7">
        <f>IFERROR(Regiones[[#This Row],[Ofrecidas]]*Regiones[[#This Row],[% de nivel de servicio]],"")</f>
        <v>6</v>
      </c>
      <c r="N207" s="7"/>
      <c r="O207" s="12">
        <f>IFERROR(Regiones[[#This Row],[Aten &lt; 20 seg]]/Regiones[[#This Row],[Contestadas]],"")</f>
        <v>0.75</v>
      </c>
      <c r="P207" s="13">
        <f>IFERROR(Regiones[[#This Row],[AHT]]*86400,"error")</f>
        <v>346</v>
      </c>
      <c r="Q207" s="13" t="str">
        <f>+VLOOKUP(Regiones[[#This Row],[Cola]],Tabla6[#Data],2,0)</f>
        <v>BUPA</v>
      </c>
      <c r="R207" s="13" t="e">
        <f>+VLOOKUP(Regiones[[#This Row],[Cola]],Tabla68[],2,0)</f>
        <v>#N/A</v>
      </c>
    </row>
    <row r="208" spans="2:18" x14ac:dyDescent="0.3">
      <c r="B208" s="6">
        <v>46205</v>
      </c>
      <c r="C208" s="14">
        <v>0.5</v>
      </c>
      <c r="D208" t="s">
        <v>49</v>
      </c>
      <c r="E208" t="s">
        <v>18</v>
      </c>
      <c r="F208">
        <v>1</v>
      </c>
      <c r="G208">
        <v>1</v>
      </c>
      <c r="H208">
        <v>0</v>
      </c>
      <c r="I208" s="2">
        <v>1</v>
      </c>
      <c r="J208" s="14">
        <v>1.2731481481481483E-3</v>
      </c>
      <c r="K208" s="6">
        <f>INT(Regiones[[#This Row],[Fecha]])</f>
        <v>46205</v>
      </c>
      <c r="L208" s="10">
        <f>IFERROR(Regiones[[#This Row],[Contestadas]]/Regiones[[#This Row],[Ofrecidas]],"")</f>
        <v>1</v>
      </c>
      <c r="M208" s="7">
        <f>IFERROR(Regiones[[#This Row],[Ofrecidas]]*Regiones[[#This Row],[% de nivel de servicio]],"")</f>
        <v>1</v>
      </c>
      <c r="N208" s="7"/>
      <c r="O208" s="12">
        <f>IFERROR(Regiones[[#This Row],[Aten &lt; 20 seg]]/Regiones[[#This Row],[Contestadas]],"")</f>
        <v>1</v>
      </c>
      <c r="P208" s="13">
        <f>IFERROR(Regiones[[#This Row],[AHT]]*86400,"error")</f>
        <v>110.00000000000001</v>
      </c>
      <c r="Q208" s="13" t="str">
        <f>+VLOOKUP(Regiones[[#This Row],[Cola]],Tabla6[#Data],2,0)</f>
        <v>BUPA</v>
      </c>
      <c r="R208" s="13" t="e">
        <f>+VLOOKUP(Regiones[[#This Row],[Cola]],Tabla68[],2,0)</f>
        <v>#N/A</v>
      </c>
    </row>
    <row r="209" spans="2:18" x14ac:dyDescent="0.3">
      <c r="B209" s="6">
        <v>46205</v>
      </c>
      <c r="C209" s="14">
        <v>0.5</v>
      </c>
      <c r="D209" t="s">
        <v>48</v>
      </c>
      <c r="E209" t="s">
        <v>18</v>
      </c>
      <c r="F209">
        <v>6</v>
      </c>
      <c r="G209">
        <v>6</v>
      </c>
      <c r="H209">
        <v>0</v>
      </c>
      <c r="I209" s="2">
        <v>1</v>
      </c>
      <c r="J209" s="14">
        <v>4.3518518518518515E-3</v>
      </c>
      <c r="K209" s="6">
        <f>INT(Regiones[[#This Row],[Fecha]])</f>
        <v>46205</v>
      </c>
      <c r="L209" s="10">
        <f>IFERROR(Regiones[[#This Row],[Contestadas]]/Regiones[[#This Row],[Ofrecidas]],"")</f>
        <v>1</v>
      </c>
      <c r="M209" s="7">
        <f>IFERROR(Regiones[[#This Row],[Ofrecidas]]*Regiones[[#This Row],[% de nivel de servicio]],"")</f>
        <v>6</v>
      </c>
      <c r="N209" s="7"/>
      <c r="O209" s="12">
        <f>IFERROR(Regiones[[#This Row],[Aten &lt; 20 seg]]/Regiones[[#This Row],[Contestadas]],"")</f>
        <v>1</v>
      </c>
      <c r="P209" s="13">
        <f>IFERROR(Regiones[[#This Row],[AHT]]*86400,"error")</f>
        <v>376</v>
      </c>
      <c r="Q209" s="13" t="str">
        <f>+VLOOKUP(Regiones[[#This Row],[Cola]],Tabla6[#Data],2,0)</f>
        <v>BUPA</v>
      </c>
      <c r="R209" s="13" t="e">
        <f>+VLOOKUP(Regiones[[#This Row],[Cola]],Tabla68[],2,0)</f>
        <v>#N/A</v>
      </c>
    </row>
    <row r="210" spans="2:18" x14ac:dyDescent="0.3">
      <c r="B210" s="6">
        <v>46205</v>
      </c>
      <c r="C210" s="14">
        <v>0.5</v>
      </c>
      <c r="D210" t="s">
        <v>50</v>
      </c>
      <c r="E210" t="s">
        <v>18</v>
      </c>
      <c r="F210">
        <v>3</v>
      </c>
      <c r="G210">
        <v>3</v>
      </c>
      <c r="H210">
        <v>0</v>
      </c>
      <c r="I210" s="2">
        <v>1</v>
      </c>
      <c r="J210" s="14" t="s">
        <v>19</v>
      </c>
      <c r="K210" s="6">
        <f>INT(Regiones[[#This Row],[Fecha]])</f>
        <v>46205</v>
      </c>
      <c r="L210" s="10">
        <f>IFERROR(Regiones[[#This Row],[Contestadas]]/Regiones[[#This Row],[Ofrecidas]],"")</f>
        <v>1</v>
      </c>
      <c r="M210" s="7">
        <f>IFERROR(Regiones[[#This Row],[Ofrecidas]]*Regiones[[#This Row],[% de nivel de servicio]],"")</f>
        <v>3</v>
      </c>
      <c r="N210" s="7"/>
      <c r="O210" s="12">
        <f>IFERROR(Regiones[[#This Row],[Aten &lt; 20 seg]]/Regiones[[#This Row],[Contestadas]],"")</f>
        <v>1</v>
      </c>
      <c r="P210" s="13" t="str">
        <f>IFERROR(Regiones[[#This Row],[AHT]]*86400,"error")</f>
        <v>error</v>
      </c>
      <c r="Q210" s="13" t="str">
        <f>+VLOOKUP(Regiones[[#This Row],[Cola]],Tabla6[#Data],2,0)</f>
        <v>BUPA</v>
      </c>
      <c r="R210" s="13" t="e">
        <f>+VLOOKUP(Regiones[[#This Row],[Cola]],Tabla68[],2,0)</f>
        <v>#N/A</v>
      </c>
    </row>
    <row r="211" spans="2:18" x14ac:dyDescent="0.3">
      <c r="B211" s="6">
        <v>46205</v>
      </c>
      <c r="C211" s="14">
        <v>0.5</v>
      </c>
      <c r="D211" t="s">
        <v>52</v>
      </c>
      <c r="E211" t="s">
        <v>18</v>
      </c>
      <c r="F211">
        <v>1</v>
      </c>
      <c r="G211">
        <v>1</v>
      </c>
      <c r="H211">
        <v>0</v>
      </c>
      <c r="I211" s="2">
        <v>0</v>
      </c>
      <c r="J211" s="14">
        <v>2.5810185185185185E-3</v>
      </c>
      <c r="K211" s="6">
        <f>INT(Regiones[[#This Row],[Fecha]])</f>
        <v>46205</v>
      </c>
      <c r="L211" s="10">
        <f>IFERROR(Regiones[[#This Row],[Contestadas]]/Regiones[[#This Row],[Ofrecidas]],"")</f>
        <v>1</v>
      </c>
      <c r="M211" s="7">
        <f>IFERROR(Regiones[[#This Row],[Ofrecidas]]*Regiones[[#This Row],[% de nivel de servicio]],"")</f>
        <v>0</v>
      </c>
      <c r="N211" s="7"/>
      <c r="O211" s="12">
        <f>IFERROR(Regiones[[#This Row],[Aten &lt; 20 seg]]/Regiones[[#This Row],[Contestadas]],"")</f>
        <v>0</v>
      </c>
      <c r="P211" s="13">
        <f>IFERROR(Regiones[[#This Row],[AHT]]*86400,"error")</f>
        <v>223</v>
      </c>
      <c r="Q211" s="13" t="str">
        <f>+VLOOKUP(Regiones[[#This Row],[Cola]],Tabla6[#Data],2,0)</f>
        <v>BUPA</v>
      </c>
      <c r="R211" s="13" t="e">
        <f>+VLOOKUP(Regiones[[#This Row],[Cola]],Tabla68[],2,0)</f>
        <v>#N/A</v>
      </c>
    </row>
    <row r="212" spans="2:18" x14ac:dyDescent="0.3">
      <c r="B212" s="6">
        <v>46205</v>
      </c>
      <c r="C212" s="14">
        <v>0.5</v>
      </c>
      <c r="D212" t="s">
        <v>46</v>
      </c>
      <c r="E212" t="s">
        <v>18</v>
      </c>
      <c r="F212">
        <v>5</v>
      </c>
      <c r="G212">
        <v>5</v>
      </c>
      <c r="H212">
        <v>0</v>
      </c>
      <c r="I212" s="2">
        <v>1</v>
      </c>
      <c r="J212" s="14">
        <v>8.1018518518518514E-3</v>
      </c>
      <c r="K212" s="6">
        <f>INT(Regiones[[#This Row],[Fecha]])</f>
        <v>46205</v>
      </c>
      <c r="L212" s="10">
        <f>IFERROR(Regiones[[#This Row],[Contestadas]]/Regiones[[#This Row],[Ofrecidas]],"")</f>
        <v>1</v>
      </c>
      <c r="M212" s="7">
        <f>IFERROR(Regiones[[#This Row],[Ofrecidas]]*Regiones[[#This Row],[% de nivel de servicio]],"")</f>
        <v>5</v>
      </c>
      <c r="N212" s="7"/>
      <c r="O212" s="12">
        <f>IFERROR(Regiones[[#This Row],[Aten &lt; 20 seg]]/Regiones[[#This Row],[Contestadas]],"")</f>
        <v>1</v>
      </c>
      <c r="P212" s="13">
        <f>IFERROR(Regiones[[#This Row],[AHT]]*86400,"error")</f>
        <v>700</v>
      </c>
      <c r="Q212" s="13" t="str">
        <f>+VLOOKUP(Regiones[[#This Row],[Cola]],Tabla6[#Data],2,0)</f>
        <v>BUPA</v>
      </c>
      <c r="R212" s="13" t="e">
        <f>+VLOOKUP(Regiones[[#This Row],[Cola]],Tabla68[],2,0)</f>
        <v>#N/A</v>
      </c>
    </row>
    <row r="213" spans="2:18" x14ac:dyDescent="0.3">
      <c r="B213" s="6">
        <v>46205</v>
      </c>
      <c r="C213" s="14">
        <v>0.5</v>
      </c>
      <c r="D213" t="s">
        <v>53</v>
      </c>
      <c r="E213" t="s">
        <v>18</v>
      </c>
      <c r="F213">
        <v>1</v>
      </c>
      <c r="G213">
        <v>1</v>
      </c>
      <c r="H213">
        <v>0</v>
      </c>
      <c r="I213" s="2">
        <v>1</v>
      </c>
      <c r="J213" s="14">
        <v>2.476851851851852E-3</v>
      </c>
      <c r="K213" s="6">
        <f>INT(Regiones[[#This Row],[Fecha]])</f>
        <v>46205</v>
      </c>
      <c r="L213" s="10">
        <f>IFERROR(Regiones[[#This Row],[Contestadas]]/Regiones[[#This Row],[Ofrecidas]],"")</f>
        <v>1</v>
      </c>
      <c r="M213" s="7">
        <f>IFERROR(Regiones[[#This Row],[Ofrecidas]]*Regiones[[#This Row],[% de nivel de servicio]],"")</f>
        <v>1</v>
      </c>
      <c r="N213" s="7"/>
      <c r="O213" s="12">
        <f>IFERROR(Regiones[[#This Row],[Aten &lt; 20 seg]]/Regiones[[#This Row],[Contestadas]],"")</f>
        <v>1</v>
      </c>
      <c r="P213" s="13">
        <f>IFERROR(Regiones[[#This Row],[AHT]]*86400,"error")</f>
        <v>214.00000000000003</v>
      </c>
      <c r="Q213" s="13" t="str">
        <f>+VLOOKUP(Regiones[[#This Row],[Cola]],Tabla6[#Data],2,0)</f>
        <v>BUPA</v>
      </c>
      <c r="R213" s="13" t="e">
        <f>+VLOOKUP(Regiones[[#This Row],[Cola]],Tabla68[],2,0)</f>
        <v>#N/A</v>
      </c>
    </row>
    <row r="214" spans="2:18" x14ac:dyDescent="0.3">
      <c r="B214" s="6">
        <v>46205</v>
      </c>
      <c r="C214" s="14">
        <v>0.5</v>
      </c>
      <c r="D214" t="s">
        <v>47</v>
      </c>
      <c r="E214" t="s">
        <v>18</v>
      </c>
      <c r="F214">
        <v>10</v>
      </c>
      <c r="G214">
        <v>10</v>
      </c>
      <c r="H214">
        <v>0</v>
      </c>
      <c r="I214" s="2">
        <v>0.7</v>
      </c>
      <c r="J214" s="14">
        <v>6.2962962962962964E-3</v>
      </c>
      <c r="K214" s="6">
        <f>INT(Regiones[[#This Row],[Fecha]])</f>
        <v>46205</v>
      </c>
      <c r="L214" s="10">
        <f>IFERROR(Regiones[[#This Row],[Contestadas]]/Regiones[[#This Row],[Ofrecidas]],"")</f>
        <v>1</v>
      </c>
      <c r="M214" s="7">
        <f>IFERROR(Regiones[[#This Row],[Ofrecidas]]*Regiones[[#This Row],[% de nivel de servicio]],"")</f>
        <v>7</v>
      </c>
      <c r="N214" s="7"/>
      <c r="O214" s="12">
        <f>IFERROR(Regiones[[#This Row],[Aten &lt; 20 seg]]/Regiones[[#This Row],[Contestadas]],"")</f>
        <v>0.7</v>
      </c>
      <c r="P214" s="13">
        <f>IFERROR(Regiones[[#This Row],[AHT]]*86400,"error")</f>
        <v>544</v>
      </c>
      <c r="Q214" s="13" t="str">
        <f>+VLOOKUP(Regiones[[#This Row],[Cola]],Tabla6[#Data],2,0)</f>
        <v>BUPA</v>
      </c>
      <c r="R214" s="13" t="e">
        <f>+VLOOKUP(Regiones[[#This Row],[Cola]],Tabla68[],2,0)</f>
        <v>#N/A</v>
      </c>
    </row>
    <row r="215" spans="2:18" x14ac:dyDescent="0.3">
      <c r="B215" s="6">
        <v>46205</v>
      </c>
      <c r="C215" s="14">
        <v>0.5</v>
      </c>
      <c r="D215" t="s">
        <v>55</v>
      </c>
      <c r="E215" t="s">
        <v>18</v>
      </c>
      <c r="F215">
        <v>0</v>
      </c>
      <c r="G215">
        <v>0</v>
      </c>
      <c r="H215">
        <v>0</v>
      </c>
      <c r="I215" s="2" t="s">
        <v>20</v>
      </c>
      <c r="J215" s="14">
        <v>2.0891203703703703E-2</v>
      </c>
      <c r="K215" s="6">
        <f>INT(Regiones[[#This Row],[Fecha]])</f>
        <v>46205</v>
      </c>
      <c r="L215" s="10" t="str">
        <f>IFERROR(Regiones[[#This Row],[Contestadas]]/Regiones[[#This Row],[Ofrecidas]],"")</f>
        <v/>
      </c>
      <c r="M215" s="7" t="str">
        <f>IFERROR(Regiones[[#This Row],[Ofrecidas]]*Regiones[[#This Row],[% de nivel de servicio]],"")</f>
        <v/>
      </c>
      <c r="N215" s="7"/>
      <c r="O215" s="12" t="str">
        <f>IFERROR(Regiones[[#This Row],[Aten &lt; 20 seg]]/Regiones[[#This Row],[Contestadas]],"")</f>
        <v/>
      </c>
      <c r="P215" s="13">
        <f>IFERROR(Regiones[[#This Row],[AHT]]*86400,"error")</f>
        <v>1805</v>
      </c>
      <c r="Q215" s="13" t="str">
        <f>+VLOOKUP(Regiones[[#This Row],[Cola]],Tabla6[#Data],2,0)</f>
        <v>BUPA</v>
      </c>
      <c r="R215" s="13" t="e">
        <f>+VLOOKUP(Regiones[[#This Row],[Cola]],Tabla68[],2,0)</f>
        <v>#N/A</v>
      </c>
    </row>
    <row r="216" spans="2:18" x14ac:dyDescent="0.3">
      <c r="B216" s="6">
        <v>46205</v>
      </c>
      <c r="C216" s="14">
        <v>0.52083333333333337</v>
      </c>
      <c r="D216" t="s">
        <v>53</v>
      </c>
      <c r="E216" t="s">
        <v>18</v>
      </c>
      <c r="F216">
        <v>4</v>
      </c>
      <c r="G216">
        <v>4</v>
      </c>
      <c r="H216">
        <v>0</v>
      </c>
      <c r="I216" s="2">
        <v>1</v>
      </c>
      <c r="J216" s="14">
        <v>1.5277777777777779E-3</v>
      </c>
      <c r="K216" s="6">
        <f>INT(Regiones[[#This Row],[Fecha]])</f>
        <v>46205</v>
      </c>
      <c r="L216" s="10">
        <f>IFERROR(Regiones[[#This Row],[Contestadas]]/Regiones[[#This Row],[Ofrecidas]],"")</f>
        <v>1</v>
      </c>
      <c r="M216" s="7">
        <f>IFERROR(Regiones[[#This Row],[Ofrecidas]]*Regiones[[#This Row],[% de nivel de servicio]],"")</f>
        <v>4</v>
      </c>
      <c r="N216" s="7"/>
      <c r="O216" s="12">
        <f>IFERROR(Regiones[[#This Row],[Aten &lt; 20 seg]]/Regiones[[#This Row],[Contestadas]],"")</f>
        <v>1</v>
      </c>
      <c r="P216" s="13">
        <f>IFERROR(Regiones[[#This Row],[AHT]]*86400,"error")</f>
        <v>132</v>
      </c>
      <c r="Q216" s="13" t="str">
        <f>+VLOOKUP(Regiones[[#This Row],[Cola]],Tabla6[#Data],2,0)</f>
        <v>BUPA</v>
      </c>
      <c r="R216" s="13" t="e">
        <f>+VLOOKUP(Regiones[[#This Row],[Cola]],Tabla68[],2,0)</f>
        <v>#N/A</v>
      </c>
    </row>
    <row r="217" spans="2:18" x14ac:dyDescent="0.3">
      <c r="B217" s="6">
        <v>46205</v>
      </c>
      <c r="C217" s="14">
        <v>0.52083333333333337</v>
      </c>
      <c r="D217" t="s">
        <v>47</v>
      </c>
      <c r="E217" t="s">
        <v>18</v>
      </c>
      <c r="F217">
        <v>7</v>
      </c>
      <c r="G217">
        <v>7</v>
      </c>
      <c r="H217">
        <v>0</v>
      </c>
      <c r="I217" s="2">
        <v>1</v>
      </c>
      <c r="J217" s="14">
        <v>4.7337962962962967E-3</v>
      </c>
      <c r="K217" s="6">
        <f>INT(Regiones[[#This Row],[Fecha]])</f>
        <v>46205</v>
      </c>
      <c r="L217" s="10">
        <f>IFERROR(Regiones[[#This Row],[Contestadas]]/Regiones[[#This Row],[Ofrecidas]],"")</f>
        <v>1</v>
      </c>
      <c r="M217" s="7">
        <f>IFERROR(Regiones[[#This Row],[Ofrecidas]]*Regiones[[#This Row],[% de nivel de servicio]],"")</f>
        <v>7</v>
      </c>
      <c r="N217" s="7"/>
      <c r="O217" s="12">
        <f>IFERROR(Regiones[[#This Row],[Aten &lt; 20 seg]]/Regiones[[#This Row],[Contestadas]],"")</f>
        <v>1</v>
      </c>
      <c r="P217" s="13">
        <f>IFERROR(Regiones[[#This Row],[AHT]]*86400,"error")</f>
        <v>409.00000000000006</v>
      </c>
      <c r="Q217" s="13" t="str">
        <f>+VLOOKUP(Regiones[[#This Row],[Cola]],Tabla6[#Data],2,0)</f>
        <v>BUPA</v>
      </c>
      <c r="R217" s="13" t="e">
        <f>+VLOOKUP(Regiones[[#This Row],[Cola]],Tabla68[],2,0)</f>
        <v>#N/A</v>
      </c>
    </row>
    <row r="218" spans="2:18" x14ac:dyDescent="0.3">
      <c r="B218" s="6">
        <v>46205</v>
      </c>
      <c r="C218" s="14">
        <v>0.52083333333333337</v>
      </c>
      <c r="D218" t="s">
        <v>46</v>
      </c>
      <c r="E218" t="s">
        <v>18</v>
      </c>
      <c r="F218">
        <v>7</v>
      </c>
      <c r="G218">
        <v>7</v>
      </c>
      <c r="H218">
        <v>0</v>
      </c>
      <c r="I218" s="2">
        <v>1</v>
      </c>
      <c r="J218" s="14">
        <v>5.1041666666666666E-3</v>
      </c>
      <c r="K218" s="6">
        <f>INT(Regiones[[#This Row],[Fecha]])</f>
        <v>46205</v>
      </c>
      <c r="L218" s="10">
        <f>IFERROR(Regiones[[#This Row],[Contestadas]]/Regiones[[#This Row],[Ofrecidas]],"")</f>
        <v>1</v>
      </c>
      <c r="M218" s="7">
        <f>IFERROR(Regiones[[#This Row],[Ofrecidas]]*Regiones[[#This Row],[% de nivel de servicio]],"")</f>
        <v>7</v>
      </c>
      <c r="N218" s="7"/>
      <c r="O218" s="12">
        <f>IFERROR(Regiones[[#This Row],[Aten &lt; 20 seg]]/Regiones[[#This Row],[Contestadas]],"")</f>
        <v>1</v>
      </c>
      <c r="P218" s="13">
        <f>IFERROR(Regiones[[#This Row],[AHT]]*86400,"error")</f>
        <v>441</v>
      </c>
      <c r="Q218" s="13" t="str">
        <f>+VLOOKUP(Regiones[[#This Row],[Cola]],Tabla6[#Data],2,0)</f>
        <v>BUPA</v>
      </c>
      <c r="R218" s="13" t="e">
        <f>+VLOOKUP(Regiones[[#This Row],[Cola]],Tabla68[],2,0)</f>
        <v>#N/A</v>
      </c>
    </row>
    <row r="219" spans="2:18" x14ac:dyDescent="0.3">
      <c r="B219" s="6">
        <v>46205</v>
      </c>
      <c r="C219" s="14">
        <v>0.52083333333333337</v>
      </c>
      <c r="D219" t="s">
        <v>56</v>
      </c>
      <c r="E219" t="s">
        <v>18</v>
      </c>
      <c r="F219">
        <v>1</v>
      </c>
      <c r="G219">
        <v>1</v>
      </c>
      <c r="H219">
        <v>0</v>
      </c>
      <c r="I219" s="2">
        <v>1</v>
      </c>
      <c r="J219" s="14">
        <v>5.4976851851851853E-3</v>
      </c>
      <c r="K219" s="6">
        <f>INT(Regiones[[#This Row],[Fecha]])</f>
        <v>46205</v>
      </c>
      <c r="L219" s="10">
        <f>IFERROR(Regiones[[#This Row],[Contestadas]]/Regiones[[#This Row],[Ofrecidas]],"")</f>
        <v>1</v>
      </c>
      <c r="M219" s="7">
        <f>IFERROR(Regiones[[#This Row],[Ofrecidas]]*Regiones[[#This Row],[% de nivel de servicio]],"")</f>
        <v>1</v>
      </c>
      <c r="N219" s="7"/>
      <c r="O219" s="12">
        <f>IFERROR(Regiones[[#This Row],[Aten &lt; 20 seg]]/Regiones[[#This Row],[Contestadas]],"")</f>
        <v>1</v>
      </c>
      <c r="P219" s="13">
        <f>IFERROR(Regiones[[#This Row],[AHT]]*86400,"error")</f>
        <v>475</v>
      </c>
      <c r="Q219" s="13" t="str">
        <f>+VLOOKUP(Regiones[[#This Row],[Cola]],Tabla6[#Data],2,0)</f>
        <v>BUPA</v>
      </c>
      <c r="R219" s="13" t="e">
        <f>+VLOOKUP(Regiones[[#This Row],[Cola]],Tabla68[],2,0)</f>
        <v>#N/A</v>
      </c>
    </row>
    <row r="220" spans="2:18" x14ac:dyDescent="0.3">
      <c r="B220" s="6">
        <v>46205</v>
      </c>
      <c r="C220" s="14">
        <v>0.52083333333333337</v>
      </c>
      <c r="D220" t="s">
        <v>54</v>
      </c>
      <c r="E220" t="s">
        <v>18</v>
      </c>
      <c r="F220">
        <v>1</v>
      </c>
      <c r="G220">
        <v>1</v>
      </c>
      <c r="H220">
        <v>0</v>
      </c>
      <c r="I220" s="2">
        <v>1</v>
      </c>
      <c r="J220" s="14">
        <v>2.2685185185185187E-3</v>
      </c>
      <c r="K220" s="6">
        <f>INT(Regiones[[#This Row],[Fecha]])</f>
        <v>46205</v>
      </c>
      <c r="L220" s="10">
        <f>IFERROR(Regiones[[#This Row],[Contestadas]]/Regiones[[#This Row],[Ofrecidas]],"")</f>
        <v>1</v>
      </c>
      <c r="M220" s="7">
        <f>IFERROR(Regiones[[#This Row],[Ofrecidas]]*Regiones[[#This Row],[% de nivel de servicio]],"")</f>
        <v>1</v>
      </c>
      <c r="N220" s="7"/>
      <c r="O220" s="12">
        <f>IFERROR(Regiones[[#This Row],[Aten &lt; 20 seg]]/Regiones[[#This Row],[Contestadas]],"")</f>
        <v>1</v>
      </c>
      <c r="P220" s="13">
        <f>IFERROR(Regiones[[#This Row],[AHT]]*86400,"error")</f>
        <v>196</v>
      </c>
      <c r="Q220" s="13" t="str">
        <f>+VLOOKUP(Regiones[[#This Row],[Cola]],Tabla6[#Data],2,0)</f>
        <v>BUPA</v>
      </c>
      <c r="R220" s="13" t="e">
        <f>+VLOOKUP(Regiones[[#This Row],[Cola]],Tabla68[],2,0)</f>
        <v>#N/A</v>
      </c>
    </row>
    <row r="221" spans="2:18" x14ac:dyDescent="0.3">
      <c r="B221" s="6">
        <v>46205</v>
      </c>
      <c r="C221" s="14">
        <v>0.52083333333333337</v>
      </c>
      <c r="D221" t="s">
        <v>48</v>
      </c>
      <c r="E221" t="s">
        <v>18</v>
      </c>
      <c r="F221">
        <v>4</v>
      </c>
      <c r="G221">
        <v>4</v>
      </c>
      <c r="H221">
        <v>0</v>
      </c>
      <c r="I221" s="2">
        <v>1</v>
      </c>
      <c r="J221" s="14">
        <v>3.1712962962962962E-3</v>
      </c>
      <c r="K221" s="6">
        <f>INT(Regiones[[#This Row],[Fecha]])</f>
        <v>46205</v>
      </c>
      <c r="L221" s="10">
        <f>IFERROR(Regiones[[#This Row],[Contestadas]]/Regiones[[#This Row],[Ofrecidas]],"")</f>
        <v>1</v>
      </c>
      <c r="M221" s="7">
        <f>IFERROR(Regiones[[#This Row],[Ofrecidas]]*Regiones[[#This Row],[% de nivel de servicio]],"")</f>
        <v>4</v>
      </c>
      <c r="N221" s="7"/>
      <c r="O221" s="12">
        <f>IFERROR(Regiones[[#This Row],[Aten &lt; 20 seg]]/Regiones[[#This Row],[Contestadas]],"")</f>
        <v>1</v>
      </c>
      <c r="P221" s="13">
        <f>IFERROR(Regiones[[#This Row],[AHT]]*86400,"error")</f>
        <v>274</v>
      </c>
      <c r="Q221" s="13" t="str">
        <f>+VLOOKUP(Regiones[[#This Row],[Cola]],Tabla6[#Data],2,0)</f>
        <v>BUPA</v>
      </c>
      <c r="R221" s="13" t="e">
        <f>+VLOOKUP(Regiones[[#This Row],[Cola]],Tabla68[],2,0)</f>
        <v>#N/A</v>
      </c>
    </row>
    <row r="222" spans="2:18" x14ac:dyDescent="0.3">
      <c r="B222" s="6">
        <v>46205</v>
      </c>
      <c r="C222" s="14">
        <v>0.52083333333333337</v>
      </c>
      <c r="D222" t="s">
        <v>50</v>
      </c>
      <c r="E222" t="s">
        <v>18</v>
      </c>
      <c r="F222">
        <v>1</v>
      </c>
      <c r="G222">
        <v>1</v>
      </c>
      <c r="H222">
        <v>0</v>
      </c>
      <c r="I222" s="2">
        <v>1</v>
      </c>
      <c r="J222" s="14">
        <v>4.409722222222222E-3</v>
      </c>
      <c r="K222" s="6">
        <f>INT(Regiones[[#This Row],[Fecha]])</f>
        <v>46205</v>
      </c>
      <c r="L222" s="10">
        <f>IFERROR(Regiones[[#This Row],[Contestadas]]/Regiones[[#This Row],[Ofrecidas]],"")</f>
        <v>1</v>
      </c>
      <c r="M222" s="7">
        <f>IFERROR(Regiones[[#This Row],[Ofrecidas]]*Regiones[[#This Row],[% de nivel de servicio]],"")</f>
        <v>1</v>
      </c>
      <c r="N222" s="7"/>
      <c r="O222" s="12">
        <f>IFERROR(Regiones[[#This Row],[Aten &lt; 20 seg]]/Regiones[[#This Row],[Contestadas]],"")</f>
        <v>1</v>
      </c>
      <c r="P222" s="13">
        <f>IFERROR(Regiones[[#This Row],[AHT]]*86400,"error")</f>
        <v>381</v>
      </c>
      <c r="Q222" s="13" t="str">
        <f>+VLOOKUP(Regiones[[#This Row],[Cola]],Tabla6[#Data],2,0)</f>
        <v>BUPA</v>
      </c>
      <c r="R222" s="13" t="e">
        <f>+VLOOKUP(Regiones[[#This Row],[Cola]],Tabla68[],2,0)</f>
        <v>#N/A</v>
      </c>
    </row>
    <row r="223" spans="2:18" x14ac:dyDescent="0.3">
      <c r="B223" s="6">
        <v>46205</v>
      </c>
      <c r="C223" s="14">
        <v>0.52083333333333337</v>
      </c>
      <c r="D223" t="s">
        <v>57</v>
      </c>
      <c r="E223" t="s">
        <v>18</v>
      </c>
      <c r="F223">
        <v>1</v>
      </c>
      <c r="G223">
        <v>1</v>
      </c>
      <c r="H223">
        <v>0</v>
      </c>
      <c r="I223" s="2">
        <v>1</v>
      </c>
      <c r="J223" s="14" t="s">
        <v>19</v>
      </c>
      <c r="K223" s="6">
        <f>INT(Regiones[[#This Row],[Fecha]])</f>
        <v>46205</v>
      </c>
      <c r="L223" s="10">
        <f>IFERROR(Regiones[[#This Row],[Contestadas]]/Regiones[[#This Row],[Ofrecidas]],"")</f>
        <v>1</v>
      </c>
      <c r="M223" s="7">
        <f>IFERROR(Regiones[[#This Row],[Ofrecidas]]*Regiones[[#This Row],[% de nivel de servicio]],"")</f>
        <v>1</v>
      </c>
      <c r="N223" s="7"/>
      <c r="O223" s="12">
        <f>IFERROR(Regiones[[#This Row],[Aten &lt; 20 seg]]/Regiones[[#This Row],[Contestadas]],"")</f>
        <v>1</v>
      </c>
      <c r="P223" s="13" t="str">
        <f>IFERROR(Regiones[[#This Row],[AHT]]*86400,"error")</f>
        <v>error</v>
      </c>
      <c r="Q223" s="13" t="str">
        <f>+VLOOKUP(Regiones[[#This Row],[Cola]],Tabla6[#Data],2,0)</f>
        <v>BUPA</v>
      </c>
      <c r="R223" s="13" t="e">
        <f>+VLOOKUP(Regiones[[#This Row],[Cola]],Tabla68[],2,0)</f>
        <v>#N/A</v>
      </c>
    </row>
    <row r="224" spans="2:18" x14ac:dyDescent="0.3">
      <c r="B224" s="6">
        <v>46205</v>
      </c>
      <c r="C224" s="14">
        <v>0.54166666666666663</v>
      </c>
      <c r="D224" t="s">
        <v>57</v>
      </c>
      <c r="E224" t="s">
        <v>18</v>
      </c>
      <c r="F224">
        <v>2</v>
      </c>
      <c r="G224">
        <v>1</v>
      </c>
      <c r="H224">
        <v>1</v>
      </c>
      <c r="I224" s="2">
        <v>0.5</v>
      </c>
      <c r="J224" s="14">
        <v>9.9305555555555553E-3</v>
      </c>
      <c r="K224" s="6">
        <f>INT(Regiones[[#This Row],[Fecha]])</f>
        <v>46205</v>
      </c>
      <c r="L224" s="10">
        <f>IFERROR(Regiones[[#This Row],[Contestadas]]/Regiones[[#This Row],[Ofrecidas]],"")</f>
        <v>0.5</v>
      </c>
      <c r="M224" s="7">
        <f>IFERROR(Regiones[[#This Row],[Ofrecidas]]*Regiones[[#This Row],[% de nivel de servicio]],"")</f>
        <v>1</v>
      </c>
      <c r="N224" s="7"/>
      <c r="O224" s="12">
        <f>IFERROR(Regiones[[#This Row],[Aten &lt; 20 seg]]/Regiones[[#This Row],[Contestadas]],"")</f>
        <v>1</v>
      </c>
      <c r="P224" s="13">
        <f>IFERROR(Regiones[[#This Row],[AHT]]*86400,"error")</f>
        <v>858</v>
      </c>
      <c r="Q224" s="13" t="str">
        <f>+VLOOKUP(Regiones[[#This Row],[Cola]],Tabla6[#Data],2,0)</f>
        <v>BUPA</v>
      </c>
      <c r="R224" s="13" t="e">
        <f>+VLOOKUP(Regiones[[#This Row],[Cola]],Tabla68[],2,0)</f>
        <v>#N/A</v>
      </c>
    </row>
    <row r="225" spans="2:18" x14ac:dyDescent="0.3">
      <c r="B225" s="6">
        <v>46205</v>
      </c>
      <c r="C225" s="14">
        <v>0.54166666666666663</v>
      </c>
      <c r="D225" t="s">
        <v>50</v>
      </c>
      <c r="E225" t="s">
        <v>18</v>
      </c>
      <c r="F225">
        <v>4</v>
      </c>
      <c r="G225">
        <v>2</v>
      </c>
      <c r="H225">
        <v>2</v>
      </c>
      <c r="I225" s="2">
        <v>0.25</v>
      </c>
      <c r="J225" s="14">
        <v>6.0185185185185185E-3</v>
      </c>
      <c r="K225" s="6">
        <f>INT(Regiones[[#This Row],[Fecha]])</f>
        <v>46205</v>
      </c>
      <c r="L225" s="10">
        <f>IFERROR(Regiones[[#This Row],[Contestadas]]/Regiones[[#This Row],[Ofrecidas]],"")</f>
        <v>0.5</v>
      </c>
      <c r="M225" s="7">
        <f>IFERROR(Regiones[[#This Row],[Ofrecidas]]*Regiones[[#This Row],[% de nivel de servicio]],"")</f>
        <v>1</v>
      </c>
      <c r="N225" s="7"/>
      <c r="O225" s="12">
        <f>IFERROR(Regiones[[#This Row],[Aten &lt; 20 seg]]/Regiones[[#This Row],[Contestadas]],"")</f>
        <v>0.5</v>
      </c>
      <c r="P225" s="13">
        <f>IFERROR(Regiones[[#This Row],[AHT]]*86400,"error")</f>
        <v>520</v>
      </c>
      <c r="Q225" s="13" t="str">
        <f>+VLOOKUP(Regiones[[#This Row],[Cola]],Tabla6[#Data],2,0)</f>
        <v>BUPA</v>
      </c>
      <c r="R225" s="13" t="e">
        <f>+VLOOKUP(Regiones[[#This Row],[Cola]],Tabla68[],2,0)</f>
        <v>#N/A</v>
      </c>
    </row>
    <row r="226" spans="2:18" x14ac:dyDescent="0.3">
      <c r="B226" s="6">
        <v>46205</v>
      </c>
      <c r="C226" s="14">
        <v>0.54166666666666663</v>
      </c>
      <c r="D226" t="s">
        <v>53</v>
      </c>
      <c r="E226" t="s">
        <v>18</v>
      </c>
      <c r="F226">
        <v>1</v>
      </c>
      <c r="G226">
        <v>1</v>
      </c>
      <c r="H226">
        <v>0</v>
      </c>
      <c r="I226" s="2">
        <v>0</v>
      </c>
      <c r="J226" s="14">
        <v>6.5509259259259262E-3</v>
      </c>
      <c r="K226" s="6">
        <f>INT(Regiones[[#This Row],[Fecha]])</f>
        <v>46205</v>
      </c>
      <c r="L226" s="10">
        <f>IFERROR(Regiones[[#This Row],[Contestadas]]/Regiones[[#This Row],[Ofrecidas]],"")</f>
        <v>1</v>
      </c>
      <c r="M226" s="7">
        <f>IFERROR(Regiones[[#This Row],[Ofrecidas]]*Regiones[[#This Row],[% de nivel de servicio]],"")</f>
        <v>0</v>
      </c>
      <c r="N226" s="7"/>
      <c r="O226" s="12">
        <f>IFERROR(Regiones[[#This Row],[Aten &lt; 20 seg]]/Regiones[[#This Row],[Contestadas]],"")</f>
        <v>0</v>
      </c>
      <c r="P226" s="13">
        <f>IFERROR(Regiones[[#This Row],[AHT]]*86400,"error")</f>
        <v>566</v>
      </c>
      <c r="Q226" s="13" t="str">
        <f>+VLOOKUP(Regiones[[#This Row],[Cola]],Tabla6[#Data],2,0)</f>
        <v>BUPA</v>
      </c>
      <c r="R226" s="13" t="e">
        <f>+VLOOKUP(Regiones[[#This Row],[Cola]],Tabla68[],2,0)</f>
        <v>#N/A</v>
      </c>
    </row>
    <row r="227" spans="2:18" x14ac:dyDescent="0.3">
      <c r="B227" s="6">
        <v>46205</v>
      </c>
      <c r="C227" s="14">
        <v>0.54166666666666663</v>
      </c>
      <c r="D227" t="s">
        <v>47</v>
      </c>
      <c r="E227" t="s">
        <v>18</v>
      </c>
      <c r="F227">
        <v>15</v>
      </c>
      <c r="G227">
        <v>12</v>
      </c>
      <c r="H227">
        <v>3</v>
      </c>
      <c r="I227" s="2">
        <v>0.6</v>
      </c>
      <c r="J227" s="14">
        <v>4.7569444444444447E-3</v>
      </c>
      <c r="K227" s="6">
        <f>INT(Regiones[[#This Row],[Fecha]])</f>
        <v>46205</v>
      </c>
      <c r="L227" s="10">
        <f>IFERROR(Regiones[[#This Row],[Contestadas]]/Regiones[[#This Row],[Ofrecidas]],"")</f>
        <v>0.8</v>
      </c>
      <c r="M227" s="7">
        <f>IFERROR(Regiones[[#This Row],[Ofrecidas]]*Regiones[[#This Row],[% de nivel de servicio]],"")</f>
        <v>9</v>
      </c>
      <c r="N227" s="7"/>
      <c r="O227" s="12">
        <f>IFERROR(Regiones[[#This Row],[Aten &lt; 20 seg]]/Regiones[[#This Row],[Contestadas]],"")</f>
        <v>0.75</v>
      </c>
      <c r="P227" s="13">
        <f>IFERROR(Regiones[[#This Row],[AHT]]*86400,"error")</f>
        <v>411</v>
      </c>
      <c r="Q227" s="13" t="str">
        <f>+VLOOKUP(Regiones[[#This Row],[Cola]],Tabla6[#Data],2,0)</f>
        <v>BUPA</v>
      </c>
      <c r="R227" s="13" t="e">
        <f>+VLOOKUP(Regiones[[#This Row],[Cola]],Tabla68[],2,0)</f>
        <v>#N/A</v>
      </c>
    </row>
    <row r="228" spans="2:18" x14ac:dyDescent="0.3">
      <c r="B228" s="6">
        <v>46205</v>
      </c>
      <c r="C228" s="14">
        <v>0.54166666666666663</v>
      </c>
      <c r="D228" t="s">
        <v>46</v>
      </c>
      <c r="E228" t="s">
        <v>18</v>
      </c>
      <c r="F228">
        <v>9</v>
      </c>
      <c r="G228">
        <v>9</v>
      </c>
      <c r="H228">
        <v>0</v>
      </c>
      <c r="I228" s="2">
        <v>0.22</v>
      </c>
      <c r="J228" s="14">
        <v>5.8564814814814816E-3</v>
      </c>
      <c r="K228" s="6">
        <f>INT(Regiones[[#This Row],[Fecha]])</f>
        <v>46205</v>
      </c>
      <c r="L228" s="10">
        <f>IFERROR(Regiones[[#This Row],[Contestadas]]/Regiones[[#This Row],[Ofrecidas]],"")</f>
        <v>1</v>
      </c>
      <c r="M228" s="7">
        <f>IFERROR(Regiones[[#This Row],[Ofrecidas]]*Regiones[[#This Row],[% de nivel de servicio]],"")</f>
        <v>1.98</v>
      </c>
      <c r="N228" s="7"/>
      <c r="O228" s="12">
        <f>IFERROR(Regiones[[#This Row],[Aten &lt; 20 seg]]/Regiones[[#This Row],[Contestadas]],"")</f>
        <v>0.22</v>
      </c>
      <c r="P228" s="13">
        <f>IFERROR(Regiones[[#This Row],[AHT]]*86400,"error")</f>
        <v>506</v>
      </c>
      <c r="Q228" s="13" t="str">
        <f>+VLOOKUP(Regiones[[#This Row],[Cola]],Tabla6[#Data],2,0)</f>
        <v>BUPA</v>
      </c>
      <c r="R228" s="13" t="e">
        <f>+VLOOKUP(Regiones[[#This Row],[Cola]],Tabla68[],2,0)</f>
        <v>#N/A</v>
      </c>
    </row>
    <row r="229" spans="2:18" x14ac:dyDescent="0.3">
      <c r="B229" s="6">
        <v>46205</v>
      </c>
      <c r="C229" s="14">
        <v>0.54166666666666663</v>
      </c>
      <c r="D229" t="s">
        <v>48</v>
      </c>
      <c r="E229" t="s">
        <v>18</v>
      </c>
      <c r="F229">
        <v>4</v>
      </c>
      <c r="G229">
        <v>4</v>
      </c>
      <c r="H229">
        <v>0</v>
      </c>
      <c r="I229" s="2">
        <v>0.5</v>
      </c>
      <c r="J229" s="14">
        <v>3.9930555555555552E-3</v>
      </c>
      <c r="K229" s="6">
        <f>INT(Regiones[[#This Row],[Fecha]])</f>
        <v>46205</v>
      </c>
      <c r="L229" s="10">
        <f>IFERROR(Regiones[[#This Row],[Contestadas]]/Regiones[[#This Row],[Ofrecidas]],"")</f>
        <v>1</v>
      </c>
      <c r="M229" s="7">
        <f>IFERROR(Regiones[[#This Row],[Ofrecidas]]*Regiones[[#This Row],[% de nivel de servicio]],"")</f>
        <v>2</v>
      </c>
      <c r="N229" s="7"/>
      <c r="O229" s="12">
        <f>IFERROR(Regiones[[#This Row],[Aten &lt; 20 seg]]/Regiones[[#This Row],[Contestadas]],"")</f>
        <v>0.5</v>
      </c>
      <c r="P229" s="13">
        <f>IFERROR(Regiones[[#This Row],[AHT]]*86400,"error")</f>
        <v>345</v>
      </c>
      <c r="Q229" s="13" t="str">
        <f>+VLOOKUP(Regiones[[#This Row],[Cola]],Tabla6[#Data],2,0)</f>
        <v>BUPA</v>
      </c>
      <c r="R229" s="13" t="e">
        <f>+VLOOKUP(Regiones[[#This Row],[Cola]],Tabla68[],2,0)</f>
        <v>#N/A</v>
      </c>
    </row>
    <row r="230" spans="2:18" x14ac:dyDescent="0.3">
      <c r="B230" s="6">
        <v>46205</v>
      </c>
      <c r="C230" s="14">
        <v>0.54166666666666663</v>
      </c>
      <c r="D230" t="s">
        <v>49</v>
      </c>
      <c r="E230" t="s">
        <v>18</v>
      </c>
      <c r="F230">
        <v>3</v>
      </c>
      <c r="G230">
        <v>3</v>
      </c>
      <c r="H230">
        <v>0</v>
      </c>
      <c r="I230" s="2">
        <v>0.33</v>
      </c>
      <c r="J230" s="14">
        <v>8.9120370370370378E-3</v>
      </c>
      <c r="K230" s="6">
        <f>INT(Regiones[[#This Row],[Fecha]])</f>
        <v>46205</v>
      </c>
      <c r="L230" s="10">
        <f>IFERROR(Regiones[[#This Row],[Contestadas]]/Regiones[[#This Row],[Ofrecidas]],"")</f>
        <v>1</v>
      </c>
      <c r="M230" s="7">
        <f>IFERROR(Regiones[[#This Row],[Ofrecidas]]*Regiones[[#This Row],[% de nivel de servicio]],"")</f>
        <v>0.99</v>
      </c>
      <c r="N230" s="7"/>
      <c r="O230" s="12">
        <f>IFERROR(Regiones[[#This Row],[Aten &lt; 20 seg]]/Regiones[[#This Row],[Contestadas]],"")</f>
        <v>0.33</v>
      </c>
      <c r="P230" s="13">
        <f>IFERROR(Regiones[[#This Row],[AHT]]*86400,"error")</f>
        <v>770.00000000000011</v>
      </c>
      <c r="Q230" s="13" t="str">
        <f>+VLOOKUP(Regiones[[#This Row],[Cola]],Tabla6[#Data],2,0)</f>
        <v>BUPA</v>
      </c>
      <c r="R230" s="13" t="e">
        <f>+VLOOKUP(Regiones[[#This Row],[Cola]],Tabla68[],2,0)</f>
        <v>#N/A</v>
      </c>
    </row>
    <row r="231" spans="2:18" x14ac:dyDescent="0.3">
      <c r="B231" s="6">
        <v>46205</v>
      </c>
      <c r="C231" s="14">
        <v>0.5625</v>
      </c>
      <c r="D231" t="s">
        <v>49</v>
      </c>
      <c r="E231" t="s">
        <v>18</v>
      </c>
      <c r="F231">
        <v>1</v>
      </c>
      <c r="G231">
        <v>1</v>
      </c>
      <c r="H231">
        <v>0</v>
      </c>
      <c r="I231" s="2">
        <v>1</v>
      </c>
      <c r="J231" s="14">
        <v>1.2025462962962963E-2</v>
      </c>
      <c r="K231" s="6">
        <f>INT(Regiones[[#This Row],[Fecha]])</f>
        <v>46205</v>
      </c>
      <c r="L231" s="10">
        <f>IFERROR(Regiones[[#This Row],[Contestadas]]/Regiones[[#This Row],[Ofrecidas]],"")</f>
        <v>1</v>
      </c>
      <c r="M231" s="7">
        <f>IFERROR(Regiones[[#This Row],[Ofrecidas]]*Regiones[[#This Row],[% de nivel de servicio]],"")</f>
        <v>1</v>
      </c>
      <c r="N231" s="7"/>
      <c r="O231" s="12">
        <f>IFERROR(Regiones[[#This Row],[Aten &lt; 20 seg]]/Regiones[[#This Row],[Contestadas]],"")</f>
        <v>1</v>
      </c>
      <c r="P231" s="13">
        <f>IFERROR(Regiones[[#This Row],[AHT]]*86400,"error")</f>
        <v>1039</v>
      </c>
      <c r="Q231" s="13" t="str">
        <f>+VLOOKUP(Regiones[[#This Row],[Cola]],Tabla6[#Data],2,0)</f>
        <v>BUPA</v>
      </c>
      <c r="R231" s="13" t="e">
        <f>+VLOOKUP(Regiones[[#This Row],[Cola]],Tabla68[],2,0)</f>
        <v>#N/A</v>
      </c>
    </row>
    <row r="232" spans="2:18" x14ac:dyDescent="0.3">
      <c r="B232" s="6">
        <v>46205</v>
      </c>
      <c r="C232" s="14">
        <v>0.5625</v>
      </c>
      <c r="D232" t="s">
        <v>48</v>
      </c>
      <c r="E232" t="s">
        <v>18</v>
      </c>
      <c r="F232">
        <v>8</v>
      </c>
      <c r="G232">
        <v>8</v>
      </c>
      <c r="H232">
        <v>0</v>
      </c>
      <c r="I232" s="2">
        <v>0.5</v>
      </c>
      <c r="J232" s="14">
        <v>4.5138888888888885E-3</v>
      </c>
      <c r="K232" s="6">
        <f>INT(Regiones[[#This Row],[Fecha]])</f>
        <v>46205</v>
      </c>
      <c r="L232" s="10">
        <f>IFERROR(Regiones[[#This Row],[Contestadas]]/Regiones[[#This Row],[Ofrecidas]],"")</f>
        <v>1</v>
      </c>
      <c r="M232" s="7">
        <f>IFERROR(Regiones[[#This Row],[Ofrecidas]]*Regiones[[#This Row],[% de nivel de servicio]],"")</f>
        <v>4</v>
      </c>
      <c r="N232" s="7"/>
      <c r="O232" s="12">
        <f>IFERROR(Regiones[[#This Row],[Aten &lt; 20 seg]]/Regiones[[#This Row],[Contestadas]],"")</f>
        <v>0.5</v>
      </c>
      <c r="P232" s="13">
        <f>IFERROR(Regiones[[#This Row],[AHT]]*86400,"error")</f>
        <v>389.99999999999994</v>
      </c>
      <c r="Q232" s="13" t="str">
        <f>+VLOOKUP(Regiones[[#This Row],[Cola]],Tabla6[#Data],2,0)</f>
        <v>BUPA</v>
      </c>
      <c r="R232" s="13" t="e">
        <f>+VLOOKUP(Regiones[[#This Row],[Cola]],Tabla68[],2,0)</f>
        <v>#N/A</v>
      </c>
    </row>
    <row r="233" spans="2:18" x14ac:dyDescent="0.3">
      <c r="B233" s="6">
        <v>46205</v>
      </c>
      <c r="C233" s="14">
        <v>0.5625</v>
      </c>
      <c r="D233" t="s">
        <v>52</v>
      </c>
      <c r="E233" t="s">
        <v>18</v>
      </c>
      <c r="F233">
        <v>3</v>
      </c>
      <c r="G233">
        <v>3</v>
      </c>
      <c r="H233">
        <v>0</v>
      </c>
      <c r="I233" s="2">
        <v>0</v>
      </c>
      <c r="J233" s="14">
        <v>2.662037037037037E-3</v>
      </c>
      <c r="K233" s="6">
        <f>INT(Regiones[[#This Row],[Fecha]])</f>
        <v>46205</v>
      </c>
      <c r="L233" s="10">
        <f>IFERROR(Regiones[[#This Row],[Contestadas]]/Regiones[[#This Row],[Ofrecidas]],"")</f>
        <v>1</v>
      </c>
      <c r="M233" s="7">
        <f>IFERROR(Regiones[[#This Row],[Ofrecidas]]*Regiones[[#This Row],[% de nivel de servicio]],"")</f>
        <v>0</v>
      </c>
      <c r="N233" s="7"/>
      <c r="O233" s="12">
        <f>IFERROR(Regiones[[#This Row],[Aten &lt; 20 seg]]/Regiones[[#This Row],[Contestadas]],"")</f>
        <v>0</v>
      </c>
      <c r="P233" s="13">
        <f>IFERROR(Regiones[[#This Row],[AHT]]*86400,"error")</f>
        <v>230</v>
      </c>
      <c r="Q233" s="13" t="str">
        <f>+VLOOKUP(Regiones[[#This Row],[Cola]],Tabla6[#Data],2,0)</f>
        <v>BUPA</v>
      </c>
      <c r="R233" s="13" t="e">
        <f>+VLOOKUP(Regiones[[#This Row],[Cola]],Tabla68[],2,0)</f>
        <v>#N/A</v>
      </c>
    </row>
    <row r="234" spans="2:18" x14ac:dyDescent="0.3">
      <c r="B234" s="6">
        <v>46205</v>
      </c>
      <c r="C234" s="14">
        <v>0.5625</v>
      </c>
      <c r="D234" t="s">
        <v>50</v>
      </c>
      <c r="E234" t="s">
        <v>18</v>
      </c>
      <c r="F234">
        <v>3</v>
      </c>
      <c r="G234">
        <v>2</v>
      </c>
      <c r="H234">
        <v>1</v>
      </c>
      <c r="I234" s="2">
        <v>0</v>
      </c>
      <c r="J234" s="14">
        <v>8.2870370370370372E-3</v>
      </c>
      <c r="K234" s="6">
        <f>INT(Regiones[[#This Row],[Fecha]])</f>
        <v>46205</v>
      </c>
      <c r="L234" s="10">
        <f>IFERROR(Regiones[[#This Row],[Contestadas]]/Regiones[[#This Row],[Ofrecidas]],"")</f>
        <v>0.66666666666666663</v>
      </c>
      <c r="M234" s="7">
        <f>IFERROR(Regiones[[#This Row],[Ofrecidas]]*Regiones[[#This Row],[% de nivel de servicio]],"")</f>
        <v>0</v>
      </c>
      <c r="N234" s="7"/>
      <c r="O234" s="12">
        <f>IFERROR(Regiones[[#This Row],[Aten &lt; 20 seg]]/Regiones[[#This Row],[Contestadas]],"")</f>
        <v>0</v>
      </c>
      <c r="P234" s="13">
        <f>IFERROR(Regiones[[#This Row],[AHT]]*86400,"error")</f>
        <v>716</v>
      </c>
      <c r="Q234" s="13" t="str">
        <f>+VLOOKUP(Regiones[[#This Row],[Cola]],Tabla6[#Data],2,0)</f>
        <v>BUPA</v>
      </c>
      <c r="R234" s="13" t="e">
        <f>+VLOOKUP(Regiones[[#This Row],[Cola]],Tabla68[],2,0)</f>
        <v>#N/A</v>
      </c>
    </row>
    <row r="235" spans="2:18" x14ac:dyDescent="0.3">
      <c r="B235" s="6">
        <v>46205</v>
      </c>
      <c r="C235" s="14">
        <v>0.5625</v>
      </c>
      <c r="D235" t="s">
        <v>46</v>
      </c>
      <c r="E235" t="s">
        <v>18</v>
      </c>
      <c r="F235">
        <v>10</v>
      </c>
      <c r="G235">
        <v>9</v>
      </c>
      <c r="H235">
        <v>1</v>
      </c>
      <c r="I235" s="2">
        <v>0.3</v>
      </c>
      <c r="J235" s="14">
        <v>7.5810185185185182E-3</v>
      </c>
      <c r="K235" s="6">
        <f>INT(Regiones[[#This Row],[Fecha]])</f>
        <v>46205</v>
      </c>
      <c r="L235" s="10">
        <f>IFERROR(Regiones[[#This Row],[Contestadas]]/Regiones[[#This Row],[Ofrecidas]],"")</f>
        <v>0.9</v>
      </c>
      <c r="M235" s="7">
        <f>IFERROR(Regiones[[#This Row],[Ofrecidas]]*Regiones[[#This Row],[% de nivel de servicio]],"")</f>
        <v>3</v>
      </c>
      <c r="N235" s="7"/>
      <c r="O235" s="12">
        <f>IFERROR(Regiones[[#This Row],[Aten &lt; 20 seg]]/Regiones[[#This Row],[Contestadas]],"")</f>
        <v>0.33333333333333331</v>
      </c>
      <c r="P235" s="13">
        <f>IFERROR(Regiones[[#This Row],[AHT]]*86400,"error")</f>
        <v>655</v>
      </c>
      <c r="Q235" s="13" t="str">
        <f>+VLOOKUP(Regiones[[#This Row],[Cola]],Tabla6[#Data],2,0)</f>
        <v>BUPA</v>
      </c>
      <c r="R235" s="13" t="e">
        <f>+VLOOKUP(Regiones[[#This Row],[Cola]],Tabla68[],2,0)</f>
        <v>#N/A</v>
      </c>
    </row>
    <row r="236" spans="2:18" x14ac:dyDescent="0.3">
      <c r="B236" s="6">
        <v>46205</v>
      </c>
      <c r="C236" s="14">
        <v>0.5625</v>
      </c>
      <c r="D236" t="s">
        <v>53</v>
      </c>
      <c r="E236" t="s">
        <v>18</v>
      </c>
      <c r="F236">
        <v>3</v>
      </c>
      <c r="G236">
        <v>3</v>
      </c>
      <c r="H236">
        <v>0</v>
      </c>
      <c r="I236" s="2">
        <v>0.33</v>
      </c>
      <c r="J236" s="14">
        <v>5.1273148148148146E-3</v>
      </c>
      <c r="K236" s="6">
        <f>INT(Regiones[[#This Row],[Fecha]])</f>
        <v>46205</v>
      </c>
      <c r="L236" s="10">
        <f>IFERROR(Regiones[[#This Row],[Contestadas]]/Regiones[[#This Row],[Ofrecidas]],"")</f>
        <v>1</v>
      </c>
      <c r="M236" s="7">
        <f>IFERROR(Regiones[[#This Row],[Ofrecidas]]*Regiones[[#This Row],[% de nivel de servicio]],"")</f>
        <v>0.99</v>
      </c>
      <c r="N236" s="7"/>
      <c r="O236" s="12">
        <f>IFERROR(Regiones[[#This Row],[Aten &lt; 20 seg]]/Regiones[[#This Row],[Contestadas]],"")</f>
        <v>0.33</v>
      </c>
      <c r="P236" s="13">
        <f>IFERROR(Regiones[[#This Row],[AHT]]*86400,"error")</f>
        <v>443</v>
      </c>
      <c r="Q236" s="13" t="str">
        <f>+VLOOKUP(Regiones[[#This Row],[Cola]],Tabla6[#Data],2,0)</f>
        <v>BUPA</v>
      </c>
      <c r="R236" s="13" t="e">
        <f>+VLOOKUP(Regiones[[#This Row],[Cola]],Tabla68[],2,0)</f>
        <v>#N/A</v>
      </c>
    </row>
    <row r="237" spans="2:18" x14ac:dyDescent="0.3">
      <c r="B237" s="6">
        <v>46205</v>
      </c>
      <c r="C237" s="14">
        <v>0.5625</v>
      </c>
      <c r="D237" t="s">
        <v>47</v>
      </c>
      <c r="E237" t="s">
        <v>18</v>
      </c>
      <c r="F237">
        <v>13</v>
      </c>
      <c r="G237">
        <v>11</v>
      </c>
      <c r="H237">
        <v>2</v>
      </c>
      <c r="I237" s="2">
        <v>0.15</v>
      </c>
      <c r="J237" s="14">
        <v>5.092592592592593E-3</v>
      </c>
      <c r="K237" s="6">
        <f>INT(Regiones[[#This Row],[Fecha]])</f>
        <v>46205</v>
      </c>
      <c r="L237" s="10">
        <f>IFERROR(Regiones[[#This Row],[Contestadas]]/Regiones[[#This Row],[Ofrecidas]],"")</f>
        <v>0.84615384615384615</v>
      </c>
      <c r="M237" s="7">
        <f>IFERROR(Regiones[[#This Row],[Ofrecidas]]*Regiones[[#This Row],[% de nivel de servicio]],"")</f>
        <v>1.95</v>
      </c>
      <c r="N237" s="7"/>
      <c r="O237" s="12">
        <f>IFERROR(Regiones[[#This Row],[Aten &lt; 20 seg]]/Regiones[[#This Row],[Contestadas]],"")</f>
        <v>0.17727272727272728</v>
      </c>
      <c r="P237" s="13">
        <f>IFERROR(Regiones[[#This Row],[AHT]]*86400,"error")</f>
        <v>440.00000000000006</v>
      </c>
      <c r="Q237" s="13" t="str">
        <f>+VLOOKUP(Regiones[[#This Row],[Cola]],Tabla6[#Data],2,0)</f>
        <v>BUPA</v>
      </c>
      <c r="R237" s="13" t="e">
        <f>+VLOOKUP(Regiones[[#This Row],[Cola]],Tabla68[],2,0)</f>
        <v>#N/A</v>
      </c>
    </row>
    <row r="238" spans="2:18" x14ac:dyDescent="0.3">
      <c r="B238" s="6">
        <v>46205</v>
      </c>
      <c r="C238" s="14">
        <v>0.58333333333333337</v>
      </c>
      <c r="D238" t="s">
        <v>47</v>
      </c>
      <c r="E238" t="s">
        <v>18</v>
      </c>
      <c r="F238">
        <v>13</v>
      </c>
      <c r="G238">
        <v>13</v>
      </c>
      <c r="H238">
        <v>0</v>
      </c>
      <c r="I238" s="2">
        <v>0.38</v>
      </c>
      <c r="J238" s="14">
        <v>4.9305555555555552E-3</v>
      </c>
      <c r="K238" s="6">
        <f>INT(Regiones[[#This Row],[Fecha]])</f>
        <v>46205</v>
      </c>
      <c r="L238" s="10">
        <f>IFERROR(Regiones[[#This Row],[Contestadas]]/Regiones[[#This Row],[Ofrecidas]],"")</f>
        <v>1</v>
      </c>
      <c r="M238" s="7">
        <f>IFERROR(Regiones[[#This Row],[Ofrecidas]]*Regiones[[#This Row],[% de nivel de servicio]],"")</f>
        <v>4.9400000000000004</v>
      </c>
      <c r="N238" s="7"/>
      <c r="O238" s="12">
        <f>IFERROR(Regiones[[#This Row],[Aten &lt; 20 seg]]/Regiones[[#This Row],[Contestadas]],"")</f>
        <v>0.38</v>
      </c>
      <c r="P238" s="13">
        <f>IFERROR(Regiones[[#This Row],[AHT]]*86400,"error")</f>
        <v>425.99999999999994</v>
      </c>
      <c r="Q238" s="13" t="str">
        <f>+VLOOKUP(Regiones[[#This Row],[Cola]],Tabla6[#Data],2,0)</f>
        <v>BUPA</v>
      </c>
      <c r="R238" s="13" t="e">
        <f>+VLOOKUP(Regiones[[#This Row],[Cola]],Tabla68[],2,0)</f>
        <v>#N/A</v>
      </c>
    </row>
    <row r="239" spans="2:18" x14ac:dyDescent="0.3">
      <c r="B239" s="6">
        <v>46205</v>
      </c>
      <c r="C239" s="14">
        <v>0.58333333333333337</v>
      </c>
      <c r="D239" t="s">
        <v>53</v>
      </c>
      <c r="E239" t="s">
        <v>18</v>
      </c>
      <c r="F239">
        <v>2</v>
      </c>
      <c r="G239">
        <v>0</v>
      </c>
      <c r="H239">
        <v>2</v>
      </c>
      <c r="I239" s="2">
        <v>0</v>
      </c>
      <c r="J239" s="14">
        <v>4.7685185185185183E-3</v>
      </c>
      <c r="K239" s="6">
        <f>INT(Regiones[[#This Row],[Fecha]])</f>
        <v>46205</v>
      </c>
      <c r="L239" s="10">
        <f>IFERROR(Regiones[[#This Row],[Contestadas]]/Regiones[[#This Row],[Ofrecidas]],"")</f>
        <v>0</v>
      </c>
      <c r="M239" s="7">
        <f>IFERROR(Regiones[[#This Row],[Ofrecidas]]*Regiones[[#This Row],[% de nivel de servicio]],"")</f>
        <v>0</v>
      </c>
      <c r="N239" s="7"/>
      <c r="O239" s="12" t="str">
        <f>IFERROR(Regiones[[#This Row],[Aten &lt; 20 seg]]/Regiones[[#This Row],[Contestadas]],"")</f>
        <v/>
      </c>
      <c r="P239" s="13">
        <f>IFERROR(Regiones[[#This Row],[AHT]]*86400,"error")</f>
        <v>412</v>
      </c>
      <c r="Q239" s="13" t="str">
        <f>+VLOOKUP(Regiones[[#This Row],[Cola]],Tabla6[#Data],2,0)</f>
        <v>BUPA</v>
      </c>
      <c r="R239" s="13" t="e">
        <f>+VLOOKUP(Regiones[[#This Row],[Cola]],Tabla68[],2,0)</f>
        <v>#N/A</v>
      </c>
    </row>
    <row r="240" spans="2:18" x14ac:dyDescent="0.3">
      <c r="B240" s="6">
        <v>46205</v>
      </c>
      <c r="C240" s="14">
        <v>0.58333333333333337</v>
      </c>
      <c r="D240" t="s">
        <v>49</v>
      </c>
      <c r="E240" t="s">
        <v>18</v>
      </c>
      <c r="F240">
        <v>3</v>
      </c>
      <c r="G240">
        <v>3</v>
      </c>
      <c r="H240">
        <v>0</v>
      </c>
      <c r="I240" s="2">
        <v>0</v>
      </c>
      <c r="J240" s="14">
        <v>7.1990740740740739E-3</v>
      </c>
      <c r="K240" s="6">
        <f>INT(Regiones[[#This Row],[Fecha]])</f>
        <v>46205</v>
      </c>
      <c r="L240" s="10">
        <f>IFERROR(Regiones[[#This Row],[Contestadas]]/Regiones[[#This Row],[Ofrecidas]],"")</f>
        <v>1</v>
      </c>
      <c r="M240" s="7">
        <f>IFERROR(Regiones[[#This Row],[Ofrecidas]]*Regiones[[#This Row],[% de nivel de servicio]],"")</f>
        <v>0</v>
      </c>
      <c r="N240" s="7"/>
      <c r="O240" s="12">
        <f>IFERROR(Regiones[[#This Row],[Aten &lt; 20 seg]]/Regiones[[#This Row],[Contestadas]],"")</f>
        <v>0</v>
      </c>
      <c r="P240" s="13">
        <f>IFERROR(Regiones[[#This Row],[AHT]]*86400,"error")</f>
        <v>622</v>
      </c>
      <c r="Q240" s="13" t="str">
        <f>+VLOOKUP(Regiones[[#This Row],[Cola]],Tabla6[#Data],2,0)</f>
        <v>BUPA</v>
      </c>
      <c r="R240" s="13" t="e">
        <f>+VLOOKUP(Regiones[[#This Row],[Cola]],Tabla68[],2,0)</f>
        <v>#N/A</v>
      </c>
    </row>
    <row r="241" spans="2:18" x14ac:dyDescent="0.3">
      <c r="B241" s="6">
        <v>46205</v>
      </c>
      <c r="C241" s="14">
        <v>0.58333333333333337</v>
      </c>
      <c r="D241" t="s">
        <v>48</v>
      </c>
      <c r="E241" t="s">
        <v>18</v>
      </c>
      <c r="F241">
        <v>6</v>
      </c>
      <c r="G241">
        <v>5</v>
      </c>
      <c r="H241">
        <v>1</v>
      </c>
      <c r="I241" s="2">
        <v>0.5</v>
      </c>
      <c r="J241" s="14">
        <v>5.3935185185185188E-3</v>
      </c>
      <c r="K241" s="6">
        <f>INT(Regiones[[#This Row],[Fecha]])</f>
        <v>46205</v>
      </c>
      <c r="L241" s="10">
        <f>IFERROR(Regiones[[#This Row],[Contestadas]]/Regiones[[#This Row],[Ofrecidas]],"")</f>
        <v>0.83333333333333337</v>
      </c>
      <c r="M241" s="7">
        <f>IFERROR(Regiones[[#This Row],[Ofrecidas]]*Regiones[[#This Row],[% de nivel de servicio]],"")</f>
        <v>3</v>
      </c>
      <c r="N241" s="7"/>
      <c r="O241" s="12">
        <f>IFERROR(Regiones[[#This Row],[Aten &lt; 20 seg]]/Regiones[[#This Row],[Contestadas]],"")</f>
        <v>0.6</v>
      </c>
      <c r="P241" s="13">
        <f>IFERROR(Regiones[[#This Row],[AHT]]*86400,"error")</f>
        <v>466</v>
      </c>
      <c r="Q241" s="13" t="str">
        <f>+VLOOKUP(Regiones[[#This Row],[Cola]],Tabla6[#Data],2,0)</f>
        <v>BUPA</v>
      </c>
      <c r="R241" s="13" t="e">
        <f>+VLOOKUP(Regiones[[#This Row],[Cola]],Tabla68[],2,0)</f>
        <v>#N/A</v>
      </c>
    </row>
    <row r="242" spans="2:18" x14ac:dyDescent="0.3">
      <c r="B242" s="6">
        <v>46205</v>
      </c>
      <c r="C242" s="14">
        <v>0.58333333333333337</v>
      </c>
      <c r="D242" t="s">
        <v>50</v>
      </c>
      <c r="E242" t="s">
        <v>18</v>
      </c>
      <c r="F242">
        <v>3</v>
      </c>
      <c r="G242">
        <v>2</v>
      </c>
      <c r="H242">
        <v>1</v>
      </c>
      <c r="I242" s="2">
        <v>0.33</v>
      </c>
      <c r="J242" s="14">
        <v>3.8078703703703703E-3</v>
      </c>
      <c r="K242" s="6">
        <f>INT(Regiones[[#This Row],[Fecha]])</f>
        <v>46205</v>
      </c>
      <c r="L242" s="10">
        <f>IFERROR(Regiones[[#This Row],[Contestadas]]/Regiones[[#This Row],[Ofrecidas]],"")</f>
        <v>0.66666666666666663</v>
      </c>
      <c r="M242" s="7">
        <f>IFERROR(Regiones[[#This Row],[Ofrecidas]]*Regiones[[#This Row],[% de nivel de servicio]],"")</f>
        <v>0.99</v>
      </c>
      <c r="N242" s="7"/>
      <c r="O242" s="12">
        <f>IFERROR(Regiones[[#This Row],[Aten &lt; 20 seg]]/Regiones[[#This Row],[Contestadas]],"")</f>
        <v>0.495</v>
      </c>
      <c r="P242" s="13">
        <f>IFERROR(Regiones[[#This Row],[AHT]]*86400,"error")</f>
        <v>329</v>
      </c>
      <c r="Q242" s="13" t="str">
        <f>+VLOOKUP(Regiones[[#This Row],[Cola]],Tabla6[#Data],2,0)</f>
        <v>BUPA</v>
      </c>
      <c r="R242" s="13" t="e">
        <f>+VLOOKUP(Regiones[[#This Row],[Cola]],Tabla68[],2,0)</f>
        <v>#N/A</v>
      </c>
    </row>
    <row r="243" spans="2:18" x14ac:dyDescent="0.3">
      <c r="B243" s="6">
        <v>46205</v>
      </c>
      <c r="C243" s="14">
        <v>0.58333333333333337</v>
      </c>
      <c r="D243" t="s">
        <v>52</v>
      </c>
      <c r="E243" t="s">
        <v>18</v>
      </c>
      <c r="F243">
        <v>1</v>
      </c>
      <c r="G243">
        <v>1</v>
      </c>
      <c r="H243">
        <v>0</v>
      </c>
      <c r="I243" s="2">
        <v>0</v>
      </c>
      <c r="J243" s="14">
        <v>1.261574074074074E-3</v>
      </c>
      <c r="K243" s="6">
        <f>INT(Regiones[[#This Row],[Fecha]])</f>
        <v>46205</v>
      </c>
      <c r="L243" s="10">
        <f>IFERROR(Regiones[[#This Row],[Contestadas]]/Regiones[[#This Row],[Ofrecidas]],"")</f>
        <v>1</v>
      </c>
      <c r="M243" s="7">
        <f>IFERROR(Regiones[[#This Row],[Ofrecidas]]*Regiones[[#This Row],[% de nivel de servicio]],"")</f>
        <v>0</v>
      </c>
      <c r="N243" s="7"/>
      <c r="O243" s="12">
        <f>IFERROR(Regiones[[#This Row],[Aten &lt; 20 seg]]/Regiones[[#This Row],[Contestadas]],"")</f>
        <v>0</v>
      </c>
      <c r="P243" s="13">
        <f>IFERROR(Regiones[[#This Row],[AHT]]*86400,"error")</f>
        <v>109</v>
      </c>
      <c r="Q243" s="13" t="str">
        <f>+VLOOKUP(Regiones[[#This Row],[Cola]],Tabla6[#Data],2,0)</f>
        <v>BUPA</v>
      </c>
      <c r="R243" s="13" t="e">
        <f>+VLOOKUP(Regiones[[#This Row],[Cola]],Tabla68[],2,0)</f>
        <v>#N/A</v>
      </c>
    </row>
    <row r="244" spans="2:18" x14ac:dyDescent="0.3">
      <c r="B244" s="6">
        <v>46205</v>
      </c>
      <c r="C244" s="14">
        <v>0.58333333333333337</v>
      </c>
      <c r="D244" t="s">
        <v>46</v>
      </c>
      <c r="E244" t="s">
        <v>18</v>
      </c>
      <c r="F244">
        <v>9</v>
      </c>
      <c r="G244">
        <v>6</v>
      </c>
      <c r="H244">
        <v>3</v>
      </c>
      <c r="I244" s="2">
        <v>0.11</v>
      </c>
      <c r="J244" s="14">
        <v>6.0648148148148145E-3</v>
      </c>
      <c r="K244" s="6">
        <f>INT(Regiones[[#This Row],[Fecha]])</f>
        <v>46205</v>
      </c>
      <c r="L244" s="10">
        <f>IFERROR(Regiones[[#This Row],[Contestadas]]/Regiones[[#This Row],[Ofrecidas]],"")</f>
        <v>0.66666666666666663</v>
      </c>
      <c r="M244" s="7">
        <f>IFERROR(Regiones[[#This Row],[Ofrecidas]]*Regiones[[#This Row],[% de nivel de servicio]],"")</f>
        <v>0.99</v>
      </c>
      <c r="N244" s="7"/>
      <c r="O244" s="12">
        <f>IFERROR(Regiones[[#This Row],[Aten &lt; 20 seg]]/Regiones[[#This Row],[Contestadas]],"")</f>
        <v>0.16500000000000001</v>
      </c>
      <c r="P244" s="13">
        <f>IFERROR(Regiones[[#This Row],[AHT]]*86400,"error")</f>
        <v>524</v>
      </c>
      <c r="Q244" s="13" t="str">
        <f>+VLOOKUP(Regiones[[#This Row],[Cola]],Tabla6[#Data],2,0)</f>
        <v>BUPA</v>
      </c>
      <c r="R244" s="13" t="e">
        <f>+VLOOKUP(Regiones[[#This Row],[Cola]],Tabla68[],2,0)</f>
        <v>#N/A</v>
      </c>
    </row>
    <row r="245" spans="2:18" x14ac:dyDescent="0.3">
      <c r="B245" s="6">
        <v>46205</v>
      </c>
      <c r="C245" s="14">
        <v>0.60416666666666663</v>
      </c>
      <c r="D245" t="s">
        <v>52</v>
      </c>
      <c r="E245" t="s">
        <v>18</v>
      </c>
      <c r="F245">
        <v>2</v>
      </c>
      <c r="G245">
        <v>2</v>
      </c>
      <c r="H245">
        <v>0</v>
      </c>
      <c r="I245" s="2">
        <v>1</v>
      </c>
      <c r="J245" s="14">
        <v>3.8773148148148148E-3</v>
      </c>
      <c r="K245" s="6">
        <f>INT(Regiones[[#This Row],[Fecha]])</f>
        <v>46205</v>
      </c>
      <c r="L245" s="10">
        <f>IFERROR(Regiones[[#This Row],[Contestadas]]/Regiones[[#This Row],[Ofrecidas]],"")</f>
        <v>1</v>
      </c>
      <c r="M245" s="7">
        <f>IFERROR(Regiones[[#This Row],[Ofrecidas]]*Regiones[[#This Row],[% de nivel de servicio]],"")</f>
        <v>2</v>
      </c>
      <c r="N245" s="7"/>
      <c r="O245" s="12">
        <f>IFERROR(Regiones[[#This Row],[Aten &lt; 20 seg]]/Regiones[[#This Row],[Contestadas]],"")</f>
        <v>1</v>
      </c>
      <c r="P245" s="13">
        <f>IFERROR(Regiones[[#This Row],[AHT]]*86400,"error")</f>
        <v>335</v>
      </c>
      <c r="Q245" s="13" t="str">
        <f>+VLOOKUP(Regiones[[#This Row],[Cola]],Tabla6[#Data],2,0)</f>
        <v>BUPA</v>
      </c>
      <c r="R245" s="13" t="e">
        <f>+VLOOKUP(Regiones[[#This Row],[Cola]],Tabla68[],2,0)</f>
        <v>#N/A</v>
      </c>
    </row>
    <row r="246" spans="2:18" x14ac:dyDescent="0.3">
      <c r="B246" s="6">
        <v>46205</v>
      </c>
      <c r="C246" s="14">
        <v>0.60416666666666663</v>
      </c>
      <c r="D246" t="s">
        <v>57</v>
      </c>
      <c r="E246" t="s">
        <v>18</v>
      </c>
      <c r="F246">
        <v>1</v>
      </c>
      <c r="G246">
        <v>1</v>
      </c>
      <c r="H246">
        <v>0</v>
      </c>
      <c r="I246" s="2">
        <v>1</v>
      </c>
      <c r="J246" s="14" t="s">
        <v>19</v>
      </c>
      <c r="K246" s="6">
        <f>INT(Regiones[[#This Row],[Fecha]])</f>
        <v>46205</v>
      </c>
      <c r="L246" s="10">
        <f>IFERROR(Regiones[[#This Row],[Contestadas]]/Regiones[[#This Row],[Ofrecidas]],"")</f>
        <v>1</v>
      </c>
      <c r="M246" s="7">
        <f>IFERROR(Regiones[[#This Row],[Ofrecidas]]*Regiones[[#This Row],[% de nivel de servicio]],"")</f>
        <v>1</v>
      </c>
      <c r="N246" s="7"/>
      <c r="O246" s="12">
        <f>IFERROR(Regiones[[#This Row],[Aten &lt; 20 seg]]/Regiones[[#This Row],[Contestadas]],"")</f>
        <v>1</v>
      </c>
      <c r="P246" s="13" t="str">
        <f>IFERROR(Regiones[[#This Row],[AHT]]*86400,"error")</f>
        <v>error</v>
      </c>
      <c r="Q246" s="13" t="str">
        <f>+VLOOKUP(Regiones[[#This Row],[Cola]],Tabla6[#Data],2,0)</f>
        <v>BUPA</v>
      </c>
      <c r="R246" s="13" t="e">
        <f>+VLOOKUP(Regiones[[#This Row],[Cola]],Tabla68[],2,0)</f>
        <v>#N/A</v>
      </c>
    </row>
    <row r="247" spans="2:18" x14ac:dyDescent="0.3">
      <c r="B247" s="6">
        <v>46205</v>
      </c>
      <c r="C247" s="14">
        <v>0.60416666666666663</v>
      </c>
      <c r="D247" t="s">
        <v>46</v>
      </c>
      <c r="E247" t="s">
        <v>18</v>
      </c>
      <c r="F247">
        <v>3</v>
      </c>
      <c r="G247">
        <v>3</v>
      </c>
      <c r="H247">
        <v>0</v>
      </c>
      <c r="I247" s="2">
        <v>1</v>
      </c>
      <c r="J247" s="14">
        <v>6.6435185185185182E-3</v>
      </c>
      <c r="K247" s="6">
        <f>INT(Regiones[[#This Row],[Fecha]])</f>
        <v>46205</v>
      </c>
      <c r="L247" s="10">
        <f>IFERROR(Regiones[[#This Row],[Contestadas]]/Regiones[[#This Row],[Ofrecidas]],"")</f>
        <v>1</v>
      </c>
      <c r="M247" s="7">
        <f>IFERROR(Regiones[[#This Row],[Ofrecidas]]*Regiones[[#This Row],[% de nivel de servicio]],"")</f>
        <v>3</v>
      </c>
      <c r="N247" s="7"/>
      <c r="O247" s="12">
        <f>IFERROR(Regiones[[#This Row],[Aten &lt; 20 seg]]/Regiones[[#This Row],[Contestadas]],"")</f>
        <v>1</v>
      </c>
      <c r="P247" s="13">
        <f>IFERROR(Regiones[[#This Row],[AHT]]*86400,"error")</f>
        <v>574</v>
      </c>
      <c r="Q247" s="13" t="str">
        <f>+VLOOKUP(Regiones[[#This Row],[Cola]],Tabla6[#Data],2,0)</f>
        <v>BUPA</v>
      </c>
      <c r="R247" s="13" t="e">
        <f>+VLOOKUP(Regiones[[#This Row],[Cola]],Tabla68[],2,0)</f>
        <v>#N/A</v>
      </c>
    </row>
    <row r="248" spans="2:18" x14ac:dyDescent="0.3">
      <c r="B248" s="6">
        <v>46205</v>
      </c>
      <c r="C248" s="14">
        <v>0.60416666666666663</v>
      </c>
      <c r="D248" t="s">
        <v>50</v>
      </c>
      <c r="E248" t="s">
        <v>18</v>
      </c>
      <c r="F248">
        <v>1</v>
      </c>
      <c r="G248">
        <v>1</v>
      </c>
      <c r="H248">
        <v>0</v>
      </c>
      <c r="I248" s="2">
        <v>0</v>
      </c>
      <c r="J248" s="14" t="s">
        <v>19</v>
      </c>
      <c r="K248" s="6">
        <f>INT(Regiones[[#This Row],[Fecha]])</f>
        <v>46205</v>
      </c>
      <c r="L248" s="10">
        <f>IFERROR(Regiones[[#This Row],[Contestadas]]/Regiones[[#This Row],[Ofrecidas]],"")</f>
        <v>1</v>
      </c>
      <c r="M248" s="7">
        <f>IFERROR(Regiones[[#This Row],[Ofrecidas]]*Regiones[[#This Row],[% de nivel de servicio]],"")</f>
        <v>0</v>
      </c>
      <c r="N248" s="7"/>
      <c r="O248" s="12">
        <f>IFERROR(Regiones[[#This Row],[Aten &lt; 20 seg]]/Regiones[[#This Row],[Contestadas]],"")</f>
        <v>0</v>
      </c>
      <c r="P248" s="13" t="str">
        <f>IFERROR(Regiones[[#This Row],[AHT]]*86400,"error")</f>
        <v>error</v>
      </c>
      <c r="Q248" s="13" t="str">
        <f>+VLOOKUP(Regiones[[#This Row],[Cola]],Tabla6[#Data],2,0)</f>
        <v>BUPA</v>
      </c>
      <c r="R248" s="13" t="e">
        <f>+VLOOKUP(Regiones[[#This Row],[Cola]],Tabla68[],2,0)</f>
        <v>#N/A</v>
      </c>
    </row>
    <row r="249" spans="2:18" x14ac:dyDescent="0.3">
      <c r="B249" s="6">
        <v>46205</v>
      </c>
      <c r="C249" s="14">
        <v>0.60416666666666663</v>
      </c>
      <c r="D249" t="s">
        <v>47</v>
      </c>
      <c r="E249" t="s">
        <v>18</v>
      </c>
      <c r="F249">
        <v>12</v>
      </c>
      <c r="G249">
        <v>11</v>
      </c>
      <c r="H249">
        <v>1</v>
      </c>
      <c r="I249" s="2">
        <v>0.92</v>
      </c>
      <c r="J249" s="14">
        <v>4.4444444444444444E-3</v>
      </c>
      <c r="K249" s="6">
        <f>INT(Regiones[[#This Row],[Fecha]])</f>
        <v>46205</v>
      </c>
      <c r="L249" s="10">
        <f>IFERROR(Regiones[[#This Row],[Contestadas]]/Regiones[[#This Row],[Ofrecidas]],"")</f>
        <v>0.91666666666666663</v>
      </c>
      <c r="M249" s="7">
        <f>IFERROR(Regiones[[#This Row],[Ofrecidas]]*Regiones[[#This Row],[% de nivel de servicio]],"")</f>
        <v>11.040000000000001</v>
      </c>
      <c r="N249" s="7"/>
      <c r="O249" s="12">
        <f>IFERROR(Regiones[[#This Row],[Aten &lt; 20 seg]]/Regiones[[#This Row],[Contestadas]],"")</f>
        <v>1.0036363636363637</v>
      </c>
      <c r="P249" s="13">
        <f>IFERROR(Regiones[[#This Row],[AHT]]*86400,"error")</f>
        <v>384</v>
      </c>
      <c r="Q249" s="13" t="str">
        <f>+VLOOKUP(Regiones[[#This Row],[Cola]],Tabla6[#Data],2,0)</f>
        <v>BUPA</v>
      </c>
      <c r="R249" s="13" t="e">
        <f>+VLOOKUP(Regiones[[#This Row],[Cola]],Tabla68[],2,0)</f>
        <v>#N/A</v>
      </c>
    </row>
    <row r="250" spans="2:18" x14ac:dyDescent="0.3">
      <c r="B250" s="6">
        <v>46205</v>
      </c>
      <c r="C250" s="14">
        <v>0.60416666666666663</v>
      </c>
      <c r="D250" t="s">
        <v>54</v>
      </c>
      <c r="E250" t="s">
        <v>18</v>
      </c>
      <c r="F250">
        <v>1</v>
      </c>
      <c r="G250">
        <v>1</v>
      </c>
      <c r="H250">
        <v>0</v>
      </c>
      <c r="I250" s="2">
        <v>1</v>
      </c>
      <c r="J250" s="14" t="s">
        <v>19</v>
      </c>
      <c r="K250" s="6">
        <f>INT(Regiones[[#This Row],[Fecha]])</f>
        <v>46205</v>
      </c>
      <c r="L250" s="10">
        <f>IFERROR(Regiones[[#This Row],[Contestadas]]/Regiones[[#This Row],[Ofrecidas]],"")</f>
        <v>1</v>
      </c>
      <c r="M250" s="7">
        <f>IFERROR(Regiones[[#This Row],[Ofrecidas]]*Regiones[[#This Row],[% de nivel de servicio]],"")</f>
        <v>1</v>
      </c>
      <c r="N250" s="7"/>
      <c r="O250" s="12">
        <f>IFERROR(Regiones[[#This Row],[Aten &lt; 20 seg]]/Regiones[[#This Row],[Contestadas]],"")</f>
        <v>1</v>
      </c>
      <c r="P250" s="13" t="str">
        <f>IFERROR(Regiones[[#This Row],[AHT]]*86400,"error")</f>
        <v>error</v>
      </c>
      <c r="Q250" s="13" t="str">
        <f>+VLOOKUP(Regiones[[#This Row],[Cola]],Tabla6[#Data],2,0)</f>
        <v>BUPA</v>
      </c>
      <c r="R250" s="13" t="e">
        <f>+VLOOKUP(Regiones[[#This Row],[Cola]],Tabla68[],2,0)</f>
        <v>#N/A</v>
      </c>
    </row>
    <row r="251" spans="2:18" x14ac:dyDescent="0.3">
      <c r="B251" s="6">
        <v>46205</v>
      </c>
      <c r="C251" s="14">
        <v>0.60416666666666663</v>
      </c>
      <c r="D251" t="s">
        <v>49</v>
      </c>
      <c r="E251" t="s">
        <v>18</v>
      </c>
      <c r="F251">
        <v>0</v>
      </c>
      <c r="G251">
        <v>0</v>
      </c>
      <c r="H251">
        <v>0</v>
      </c>
      <c r="I251" s="2" t="s">
        <v>20</v>
      </c>
      <c r="J251" s="14">
        <v>2.3958333333333331E-3</v>
      </c>
      <c r="K251" s="6">
        <f>INT(Regiones[[#This Row],[Fecha]])</f>
        <v>46205</v>
      </c>
      <c r="L251" s="10" t="str">
        <f>IFERROR(Regiones[[#This Row],[Contestadas]]/Regiones[[#This Row],[Ofrecidas]],"")</f>
        <v/>
      </c>
      <c r="M251" s="7" t="str">
        <f>IFERROR(Regiones[[#This Row],[Ofrecidas]]*Regiones[[#This Row],[% de nivel de servicio]],"")</f>
        <v/>
      </c>
      <c r="N251" s="7"/>
      <c r="O251" s="12" t="str">
        <f>IFERROR(Regiones[[#This Row],[Aten &lt; 20 seg]]/Regiones[[#This Row],[Contestadas]],"")</f>
        <v/>
      </c>
      <c r="P251" s="13">
        <f>IFERROR(Regiones[[#This Row],[AHT]]*86400,"error")</f>
        <v>206.99999999999997</v>
      </c>
      <c r="Q251" s="13" t="str">
        <f>+VLOOKUP(Regiones[[#This Row],[Cola]],Tabla6[#Data],2,0)</f>
        <v>BUPA</v>
      </c>
      <c r="R251" s="13" t="e">
        <f>+VLOOKUP(Regiones[[#This Row],[Cola]],Tabla68[],2,0)</f>
        <v>#N/A</v>
      </c>
    </row>
    <row r="252" spans="2:18" x14ac:dyDescent="0.3">
      <c r="B252" s="6">
        <v>46205</v>
      </c>
      <c r="C252" s="14">
        <v>0.60416666666666663</v>
      </c>
      <c r="D252" t="s">
        <v>48</v>
      </c>
      <c r="E252" t="s">
        <v>18</v>
      </c>
      <c r="F252">
        <v>5</v>
      </c>
      <c r="G252">
        <v>5</v>
      </c>
      <c r="H252">
        <v>0</v>
      </c>
      <c r="I252" s="2">
        <v>1</v>
      </c>
      <c r="J252" s="14">
        <v>5.0462962962962961E-3</v>
      </c>
      <c r="K252" s="6">
        <f>INT(Regiones[[#This Row],[Fecha]])</f>
        <v>46205</v>
      </c>
      <c r="L252" s="10">
        <f>IFERROR(Regiones[[#This Row],[Contestadas]]/Regiones[[#This Row],[Ofrecidas]],"")</f>
        <v>1</v>
      </c>
      <c r="M252" s="7">
        <f>IFERROR(Regiones[[#This Row],[Ofrecidas]]*Regiones[[#This Row],[% de nivel de servicio]],"")</f>
        <v>5</v>
      </c>
      <c r="N252" s="7"/>
      <c r="O252" s="12">
        <f>IFERROR(Regiones[[#This Row],[Aten &lt; 20 seg]]/Regiones[[#This Row],[Contestadas]],"")</f>
        <v>1</v>
      </c>
      <c r="P252" s="13">
        <f>IFERROR(Regiones[[#This Row],[AHT]]*86400,"error")</f>
        <v>436</v>
      </c>
      <c r="Q252" s="13" t="str">
        <f>+VLOOKUP(Regiones[[#This Row],[Cola]],Tabla6[#Data],2,0)</f>
        <v>BUPA</v>
      </c>
      <c r="R252" s="13" t="e">
        <f>+VLOOKUP(Regiones[[#This Row],[Cola]],Tabla68[],2,0)</f>
        <v>#N/A</v>
      </c>
    </row>
    <row r="253" spans="2:18" x14ac:dyDescent="0.3">
      <c r="B253" s="6">
        <v>46205</v>
      </c>
      <c r="C253" s="14">
        <v>0.625</v>
      </c>
      <c r="D253" t="s">
        <v>48</v>
      </c>
      <c r="E253" t="s">
        <v>18</v>
      </c>
      <c r="F253">
        <v>1</v>
      </c>
      <c r="G253">
        <v>1</v>
      </c>
      <c r="H253">
        <v>0</v>
      </c>
      <c r="I253" s="2">
        <v>1</v>
      </c>
      <c r="J253" s="14">
        <v>5.8217592592592592E-3</v>
      </c>
      <c r="K253" s="6">
        <f>INT(Regiones[[#This Row],[Fecha]])</f>
        <v>46205</v>
      </c>
      <c r="L253" s="10">
        <f>IFERROR(Regiones[[#This Row],[Contestadas]]/Regiones[[#This Row],[Ofrecidas]],"")</f>
        <v>1</v>
      </c>
      <c r="M253" s="7">
        <f>IFERROR(Regiones[[#This Row],[Ofrecidas]]*Regiones[[#This Row],[% de nivel de servicio]],"")</f>
        <v>1</v>
      </c>
      <c r="N253" s="7"/>
      <c r="O253" s="12">
        <f>IFERROR(Regiones[[#This Row],[Aten &lt; 20 seg]]/Regiones[[#This Row],[Contestadas]],"")</f>
        <v>1</v>
      </c>
      <c r="P253" s="13">
        <f>IFERROR(Regiones[[#This Row],[AHT]]*86400,"error")</f>
        <v>503</v>
      </c>
      <c r="Q253" s="13" t="str">
        <f>+VLOOKUP(Regiones[[#This Row],[Cola]],Tabla6[#Data],2,0)</f>
        <v>BUPA</v>
      </c>
      <c r="R253" s="13" t="e">
        <f>+VLOOKUP(Regiones[[#This Row],[Cola]],Tabla68[],2,0)</f>
        <v>#N/A</v>
      </c>
    </row>
    <row r="254" spans="2:18" x14ac:dyDescent="0.3">
      <c r="B254" s="6">
        <v>46205</v>
      </c>
      <c r="C254" s="14">
        <v>0.625</v>
      </c>
      <c r="D254" t="s">
        <v>54</v>
      </c>
      <c r="E254" t="s">
        <v>18</v>
      </c>
      <c r="F254">
        <v>2</v>
      </c>
      <c r="G254">
        <v>2</v>
      </c>
      <c r="H254">
        <v>0</v>
      </c>
      <c r="I254" s="2">
        <v>1</v>
      </c>
      <c r="J254" s="14">
        <v>9.6759259259259264E-3</v>
      </c>
      <c r="K254" s="6">
        <f>INT(Regiones[[#This Row],[Fecha]])</f>
        <v>46205</v>
      </c>
      <c r="L254" s="10">
        <f>IFERROR(Regiones[[#This Row],[Contestadas]]/Regiones[[#This Row],[Ofrecidas]],"")</f>
        <v>1</v>
      </c>
      <c r="M254" s="7">
        <f>IFERROR(Regiones[[#This Row],[Ofrecidas]]*Regiones[[#This Row],[% de nivel de servicio]],"")</f>
        <v>2</v>
      </c>
      <c r="N254" s="7"/>
      <c r="O254" s="12">
        <f>IFERROR(Regiones[[#This Row],[Aten &lt; 20 seg]]/Regiones[[#This Row],[Contestadas]],"")</f>
        <v>1</v>
      </c>
      <c r="P254" s="13">
        <f>IFERROR(Regiones[[#This Row],[AHT]]*86400,"error")</f>
        <v>836</v>
      </c>
      <c r="Q254" s="13" t="str">
        <f>+VLOOKUP(Regiones[[#This Row],[Cola]],Tabla6[#Data],2,0)</f>
        <v>BUPA</v>
      </c>
      <c r="R254" s="13" t="e">
        <f>+VLOOKUP(Regiones[[#This Row],[Cola]],Tabla68[],2,0)</f>
        <v>#N/A</v>
      </c>
    </row>
    <row r="255" spans="2:18" x14ac:dyDescent="0.3">
      <c r="B255" s="6">
        <v>46205</v>
      </c>
      <c r="C255" s="14">
        <v>0.625</v>
      </c>
      <c r="D255" t="s">
        <v>49</v>
      </c>
      <c r="E255" t="s">
        <v>18</v>
      </c>
      <c r="F255">
        <v>2</v>
      </c>
      <c r="G255">
        <v>2</v>
      </c>
      <c r="H255">
        <v>0</v>
      </c>
      <c r="I255" s="2">
        <v>1</v>
      </c>
      <c r="J255" s="14">
        <v>3.9467592592592592E-3</v>
      </c>
      <c r="K255" s="6">
        <f>INT(Regiones[[#This Row],[Fecha]])</f>
        <v>46205</v>
      </c>
      <c r="L255" s="10">
        <f>IFERROR(Regiones[[#This Row],[Contestadas]]/Regiones[[#This Row],[Ofrecidas]],"")</f>
        <v>1</v>
      </c>
      <c r="M255" s="7">
        <f>IFERROR(Regiones[[#This Row],[Ofrecidas]]*Regiones[[#This Row],[% de nivel de servicio]],"")</f>
        <v>2</v>
      </c>
      <c r="N255" s="7"/>
      <c r="O255" s="12">
        <f>IFERROR(Regiones[[#This Row],[Aten &lt; 20 seg]]/Regiones[[#This Row],[Contestadas]],"")</f>
        <v>1</v>
      </c>
      <c r="P255" s="13">
        <f>IFERROR(Regiones[[#This Row],[AHT]]*86400,"error")</f>
        <v>341</v>
      </c>
      <c r="Q255" s="13" t="str">
        <f>+VLOOKUP(Regiones[[#This Row],[Cola]],Tabla6[#Data],2,0)</f>
        <v>BUPA</v>
      </c>
      <c r="R255" s="13" t="e">
        <f>+VLOOKUP(Regiones[[#This Row],[Cola]],Tabla68[],2,0)</f>
        <v>#N/A</v>
      </c>
    </row>
    <row r="256" spans="2:18" x14ac:dyDescent="0.3">
      <c r="B256" s="6">
        <v>46205</v>
      </c>
      <c r="C256" s="14">
        <v>0.625</v>
      </c>
      <c r="D256" t="s">
        <v>46</v>
      </c>
      <c r="E256" t="s">
        <v>18</v>
      </c>
      <c r="F256">
        <v>4</v>
      </c>
      <c r="G256">
        <v>4</v>
      </c>
      <c r="H256">
        <v>0</v>
      </c>
      <c r="I256" s="2">
        <v>1</v>
      </c>
      <c r="J256" s="14">
        <v>7.3032407407407404E-3</v>
      </c>
      <c r="K256" s="6">
        <f>INT(Regiones[[#This Row],[Fecha]])</f>
        <v>46205</v>
      </c>
      <c r="L256" s="10">
        <f>IFERROR(Regiones[[#This Row],[Contestadas]]/Regiones[[#This Row],[Ofrecidas]],"")</f>
        <v>1</v>
      </c>
      <c r="M256" s="7">
        <f>IFERROR(Regiones[[#This Row],[Ofrecidas]]*Regiones[[#This Row],[% de nivel de servicio]],"")</f>
        <v>4</v>
      </c>
      <c r="N256" s="7"/>
      <c r="O256" s="12">
        <f>IFERROR(Regiones[[#This Row],[Aten &lt; 20 seg]]/Regiones[[#This Row],[Contestadas]],"")</f>
        <v>1</v>
      </c>
      <c r="P256" s="13">
        <f>IFERROR(Regiones[[#This Row],[AHT]]*86400,"error")</f>
        <v>631</v>
      </c>
      <c r="Q256" s="13" t="str">
        <f>+VLOOKUP(Regiones[[#This Row],[Cola]],Tabla6[#Data],2,0)</f>
        <v>BUPA</v>
      </c>
      <c r="R256" s="13" t="e">
        <f>+VLOOKUP(Regiones[[#This Row],[Cola]],Tabla68[],2,0)</f>
        <v>#N/A</v>
      </c>
    </row>
    <row r="257" spans="2:18" x14ac:dyDescent="0.3">
      <c r="B257" s="6">
        <v>46205</v>
      </c>
      <c r="C257" s="14">
        <v>0.625</v>
      </c>
      <c r="D257" t="s">
        <v>52</v>
      </c>
      <c r="E257" t="s">
        <v>18</v>
      </c>
      <c r="F257">
        <v>1</v>
      </c>
      <c r="G257">
        <v>1</v>
      </c>
      <c r="H257">
        <v>0</v>
      </c>
      <c r="I257" s="2">
        <v>0</v>
      </c>
      <c r="J257" s="14">
        <v>4.8495370370370368E-3</v>
      </c>
      <c r="K257" s="6">
        <f>INT(Regiones[[#This Row],[Fecha]])</f>
        <v>46205</v>
      </c>
      <c r="L257" s="10">
        <f>IFERROR(Regiones[[#This Row],[Contestadas]]/Regiones[[#This Row],[Ofrecidas]],"")</f>
        <v>1</v>
      </c>
      <c r="M257" s="7">
        <f>IFERROR(Regiones[[#This Row],[Ofrecidas]]*Regiones[[#This Row],[% de nivel de servicio]],"")</f>
        <v>0</v>
      </c>
      <c r="N257" s="7"/>
      <c r="O257" s="12">
        <f>IFERROR(Regiones[[#This Row],[Aten &lt; 20 seg]]/Regiones[[#This Row],[Contestadas]],"")</f>
        <v>0</v>
      </c>
      <c r="P257" s="13">
        <f>IFERROR(Regiones[[#This Row],[AHT]]*86400,"error")</f>
        <v>419</v>
      </c>
      <c r="Q257" s="13" t="str">
        <f>+VLOOKUP(Regiones[[#This Row],[Cola]],Tabla6[#Data],2,0)</f>
        <v>BUPA</v>
      </c>
      <c r="R257" s="13" t="e">
        <f>+VLOOKUP(Regiones[[#This Row],[Cola]],Tabla68[],2,0)</f>
        <v>#N/A</v>
      </c>
    </row>
    <row r="258" spans="2:18" x14ac:dyDescent="0.3">
      <c r="B258" s="6">
        <v>46205</v>
      </c>
      <c r="C258" s="14">
        <v>0.625</v>
      </c>
      <c r="D258" t="s">
        <v>50</v>
      </c>
      <c r="E258" t="s">
        <v>18</v>
      </c>
      <c r="F258">
        <v>2</v>
      </c>
      <c r="G258">
        <v>2</v>
      </c>
      <c r="H258">
        <v>0</v>
      </c>
      <c r="I258" s="2">
        <v>1</v>
      </c>
      <c r="J258" s="14">
        <v>2.4652777777777776E-3</v>
      </c>
      <c r="K258" s="6">
        <f>INT(Regiones[[#This Row],[Fecha]])</f>
        <v>46205</v>
      </c>
      <c r="L258" s="10">
        <f>IFERROR(Regiones[[#This Row],[Contestadas]]/Regiones[[#This Row],[Ofrecidas]],"")</f>
        <v>1</v>
      </c>
      <c r="M258" s="7">
        <f>IFERROR(Regiones[[#This Row],[Ofrecidas]]*Regiones[[#This Row],[% de nivel de servicio]],"")</f>
        <v>2</v>
      </c>
      <c r="N258" s="7"/>
      <c r="O258" s="12">
        <f>IFERROR(Regiones[[#This Row],[Aten &lt; 20 seg]]/Regiones[[#This Row],[Contestadas]],"")</f>
        <v>1</v>
      </c>
      <c r="P258" s="13">
        <f>IFERROR(Regiones[[#This Row],[AHT]]*86400,"error")</f>
        <v>212.99999999999997</v>
      </c>
      <c r="Q258" s="13" t="str">
        <f>+VLOOKUP(Regiones[[#This Row],[Cola]],Tabla6[#Data],2,0)</f>
        <v>BUPA</v>
      </c>
      <c r="R258" s="13" t="e">
        <f>+VLOOKUP(Regiones[[#This Row],[Cola]],Tabla68[],2,0)</f>
        <v>#N/A</v>
      </c>
    </row>
    <row r="259" spans="2:18" x14ac:dyDescent="0.3">
      <c r="B259" s="6">
        <v>46205</v>
      </c>
      <c r="C259" s="14">
        <v>0.625</v>
      </c>
      <c r="D259" t="s">
        <v>57</v>
      </c>
      <c r="E259" t="s">
        <v>18</v>
      </c>
      <c r="F259">
        <v>0</v>
      </c>
      <c r="G259">
        <v>0</v>
      </c>
      <c r="H259">
        <v>0</v>
      </c>
      <c r="I259" s="2" t="s">
        <v>20</v>
      </c>
      <c r="J259" s="14">
        <v>6.9212962962962961E-3</v>
      </c>
      <c r="K259" s="6">
        <f>INT(Regiones[[#This Row],[Fecha]])</f>
        <v>46205</v>
      </c>
      <c r="L259" s="10" t="str">
        <f>IFERROR(Regiones[[#This Row],[Contestadas]]/Regiones[[#This Row],[Ofrecidas]],"")</f>
        <v/>
      </c>
      <c r="M259" s="7" t="str">
        <f>IFERROR(Regiones[[#This Row],[Ofrecidas]]*Regiones[[#This Row],[% de nivel de servicio]],"")</f>
        <v/>
      </c>
      <c r="N259" s="7"/>
      <c r="O259" s="12" t="str">
        <f>IFERROR(Regiones[[#This Row],[Aten &lt; 20 seg]]/Regiones[[#This Row],[Contestadas]],"")</f>
        <v/>
      </c>
      <c r="P259" s="13">
        <f>IFERROR(Regiones[[#This Row],[AHT]]*86400,"error")</f>
        <v>598</v>
      </c>
      <c r="Q259" s="13" t="str">
        <f>+VLOOKUP(Regiones[[#This Row],[Cola]],Tabla6[#Data],2,0)</f>
        <v>BUPA</v>
      </c>
      <c r="R259" s="13" t="e">
        <f>+VLOOKUP(Regiones[[#This Row],[Cola]],Tabla68[],2,0)</f>
        <v>#N/A</v>
      </c>
    </row>
    <row r="260" spans="2:18" x14ac:dyDescent="0.3">
      <c r="B260" s="6">
        <v>46205</v>
      </c>
      <c r="C260" s="14">
        <v>0.625</v>
      </c>
      <c r="D260" t="s">
        <v>47</v>
      </c>
      <c r="E260" t="s">
        <v>18</v>
      </c>
      <c r="F260">
        <v>10</v>
      </c>
      <c r="G260">
        <v>10</v>
      </c>
      <c r="H260">
        <v>0</v>
      </c>
      <c r="I260" s="2">
        <v>1</v>
      </c>
      <c r="J260" s="14">
        <v>5.4282407407407404E-3</v>
      </c>
      <c r="K260" s="6">
        <f>INT(Regiones[[#This Row],[Fecha]])</f>
        <v>46205</v>
      </c>
      <c r="L260" s="10">
        <f>IFERROR(Regiones[[#This Row],[Contestadas]]/Regiones[[#This Row],[Ofrecidas]],"")</f>
        <v>1</v>
      </c>
      <c r="M260" s="7">
        <f>IFERROR(Regiones[[#This Row],[Ofrecidas]]*Regiones[[#This Row],[% de nivel de servicio]],"")</f>
        <v>10</v>
      </c>
      <c r="N260" s="7"/>
      <c r="O260" s="12">
        <f>IFERROR(Regiones[[#This Row],[Aten &lt; 20 seg]]/Regiones[[#This Row],[Contestadas]],"")</f>
        <v>1</v>
      </c>
      <c r="P260" s="13">
        <f>IFERROR(Regiones[[#This Row],[AHT]]*86400,"error")</f>
        <v>469</v>
      </c>
      <c r="Q260" s="13" t="str">
        <f>+VLOOKUP(Regiones[[#This Row],[Cola]],Tabla6[#Data],2,0)</f>
        <v>BUPA</v>
      </c>
      <c r="R260" s="13" t="e">
        <f>+VLOOKUP(Regiones[[#This Row],[Cola]],Tabla68[],2,0)</f>
        <v>#N/A</v>
      </c>
    </row>
    <row r="261" spans="2:18" x14ac:dyDescent="0.3">
      <c r="B261" s="6">
        <v>46205</v>
      </c>
      <c r="C261" s="14">
        <v>0.625</v>
      </c>
      <c r="D261" t="s">
        <v>56</v>
      </c>
      <c r="E261" t="s">
        <v>18</v>
      </c>
      <c r="F261">
        <v>1</v>
      </c>
      <c r="G261">
        <v>1</v>
      </c>
      <c r="H261">
        <v>0</v>
      </c>
      <c r="I261" s="2">
        <v>1</v>
      </c>
      <c r="J261" s="14" t="s">
        <v>19</v>
      </c>
      <c r="K261" s="6">
        <f>INT(Regiones[[#This Row],[Fecha]])</f>
        <v>46205</v>
      </c>
      <c r="L261" s="10">
        <f>IFERROR(Regiones[[#This Row],[Contestadas]]/Regiones[[#This Row],[Ofrecidas]],"")</f>
        <v>1</v>
      </c>
      <c r="M261" s="7">
        <f>IFERROR(Regiones[[#This Row],[Ofrecidas]]*Regiones[[#This Row],[% de nivel de servicio]],"")</f>
        <v>1</v>
      </c>
      <c r="N261" s="7"/>
      <c r="O261" s="12">
        <f>IFERROR(Regiones[[#This Row],[Aten &lt; 20 seg]]/Regiones[[#This Row],[Contestadas]],"")</f>
        <v>1</v>
      </c>
      <c r="P261" s="13" t="str">
        <f>IFERROR(Regiones[[#This Row],[AHT]]*86400,"error")</f>
        <v>error</v>
      </c>
      <c r="Q261" s="13" t="str">
        <f>+VLOOKUP(Regiones[[#This Row],[Cola]],Tabla6[#Data],2,0)</f>
        <v>BUPA</v>
      </c>
      <c r="R261" s="13" t="e">
        <f>+VLOOKUP(Regiones[[#This Row],[Cola]],Tabla68[],2,0)</f>
        <v>#N/A</v>
      </c>
    </row>
    <row r="262" spans="2:18" x14ac:dyDescent="0.3">
      <c r="B262" s="6">
        <v>46205</v>
      </c>
      <c r="C262" s="14">
        <v>0.625</v>
      </c>
      <c r="D262" t="s">
        <v>53</v>
      </c>
      <c r="E262" t="s">
        <v>18</v>
      </c>
      <c r="F262">
        <v>2</v>
      </c>
      <c r="G262">
        <v>2</v>
      </c>
      <c r="H262">
        <v>0</v>
      </c>
      <c r="I262" s="2">
        <v>1</v>
      </c>
      <c r="J262" s="14">
        <v>9.0624999999999994E-3</v>
      </c>
      <c r="K262" s="6">
        <f>INT(Regiones[[#This Row],[Fecha]])</f>
        <v>46205</v>
      </c>
      <c r="L262" s="10">
        <f>IFERROR(Regiones[[#This Row],[Contestadas]]/Regiones[[#This Row],[Ofrecidas]],"")</f>
        <v>1</v>
      </c>
      <c r="M262" s="7">
        <f>IFERROR(Regiones[[#This Row],[Ofrecidas]]*Regiones[[#This Row],[% de nivel de servicio]],"")</f>
        <v>2</v>
      </c>
      <c r="N262" s="7"/>
      <c r="O262" s="12">
        <f>IFERROR(Regiones[[#This Row],[Aten &lt; 20 seg]]/Regiones[[#This Row],[Contestadas]],"")</f>
        <v>1</v>
      </c>
      <c r="P262" s="13">
        <f>IFERROR(Regiones[[#This Row],[AHT]]*86400,"error")</f>
        <v>783</v>
      </c>
      <c r="Q262" s="13" t="str">
        <f>+VLOOKUP(Regiones[[#This Row],[Cola]],Tabla6[#Data],2,0)</f>
        <v>BUPA</v>
      </c>
      <c r="R262" s="13" t="e">
        <f>+VLOOKUP(Regiones[[#This Row],[Cola]],Tabla68[],2,0)</f>
        <v>#N/A</v>
      </c>
    </row>
    <row r="263" spans="2:18" x14ac:dyDescent="0.3">
      <c r="B263" s="6">
        <v>46205</v>
      </c>
      <c r="C263" s="14">
        <v>0.64583333333333337</v>
      </c>
      <c r="D263" t="s">
        <v>53</v>
      </c>
      <c r="E263" t="s">
        <v>18</v>
      </c>
      <c r="F263">
        <v>1</v>
      </c>
      <c r="G263">
        <v>1</v>
      </c>
      <c r="H263">
        <v>0</v>
      </c>
      <c r="I263" s="2">
        <v>1</v>
      </c>
      <c r="J263" s="14">
        <v>3.2986111111111111E-3</v>
      </c>
      <c r="K263" s="6">
        <f>INT(Regiones[[#This Row],[Fecha]])</f>
        <v>46205</v>
      </c>
      <c r="L263" s="10">
        <f>IFERROR(Regiones[[#This Row],[Contestadas]]/Regiones[[#This Row],[Ofrecidas]],"")</f>
        <v>1</v>
      </c>
      <c r="M263" s="7">
        <f>IFERROR(Regiones[[#This Row],[Ofrecidas]]*Regiones[[#This Row],[% de nivel de servicio]],"")</f>
        <v>1</v>
      </c>
      <c r="N263" s="7"/>
      <c r="O263" s="12">
        <f>IFERROR(Regiones[[#This Row],[Aten &lt; 20 seg]]/Regiones[[#This Row],[Contestadas]],"")</f>
        <v>1</v>
      </c>
      <c r="P263" s="13">
        <f>IFERROR(Regiones[[#This Row],[AHT]]*86400,"error")</f>
        <v>285</v>
      </c>
      <c r="Q263" s="13" t="str">
        <f>+VLOOKUP(Regiones[[#This Row],[Cola]],Tabla6[#Data],2,0)</f>
        <v>BUPA</v>
      </c>
      <c r="R263" s="13" t="e">
        <f>+VLOOKUP(Regiones[[#This Row],[Cola]],Tabla68[],2,0)</f>
        <v>#N/A</v>
      </c>
    </row>
    <row r="264" spans="2:18" x14ac:dyDescent="0.3">
      <c r="B264" s="6">
        <v>46205</v>
      </c>
      <c r="C264" s="14">
        <v>0.64583333333333337</v>
      </c>
      <c r="D264" t="s">
        <v>56</v>
      </c>
      <c r="E264" t="s">
        <v>18</v>
      </c>
      <c r="F264">
        <v>0</v>
      </c>
      <c r="G264">
        <v>0</v>
      </c>
      <c r="H264">
        <v>0</v>
      </c>
      <c r="I264" s="2" t="s">
        <v>20</v>
      </c>
      <c r="J264" s="14">
        <v>1.1886574074074074E-2</v>
      </c>
      <c r="K264" s="6">
        <f>INT(Regiones[[#This Row],[Fecha]])</f>
        <v>46205</v>
      </c>
      <c r="L264" s="10" t="str">
        <f>IFERROR(Regiones[[#This Row],[Contestadas]]/Regiones[[#This Row],[Ofrecidas]],"")</f>
        <v/>
      </c>
      <c r="M264" s="7" t="str">
        <f>IFERROR(Regiones[[#This Row],[Ofrecidas]]*Regiones[[#This Row],[% de nivel de servicio]],"")</f>
        <v/>
      </c>
      <c r="N264" s="7"/>
      <c r="O264" s="12" t="str">
        <f>IFERROR(Regiones[[#This Row],[Aten &lt; 20 seg]]/Regiones[[#This Row],[Contestadas]],"")</f>
        <v/>
      </c>
      <c r="P264" s="13">
        <f>IFERROR(Regiones[[#This Row],[AHT]]*86400,"error")</f>
        <v>1027</v>
      </c>
      <c r="Q264" s="13" t="str">
        <f>+VLOOKUP(Regiones[[#This Row],[Cola]],Tabla6[#Data],2,0)</f>
        <v>BUPA</v>
      </c>
      <c r="R264" s="13" t="e">
        <f>+VLOOKUP(Regiones[[#This Row],[Cola]],Tabla68[],2,0)</f>
        <v>#N/A</v>
      </c>
    </row>
    <row r="265" spans="2:18" x14ac:dyDescent="0.3">
      <c r="B265" s="6">
        <v>46205</v>
      </c>
      <c r="C265" s="14">
        <v>0.64583333333333337</v>
      </c>
      <c r="D265" t="s">
        <v>47</v>
      </c>
      <c r="E265" t="s">
        <v>18</v>
      </c>
      <c r="F265">
        <v>12</v>
      </c>
      <c r="G265">
        <v>12</v>
      </c>
      <c r="H265">
        <v>0</v>
      </c>
      <c r="I265" s="2">
        <v>0.83</v>
      </c>
      <c r="J265" s="14">
        <v>6.2384259259259259E-3</v>
      </c>
      <c r="K265" s="6">
        <f>INT(Regiones[[#This Row],[Fecha]])</f>
        <v>46205</v>
      </c>
      <c r="L265" s="10">
        <f>IFERROR(Regiones[[#This Row],[Contestadas]]/Regiones[[#This Row],[Ofrecidas]],"")</f>
        <v>1</v>
      </c>
      <c r="M265" s="7">
        <f>IFERROR(Regiones[[#This Row],[Ofrecidas]]*Regiones[[#This Row],[% de nivel de servicio]],"")</f>
        <v>9.9599999999999991</v>
      </c>
      <c r="N265" s="7"/>
      <c r="O265" s="12">
        <f>IFERROR(Regiones[[#This Row],[Aten &lt; 20 seg]]/Regiones[[#This Row],[Contestadas]],"")</f>
        <v>0.83</v>
      </c>
      <c r="P265" s="13">
        <f>IFERROR(Regiones[[#This Row],[AHT]]*86400,"error")</f>
        <v>539</v>
      </c>
      <c r="Q265" s="13" t="str">
        <f>+VLOOKUP(Regiones[[#This Row],[Cola]],Tabla6[#Data],2,0)</f>
        <v>BUPA</v>
      </c>
      <c r="R265" s="13" t="e">
        <f>+VLOOKUP(Regiones[[#This Row],[Cola]],Tabla68[],2,0)</f>
        <v>#N/A</v>
      </c>
    </row>
    <row r="266" spans="2:18" x14ac:dyDescent="0.3">
      <c r="B266" s="6">
        <v>46205</v>
      </c>
      <c r="C266" s="14">
        <v>0.64583333333333337</v>
      </c>
      <c r="D266" t="s">
        <v>54</v>
      </c>
      <c r="E266" t="s">
        <v>18</v>
      </c>
      <c r="F266">
        <v>2</v>
      </c>
      <c r="G266">
        <v>2</v>
      </c>
      <c r="H266">
        <v>0</v>
      </c>
      <c r="I266" s="2">
        <v>0.5</v>
      </c>
      <c r="J266" s="14">
        <v>2.7777777777777779E-3</v>
      </c>
      <c r="K266" s="6">
        <f>INT(Regiones[[#This Row],[Fecha]])</f>
        <v>46205</v>
      </c>
      <c r="L266" s="10">
        <f>IFERROR(Regiones[[#This Row],[Contestadas]]/Regiones[[#This Row],[Ofrecidas]],"")</f>
        <v>1</v>
      </c>
      <c r="M266" s="7">
        <f>IFERROR(Regiones[[#This Row],[Ofrecidas]]*Regiones[[#This Row],[% de nivel de servicio]],"")</f>
        <v>1</v>
      </c>
      <c r="N266" s="7"/>
      <c r="O266" s="12">
        <f>IFERROR(Regiones[[#This Row],[Aten &lt; 20 seg]]/Regiones[[#This Row],[Contestadas]],"")</f>
        <v>0.5</v>
      </c>
      <c r="P266" s="13">
        <f>IFERROR(Regiones[[#This Row],[AHT]]*86400,"error")</f>
        <v>240</v>
      </c>
      <c r="Q266" s="13" t="str">
        <f>+VLOOKUP(Regiones[[#This Row],[Cola]],Tabla6[#Data],2,0)</f>
        <v>BUPA</v>
      </c>
      <c r="R266" s="13" t="e">
        <f>+VLOOKUP(Regiones[[#This Row],[Cola]],Tabla68[],2,0)</f>
        <v>#N/A</v>
      </c>
    </row>
    <row r="267" spans="2:18" x14ac:dyDescent="0.3">
      <c r="B267" s="6">
        <v>46205</v>
      </c>
      <c r="C267" s="14">
        <v>0.64583333333333337</v>
      </c>
      <c r="D267" t="s">
        <v>49</v>
      </c>
      <c r="E267" t="s">
        <v>18</v>
      </c>
      <c r="F267">
        <v>2</v>
      </c>
      <c r="G267">
        <v>2</v>
      </c>
      <c r="H267">
        <v>0</v>
      </c>
      <c r="I267" s="2">
        <v>1</v>
      </c>
      <c r="J267" s="14">
        <v>3.5416666666666665E-3</v>
      </c>
      <c r="K267" s="6">
        <f>INT(Regiones[[#This Row],[Fecha]])</f>
        <v>46205</v>
      </c>
      <c r="L267" s="10">
        <f>IFERROR(Regiones[[#This Row],[Contestadas]]/Regiones[[#This Row],[Ofrecidas]],"")</f>
        <v>1</v>
      </c>
      <c r="M267" s="7">
        <f>IFERROR(Regiones[[#This Row],[Ofrecidas]]*Regiones[[#This Row],[% de nivel de servicio]],"")</f>
        <v>2</v>
      </c>
      <c r="N267" s="7"/>
      <c r="O267" s="12">
        <f>IFERROR(Regiones[[#This Row],[Aten &lt; 20 seg]]/Regiones[[#This Row],[Contestadas]],"")</f>
        <v>1</v>
      </c>
      <c r="P267" s="13">
        <f>IFERROR(Regiones[[#This Row],[AHT]]*86400,"error")</f>
        <v>306</v>
      </c>
      <c r="Q267" s="13" t="str">
        <f>+VLOOKUP(Regiones[[#This Row],[Cola]],Tabla6[#Data],2,0)</f>
        <v>BUPA</v>
      </c>
      <c r="R267" s="13" t="e">
        <f>+VLOOKUP(Regiones[[#This Row],[Cola]],Tabla68[],2,0)</f>
        <v>#N/A</v>
      </c>
    </row>
    <row r="268" spans="2:18" x14ac:dyDescent="0.3">
      <c r="B268" s="6">
        <v>46205</v>
      </c>
      <c r="C268" s="14">
        <v>0.64583333333333337</v>
      </c>
      <c r="D268" t="s">
        <v>48</v>
      </c>
      <c r="E268" t="s">
        <v>18</v>
      </c>
      <c r="F268">
        <v>4</v>
      </c>
      <c r="G268">
        <v>4</v>
      </c>
      <c r="H268">
        <v>0</v>
      </c>
      <c r="I268" s="2">
        <v>1</v>
      </c>
      <c r="J268" s="14">
        <v>3.8194444444444443E-3</v>
      </c>
      <c r="K268" s="6">
        <f>INT(Regiones[[#This Row],[Fecha]])</f>
        <v>46205</v>
      </c>
      <c r="L268" s="10">
        <f>IFERROR(Regiones[[#This Row],[Contestadas]]/Regiones[[#This Row],[Ofrecidas]],"")</f>
        <v>1</v>
      </c>
      <c r="M268" s="7">
        <f>IFERROR(Regiones[[#This Row],[Ofrecidas]]*Regiones[[#This Row],[% de nivel de servicio]],"")</f>
        <v>4</v>
      </c>
      <c r="N268" s="7"/>
      <c r="O268" s="12">
        <f>IFERROR(Regiones[[#This Row],[Aten &lt; 20 seg]]/Regiones[[#This Row],[Contestadas]],"")</f>
        <v>1</v>
      </c>
      <c r="P268" s="13">
        <f>IFERROR(Regiones[[#This Row],[AHT]]*86400,"error")</f>
        <v>330</v>
      </c>
      <c r="Q268" s="13" t="str">
        <f>+VLOOKUP(Regiones[[#This Row],[Cola]],Tabla6[#Data],2,0)</f>
        <v>BUPA</v>
      </c>
      <c r="R268" s="13" t="e">
        <f>+VLOOKUP(Regiones[[#This Row],[Cola]],Tabla68[],2,0)</f>
        <v>#N/A</v>
      </c>
    </row>
    <row r="269" spans="2:18" x14ac:dyDescent="0.3">
      <c r="B269" s="6">
        <v>46205</v>
      </c>
      <c r="C269" s="14">
        <v>0.64583333333333337</v>
      </c>
      <c r="D269" t="s">
        <v>50</v>
      </c>
      <c r="E269" t="s">
        <v>18</v>
      </c>
      <c r="F269">
        <v>1</v>
      </c>
      <c r="G269">
        <v>0</v>
      </c>
      <c r="H269">
        <v>1</v>
      </c>
      <c r="I269" s="2">
        <v>0</v>
      </c>
      <c r="J269" s="14">
        <v>4.9189814814814816E-3</v>
      </c>
      <c r="K269" s="6">
        <f>INT(Regiones[[#This Row],[Fecha]])</f>
        <v>46205</v>
      </c>
      <c r="L269" s="10">
        <f>IFERROR(Regiones[[#This Row],[Contestadas]]/Regiones[[#This Row],[Ofrecidas]],"")</f>
        <v>0</v>
      </c>
      <c r="M269" s="7">
        <f>IFERROR(Regiones[[#This Row],[Ofrecidas]]*Regiones[[#This Row],[% de nivel de servicio]],"")</f>
        <v>0</v>
      </c>
      <c r="N269" s="7"/>
      <c r="O269" s="12" t="str">
        <f>IFERROR(Regiones[[#This Row],[Aten &lt; 20 seg]]/Regiones[[#This Row],[Contestadas]],"")</f>
        <v/>
      </c>
      <c r="P269" s="13">
        <f>IFERROR(Regiones[[#This Row],[AHT]]*86400,"error")</f>
        <v>425</v>
      </c>
      <c r="Q269" s="13" t="str">
        <f>+VLOOKUP(Regiones[[#This Row],[Cola]],Tabla6[#Data],2,0)</f>
        <v>BUPA</v>
      </c>
      <c r="R269" s="13" t="e">
        <f>+VLOOKUP(Regiones[[#This Row],[Cola]],Tabla68[],2,0)</f>
        <v>#N/A</v>
      </c>
    </row>
    <row r="270" spans="2:18" x14ac:dyDescent="0.3">
      <c r="B270" s="6">
        <v>46205</v>
      </c>
      <c r="C270" s="14">
        <v>0.64583333333333337</v>
      </c>
      <c r="D270" t="s">
        <v>57</v>
      </c>
      <c r="E270" t="s">
        <v>18</v>
      </c>
      <c r="F270">
        <v>1</v>
      </c>
      <c r="G270">
        <v>1</v>
      </c>
      <c r="H270">
        <v>0</v>
      </c>
      <c r="I270" s="2">
        <v>0</v>
      </c>
      <c r="J270" s="14">
        <v>4.0509259259259258E-4</v>
      </c>
      <c r="K270" s="6">
        <f>INT(Regiones[[#This Row],[Fecha]])</f>
        <v>46205</v>
      </c>
      <c r="L270" s="10">
        <f>IFERROR(Regiones[[#This Row],[Contestadas]]/Regiones[[#This Row],[Ofrecidas]],"")</f>
        <v>1</v>
      </c>
      <c r="M270" s="7">
        <f>IFERROR(Regiones[[#This Row],[Ofrecidas]]*Regiones[[#This Row],[% de nivel de servicio]],"")</f>
        <v>0</v>
      </c>
      <c r="N270" s="7"/>
      <c r="O270" s="12">
        <f>IFERROR(Regiones[[#This Row],[Aten &lt; 20 seg]]/Regiones[[#This Row],[Contestadas]],"")</f>
        <v>0</v>
      </c>
      <c r="P270" s="13">
        <f>IFERROR(Regiones[[#This Row],[AHT]]*86400,"error")</f>
        <v>35</v>
      </c>
      <c r="Q270" s="13" t="str">
        <f>+VLOOKUP(Regiones[[#This Row],[Cola]],Tabla6[#Data],2,0)</f>
        <v>BUPA</v>
      </c>
      <c r="R270" s="13" t="e">
        <f>+VLOOKUP(Regiones[[#This Row],[Cola]],Tabla68[],2,0)</f>
        <v>#N/A</v>
      </c>
    </row>
    <row r="271" spans="2:18" x14ac:dyDescent="0.3">
      <c r="B271" s="6">
        <v>46205</v>
      </c>
      <c r="C271" s="14">
        <v>0.64583333333333337</v>
      </c>
      <c r="D271" t="s">
        <v>46</v>
      </c>
      <c r="E271" t="s">
        <v>18</v>
      </c>
      <c r="F271">
        <v>5</v>
      </c>
      <c r="G271">
        <v>5</v>
      </c>
      <c r="H271">
        <v>0</v>
      </c>
      <c r="I271" s="2">
        <v>1</v>
      </c>
      <c r="J271" s="14">
        <v>4.1435185185185186E-3</v>
      </c>
      <c r="K271" s="6">
        <f>INT(Regiones[[#This Row],[Fecha]])</f>
        <v>46205</v>
      </c>
      <c r="L271" s="10">
        <f>IFERROR(Regiones[[#This Row],[Contestadas]]/Regiones[[#This Row],[Ofrecidas]],"")</f>
        <v>1</v>
      </c>
      <c r="M271" s="7">
        <f>IFERROR(Regiones[[#This Row],[Ofrecidas]]*Regiones[[#This Row],[% de nivel de servicio]],"")</f>
        <v>5</v>
      </c>
      <c r="N271" s="7"/>
      <c r="O271" s="12">
        <f>IFERROR(Regiones[[#This Row],[Aten &lt; 20 seg]]/Regiones[[#This Row],[Contestadas]],"")</f>
        <v>1</v>
      </c>
      <c r="P271" s="13">
        <f>IFERROR(Regiones[[#This Row],[AHT]]*86400,"error")</f>
        <v>358</v>
      </c>
      <c r="Q271" s="13" t="str">
        <f>+VLOOKUP(Regiones[[#This Row],[Cola]],Tabla6[#Data],2,0)</f>
        <v>BUPA</v>
      </c>
      <c r="R271" s="13" t="e">
        <f>+VLOOKUP(Regiones[[#This Row],[Cola]],Tabla68[],2,0)</f>
        <v>#N/A</v>
      </c>
    </row>
    <row r="272" spans="2:18" x14ac:dyDescent="0.3">
      <c r="B272" s="6">
        <v>46205</v>
      </c>
      <c r="C272" s="14">
        <v>0.64583333333333337</v>
      </c>
      <c r="D272" t="s">
        <v>52</v>
      </c>
      <c r="E272" t="s">
        <v>18</v>
      </c>
      <c r="F272">
        <v>2</v>
      </c>
      <c r="G272">
        <v>2</v>
      </c>
      <c r="H272">
        <v>0</v>
      </c>
      <c r="I272" s="2">
        <v>1</v>
      </c>
      <c r="J272" s="14">
        <v>5.7870370370370367E-4</v>
      </c>
      <c r="K272" s="6">
        <f>INT(Regiones[[#This Row],[Fecha]])</f>
        <v>46205</v>
      </c>
      <c r="L272" s="10">
        <f>IFERROR(Regiones[[#This Row],[Contestadas]]/Regiones[[#This Row],[Ofrecidas]],"")</f>
        <v>1</v>
      </c>
      <c r="M272" s="7">
        <f>IFERROR(Regiones[[#This Row],[Ofrecidas]]*Regiones[[#This Row],[% de nivel de servicio]],"")</f>
        <v>2</v>
      </c>
      <c r="N272" s="7"/>
      <c r="O272" s="12">
        <f>IFERROR(Regiones[[#This Row],[Aten &lt; 20 seg]]/Regiones[[#This Row],[Contestadas]],"")</f>
        <v>1</v>
      </c>
      <c r="P272" s="13">
        <f>IFERROR(Regiones[[#This Row],[AHT]]*86400,"error")</f>
        <v>50</v>
      </c>
      <c r="Q272" s="13" t="str">
        <f>+VLOOKUP(Regiones[[#This Row],[Cola]],Tabla6[#Data],2,0)</f>
        <v>BUPA</v>
      </c>
      <c r="R272" s="13" t="e">
        <f>+VLOOKUP(Regiones[[#This Row],[Cola]],Tabla68[],2,0)</f>
        <v>#N/A</v>
      </c>
    </row>
    <row r="273" spans="2:18" x14ac:dyDescent="0.3">
      <c r="B273" s="6">
        <v>46205</v>
      </c>
      <c r="C273" s="14">
        <v>0.66666666666666663</v>
      </c>
      <c r="D273" t="s">
        <v>52</v>
      </c>
      <c r="E273" t="s">
        <v>18</v>
      </c>
      <c r="F273">
        <v>0</v>
      </c>
      <c r="G273">
        <v>0</v>
      </c>
      <c r="H273">
        <v>0</v>
      </c>
      <c r="I273" s="2" t="s">
        <v>20</v>
      </c>
      <c r="J273" s="14">
        <v>5.3819444444444444E-3</v>
      </c>
      <c r="K273" s="6">
        <f>INT(Regiones[[#This Row],[Fecha]])</f>
        <v>46205</v>
      </c>
      <c r="L273" s="10" t="str">
        <f>IFERROR(Regiones[[#This Row],[Contestadas]]/Regiones[[#This Row],[Ofrecidas]],"")</f>
        <v/>
      </c>
      <c r="M273" s="7" t="str">
        <f>IFERROR(Regiones[[#This Row],[Ofrecidas]]*Regiones[[#This Row],[% de nivel de servicio]],"")</f>
        <v/>
      </c>
      <c r="N273" s="7"/>
      <c r="O273" s="12" t="str">
        <f>IFERROR(Regiones[[#This Row],[Aten &lt; 20 seg]]/Regiones[[#This Row],[Contestadas]],"")</f>
        <v/>
      </c>
      <c r="P273" s="13">
        <f>IFERROR(Regiones[[#This Row],[AHT]]*86400,"error")</f>
        <v>465</v>
      </c>
      <c r="Q273" s="13" t="str">
        <f>+VLOOKUP(Regiones[[#This Row],[Cola]],Tabla6[#Data],2,0)</f>
        <v>BUPA</v>
      </c>
      <c r="R273" s="13" t="e">
        <f>+VLOOKUP(Regiones[[#This Row],[Cola]],Tabla68[],2,0)</f>
        <v>#N/A</v>
      </c>
    </row>
    <row r="274" spans="2:18" x14ac:dyDescent="0.3">
      <c r="B274" s="6">
        <v>46205</v>
      </c>
      <c r="C274" s="14">
        <v>0.66666666666666663</v>
      </c>
      <c r="D274" t="s">
        <v>46</v>
      </c>
      <c r="E274" t="s">
        <v>18</v>
      </c>
      <c r="F274">
        <v>9</v>
      </c>
      <c r="G274">
        <v>9</v>
      </c>
      <c r="H274">
        <v>0</v>
      </c>
      <c r="I274" s="2">
        <v>1</v>
      </c>
      <c r="J274" s="14">
        <v>4.8263888888888887E-3</v>
      </c>
      <c r="K274" s="6">
        <f>INT(Regiones[[#This Row],[Fecha]])</f>
        <v>46205</v>
      </c>
      <c r="L274" s="10">
        <f>IFERROR(Regiones[[#This Row],[Contestadas]]/Regiones[[#This Row],[Ofrecidas]],"")</f>
        <v>1</v>
      </c>
      <c r="M274" s="7">
        <f>IFERROR(Regiones[[#This Row],[Ofrecidas]]*Regiones[[#This Row],[% de nivel de servicio]],"")</f>
        <v>9</v>
      </c>
      <c r="N274" s="7"/>
      <c r="O274" s="12">
        <f>IFERROR(Regiones[[#This Row],[Aten &lt; 20 seg]]/Regiones[[#This Row],[Contestadas]],"")</f>
        <v>1</v>
      </c>
      <c r="P274" s="13">
        <f>IFERROR(Regiones[[#This Row],[AHT]]*86400,"error")</f>
        <v>417</v>
      </c>
      <c r="Q274" s="13" t="str">
        <f>+VLOOKUP(Regiones[[#This Row],[Cola]],Tabla6[#Data],2,0)</f>
        <v>BUPA</v>
      </c>
      <c r="R274" s="13" t="e">
        <f>+VLOOKUP(Regiones[[#This Row],[Cola]],Tabla68[],2,0)</f>
        <v>#N/A</v>
      </c>
    </row>
    <row r="275" spans="2:18" x14ac:dyDescent="0.3">
      <c r="B275" s="6">
        <v>46205</v>
      </c>
      <c r="C275" s="14">
        <v>0.66666666666666663</v>
      </c>
      <c r="D275" t="s">
        <v>50</v>
      </c>
      <c r="E275" t="s">
        <v>18</v>
      </c>
      <c r="F275">
        <v>1</v>
      </c>
      <c r="G275">
        <v>1</v>
      </c>
      <c r="H275">
        <v>0</v>
      </c>
      <c r="I275" s="2">
        <v>1</v>
      </c>
      <c r="J275" s="14">
        <v>2.8009259259259259E-3</v>
      </c>
      <c r="K275" s="6">
        <f>INT(Regiones[[#This Row],[Fecha]])</f>
        <v>46205</v>
      </c>
      <c r="L275" s="10">
        <f>IFERROR(Regiones[[#This Row],[Contestadas]]/Regiones[[#This Row],[Ofrecidas]],"")</f>
        <v>1</v>
      </c>
      <c r="M275" s="7">
        <f>IFERROR(Regiones[[#This Row],[Ofrecidas]]*Regiones[[#This Row],[% de nivel de servicio]],"")</f>
        <v>1</v>
      </c>
      <c r="N275" s="7"/>
      <c r="O275" s="12">
        <f>IFERROR(Regiones[[#This Row],[Aten &lt; 20 seg]]/Regiones[[#This Row],[Contestadas]],"")</f>
        <v>1</v>
      </c>
      <c r="P275" s="13">
        <f>IFERROR(Regiones[[#This Row],[AHT]]*86400,"error")</f>
        <v>242</v>
      </c>
      <c r="Q275" s="13" t="str">
        <f>+VLOOKUP(Regiones[[#This Row],[Cola]],Tabla6[#Data],2,0)</f>
        <v>BUPA</v>
      </c>
      <c r="R275" s="13" t="e">
        <f>+VLOOKUP(Regiones[[#This Row],[Cola]],Tabla68[],2,0)</f>
        <v>#N/A</v>
      </c>
    </row>
    <row r="276" spans="2:18" x14ac:dyDescent="0.3">
      <c r="B276" s="6">
        <v>46205</v>
      </c>
      <c r="C276" s="14">
        <v>0.66666666666666663</v>
      </c>
      <c r="D276" t="s">
        <v>53</v>
      </c>
      <c r="E276" t="s">
        <v>18</v>
      </c>
      <c r="F276">
        <v>2</v>
      </c>
      <c r="G276">
        <v>2</v>
      </c>
      <c r="H276">
        <v>0</v>
      </c>
      <c r="I276" s="2">
        <v>0.5</v>
      </c>
      <c r="J276" s="14">
        <v>5.1504629629629626E-3</v>
      </c>
      <c r="K276" s="6">
        <f>INT(Regiones[[#This Row],[Fecha]])</f>
        <v>46205</v>
      </c>
      <c r="L276" s="10">
        <f>IFERROR(Regiones[[#This Row],[Contestadas]]/Regiones[[#This Row],[Ofrecidas]],"")</f>
        <v>1</v>
      </c>
      <c r="M276" s="7">
        <f>IFERROR(Regiones[[#This Row],[Ofrecidas]]*Regiones[[#This Row],[% de nivel de servicio]],"")</f>
        <v>1</v>
      </c>
      <c r="N276" s="7"/>
      <c r="O276" s="12">
        <f>IFERROR(Regiones[[#This Row],[Aten &lt; 20 seg]]/Regiones[[#This Row],[Contestadas]],"")</f>
        <v>0.5</v>
      </c>
      <c r="P276" s="13">
        <f>IFERROR(Regiones[[#This Row],[AHT]]*86400,"error")</f>
        <v>444.99999999999994</v>
      </c>
      <c r="Q276" s="13" t="str">
        <f>+VLOOKUP(Regiones[[#This Row],[Cola]],Tabla6[#Data],2,0)</f>
        <v>BUPA</v>
      </c>
      <c r="R276" s="13" t="e">
        <f>+VLOOKUP(Regiones[[#This Row],[Cola]],Tabla68[],2,0)</f>
        <v>#N/A</v>
      </c>
    </row>
    <row r="277" spans="2:18" x14ac:dyDescent="0.3">
      <c r="B277" s="6">
        <v>46205</v>
      </c>
      <c r="C277" s="14">
        <v>0.66666666666666663</v>
      </c>
      <c r="D277" t="s">
        <v>47</v>
      </c>
      <c r="E277" t="s">
        <v>18</v>
      </c>
      <c r="F277">
        <v>10</v>
      </c>
      <c r="G277">
        <v>10</v>
      </c>
      <c r="H277">
        <v>0</v>
      </c>
      <c r="I277" s="2">
        <v>0.9</v>
      </c>
      <c r="J277" s="14">
        <v>5.0115740740740737E-3</v>
      </c>
      <c r="K277" s="6">
        <f>INT(Regiones[[#This Row],[Fecha]])</f>
        <v>46205</v>
      </c>
      <c r="L277" s="10">
        <f>IFERROR(Regiones[[#This Row],[Contestadas]]/Regiones[[#This Row],[Ofrecidas]],"")</f>
        <v>1</v>
      </c>
      <c r="M277" s="7">
        <f>IFERROR(Regiones[[#This Row],[Ofrecidas]]*Regiones[[#This Row],[% de nivel de servicio]],"")</f>
        <v>9</v>
      </c>
      <c r="N277" s="7"/>
      <c r="O277" s="12">
        <f>IFERROR(Regiones[[#This Row],[Aten &lt; 20 seg]]/Regiones[[#This Row],[Contestadas]],"")</f>
        <v>0.9</v>
      </c>
      <c r="P277" s="13">
        <f>IFERROR(Regiones[[#This Row],[AHT]]*86400,"error")</f>
        <v>432.99999999999994</v>
      </c>
      <c r="Q277" s="13" t="str">
        <f>+VLOOKUP(Regiones[[#This Row],[Cola]],Tabla6[#Data],2,0)</f>
        <v>BUPA</v>
      </c>
      <c r="R277" s="13" t="e">
        <f>+VLOOKUP(Regiones[[#This Row],[Cola]],Tabla68[],2,0)</f>
        <v>#N/A</v>
      </c>
    </row>
    <row r="278" spans="2:18" x14ac:dyDescent="0.3">
      <c r="B278" s="6">
        <v>46205</v>
      </c>
      <c r="C278" s="14">
        <v>0.66666666666666663</v>
      </c>
      <c r="D278" t="s">
        <v>49</v>
      </c>
      <c r="E278" t="s">
        <v>18</v>
      </c>
      <c r="F278">
        <v>1</v>
      </c>
      <c r="G278">
        <v>1</v>
      </c>
      <c r="H278">
        <v>0</v>
      </c>
      <c r="I278" s="2">
        <v>1</v>
      </c>
      <c r="J278" s="14">
        <v>2.6157407407407405E-3</v>
      </c>
      <c r="K278" s="6">
        <f>INT(Regiones[[#This Row],[Fecha]])</f>
        <v>46205</v>
      </c>
      <c r="L278" s="10">
        <f>IFERROR(Regiones[[#This Row],[Contestadas]]/Regiones[[#This Row],[Ofrecidas]],"")</f>
        <v>1</v>
      </c>
      <c r="M278" s="7">
        <f>IFERROR(Regiones[[#This Row],[Ofrecidas]]*Regiones[[#This Row],[% de nivel de servicio]],"")</f>
        <v>1</v>
      </c>
      <c r="N278" s="7"/>
      <c r="O278" s="12">
        <f>IFERROR(Regiones[[#This Row],[Aten &lt; 20 seg]]/Regiones[[#This Row],[Contestadas]],"")</f>
        <v>1</v>
      </c>
      <c r="P278" s="13">
        <f>IFERROR(Regiones[[#This Row],[AHT]]*86400,"error")</f>
        <v>225.99999999999997</v>
      </c>
      <c r="Q278" s="13" t="str">
        <f>+VLOOKUP(Regiones[[#This Row],[Cola]],Tabla6[#Data],2,0)</f>
        <v>BUPA</v>
      </c>
      <c r="R278" s="13" t="e">
        <f>+VLOOKUP(Regiones[[#This Row],[Cola]],Tabla68[],2,0)</f>
        <v>#N/A</v>
      </c>
    </row>
    <row r="279" spans="2:18" x14ac:dyDescent="0.3">
      <c r="B279" s="6">
        <v>46205</v>
      </c>
      <c r="C279" s="14">
        <v>0.66666666666666663</v>
      </c>
      <c r="D279" t="s">
        <v>48</v>
      </c>
      <c r="E279" t="s">
        <v>18</v>
      </c>
      <c r="F279">
        <v>7</v>
      </c>
      <c r="G279">
        <v>6</v>
      </c>
      <c r="H279">
        <v>1</v>
      </c>
      <c r="I279" s="2">
        <v>0.71</v>
      </c>
      <c r="J279" s="14">
        <v>2.488425925925926E-3</v>
      </c>
      <c r="K279" s="6">
        <f>INT(Regiones[[#This Row],[Fecha]])</f>
        <v>46205</v>
      </c>
      <c r="L279" s="10">
        <f>IFERROR(Regiones[[#This Row],[Contestadas]]/Regiones[[#This Row],[Ofrecidas]],"")</f>
        <v>0.8571428571428571</v>
      </c>
      <c r="M279" s="7">
        <f>IFERROR(Regiones[[#This Row],[Ofrecidas]]*Regiones[[#This Row],[% de nivel de servicio]],"")</f>
        <v>4.97</v>
      </c>
      <c r="N279" s="7"/>
      <c r="O279" s="12">
        <f>IFERROR(Regiones[[#This Row],[Aten &lt; 20 seg]]/Regiones[[#This Row],[Contestadas]],"")</f>
        <v>0.82833333333333325</v>
      </c>
      <c r="P279" s="13">
        <f>IFERROR(Regiones[[#This Row],[AHT]]*86400,"error")</f>
        <v>215</v>
      </c>
      <c r="Q279" s="13" t="str">
        <f>+VLOOKUP(Regiones[[#This Row],[Cola]],Tabla6[#Data],2,0)</f>
        <v>BUPA</v>
      </c>
      <c r="R279" s="13" t="e">
        <f>+VLOOKUP(Regiones[[#This Row],[Cola]],Tabla68[],2,0)</f>
        <v>#N/A</v>
      </c>
    </row>
    <row r="280" spans="2:18" x14ac:dyDescent="0.3">
      <c r="B280" s="6">
        <v>46205</v>
      </c>
      <c r="C280" s="14">
        <v>0.6875</v>
      </c>
      <c r="D280" t="s">
        <v>46</v>
      </c>
      <c r="E280" t="s">
        <v>18</v>
      </c>
      <c r="F280">
        <v>4</v>
      </c>
      <c r="G280">
        <v>4</v>
      </c>
      <c r="H280">
        <v>0</v>
      </c>
      <c r="I280" s="2">
        <v>1</v>
      </c>
      <c r="J280" s="14">
        <v>5.5324074074074078E-3</v>
      </c>
      <c r="K280" s="6">
        <f>INT(Regiones[[#This Row],[Fecha]])</f>
        <v>46205</v>
      </c>
      <c r="L280" s="10">
        <f>IFERROR(Regiones[[#This Row],[Contestadas]]/Regiones[[#This Row],[Ofrecidas]],"")</f>
        <v>1</v>
      </c>
      <c r="M280" s="7">
        <f>IFERROR(Regiones[[#This Row],[Ofrecidas]]*Regiones[[#This Row],[% de nivel de servicio]],"")</f>
        <v>4</v>
      </c>
      <c r="N280" s="7"/>
      <c r="O280" s="12">
        <f>IFERROR(Regiones[[#This Row],[Aten &lt; 20 seg]]/Regiones[[#This Row],[Contestadas]],"")</f>
        <v>1</v>
      </c>
      <c r="P280" s="13">
        <f>IFERROR(Regiones[[#This Row],[AHT]]*86400,"error")</f>
        <v>478.00000000000006</v>
      </c>
      <c r="Q280" s="13" t="str">
        <f>+VLOOKUP(Regiones[[#This Row],[Cola]],Tabla6[#Data],2,0)</f>
        <v>BUPA</v>
      </c>
      <c r="R280" s="13" t="e">
        <f>+VLOOKUP(Regiones[[#This Row],[Cola]],Tabla68[],2,0)</f>
        <v>#N/A</v>
      </c>
    </row>
    <row r="281" spans="2:18" x14ac:dyDescent="0.3">
      <c r="B281" s="6">
        <v>46205</v>
      </c>
      <c r="C281" s="14">
        <v>0.6875</v>
      </c>
      <c r="D281" t="s">
        <v>57</v>
      </c>
      <c r="E281" t="s">
        <v>18</v>
      </c>
      <c r="F281">
        <v>1</v>
      </c>
      <c r="G281">
        <v>1</v>
      </c>
      <c r="H281">
        <v>0</v>
      </c>
      <c r="I281" s="2">
        <v>1</v>
      </c>
      <c r="J281" s="14">
        <v>6.3657407407407404E-3</v>
      </c>
      <c r="K281" s="6">
        <f>INT(Regiones[[#This Row],[Fecha]])</f>
        <v>46205</v>
      </c>
      <c r="L281" s="10">
        <f>IFERROR(Regiones[[#This Row],[Contestadas]]/Regiones[[#This Row],[Ofrecidas]],"")</f>
        <v>1</v>
      </c>
      <c r="M281" s="7">
        <f>IFERROR(Regiones[[#This Row],[Ofrecidas]]*Regiones[[#This Row],[% de nivel de servicio]],"")</f>
        <v>1</v>
      </c>
      <c r="N281" s="7"/>
      <c r="O281" s="12">
        <f>IFERROR(Regiones[[#This Row],[Aten &lt; 20 seg]]/Regiones[[#This Row],[Contestadas]],"")</f>
        <v>1</v>
      </c>
      <c r="P281" s="13">
        <f>IFERROR(Regiones[[#This Row],[AHT]]*86400,"error")</f>
        <v>550</v>
      </c>
      <c r="Q281" s="13" t="str">
        <f>+VLOOKUP(Regiones[[#This Row],[Cola]],Tabla6[#Data],2,0)</f>
        <v>BUPA</v>
      </c>
      <c r="R281" s="13" t="e">
        <f>+VLOOKUP(Regiones[[#This Row],[Cola]],Tabla68[],2,0)</f>
        <v>#N/A</v>
      </c>
    </row>
    <row r="282" spans="2:18" x14ac:dyDescent="0.3">
      <c r="B282" s="6">
        <v>46205</v>
      </c>
      <c r="C282" s="14">
        <v>0.6875</v>
      </c>
      <c r="D282" t="s">
        <v>52</v>
      </c>
      <c r="E282" t="s">
        <v>18</v>
      </c>
      <c r="F282">
        <v>2</v>
      </c>
      <c r="G282">
        <v>2</v>
      </c>
      <c r="H282">
        <v>0</v>
      </c>
      <c r="I282" s="2">
        <v>1</v>
      </c>
      <c r="J282" s="14">
        <v>3.5995370370370369E-3</v>
      </c>
      <c r="K282" s="6">
        <f>INT(Regiones[[#This Row],[Fecha]])</f>
        <v>46205</v>
      </c>
      <c r="L282" s="10">
        <f>IFERROR(Regiones[[#This Row],[Contestadas]]/Regiones[[#This Row],[Ofrecidas]],"")</f>
        <v>1</v>
      </c>
      <c r="M282" s="7">
        <f>IFERROR(Regiones[[#This Row],[Ofrecidas]]*Regiones[[#This Row],[% de nivel de servicio]],"")</f>
        <v>2</v>
      </c>
      <c r="N282" s="7"/>
      <c r="O282" s="12">
        <f>IFERROR(Regiones[[#This Row],[Aten &lt; 20 seg]]/Regiones[[#This Row],[Contestadas]],"")</f>
        <v>1</v>
      </c>
      <c r="P282" s="13">
        <f>IFERROR(Regiones[[#This Row],[AHT]]*86400,"error")</f>
        <v>311</v>
      </c>
      <c r="Q282" s="13" t="str">
        <f>+VLOOKUP(Regiones[[#This Row],[Cola]],Tabla6[#Data],2,0)</f>
        <v>BUPA</v>
      </c>
      <c r="R282" s="13" t="e">
        <f>+VLOOKUP(Regiones[[#This Row],[Cola]],Tabla68[],2,0)</f>
        <v>#N/A</v>
      </c>
    </row>
    <row r="283" spans="2:18" x14ac:dyDescent="0.3">
      <c r="B283" s="6">
        <v>46205</v>
      </c>
      <c r="C283" s="14">
        <v>0.6875</v>
      </c>
      <c r="D283" t="s">
        <v>50</v>
      </c>
      <c r="E283" t="s">
        <v>18</v>
      </c>
      <c r="F283">
        <v>1</v>
      </c>
      <c r="G283">
        <v>1</v>
      </c>
      <c r="H283">
        <v>0</v>
      </c>
      <c r="I283" s="2">
        <v>1</v>
      </c>
      <c r="J283" s="14">
        <v>4.2592592592592595E-3</v>
      </c>
      <c r="K283" s="6">
        <f>INT(Regiones[[#This Row],[Fecha]])</f>
        <v>46205</v>
      </c>
      <c r="L283" s="10">
        <f>IFERROR(Regiones[[#This Row],[Contestadas]]/Regiones[[#This Row],[Ofrecidas]],"")</f>
        <v>1</v>
      </c>
      <c r="M283" s="7">
        <f>IFERROR(Regiones[[#This Row],[Ofrecidas]]*Regiones[[#This Row],[% de nivel de servicio]],"")</f>
        <v>1</v>
      </c>
      <c r="N283" s="7"/>
      <c r="O283" s="12">
        <f>IFERROR(Regiones[[#This Row],[Aten &lt; 20 seg]]/Regiones[[#This Row],[Contestadas]],"")</f>
        <v>1</v>
      </c>
      <c r="P283" s="13">
        <f>IFERROR(Regiones[[#This Row],[AHT]]*86400,"error")</f>
        <v>368</v>
      </c>
      <c r="Q283" s="13" t="str">
        <f>+VLOOKUP(Regiones[[#This Row],[Cola]],Tabla6[#Data],2,0)</f>
        <v>BUPA</v>
      </c>
      <c r="R283" s="13" t="e">
        <f>+VLOOKUP(Regiones[[#This Row],[Cola]],Tabla68[],2,0)</f>
        <v>#N/A</v>
      </c>
    </row>
    <row r="284" spans="2:18" x14ac:dyDescent="0.3">
      <c r="B284" s="6">
        <v>46205</v>
      </c>
      <c r="C284" s="14">
        <v>0.6875</v>
      </c>
      <c r="D284" t="s">
        <v>53</v>
      </c>
      <c r="E284" t="s">
        <v>18</v>
      </c>
      <c r="F284">
        <v>1</v>
      </c>
      <c r="G284">
        <v>1</v>
      </c>
      <c r="H284">
        <v>0</v>
      </c>
      <c r="I284" s="2">
        <v>1</v>
      </c>
      <c r="J284" s="14">
        <v>3.9004629629629628E-3</v>
      </c>
      <c r="K284" s="6">
        <f>INT(Regiones[[#This Row],[Fecha]])</f>
        <v>46205</v>
      </c>
      <c r="L284" s="10">
        <f>IFERROR(Regiones[[#This Row],[Contestadas]]/Regiones[[#This Row],[Ofrecidas]],"")</f>
        <v>1</v>
      </c>
      <c r="M284" s="7">
        <f>IFERROR(Regiones[[#This Row],[Ofrecidas]]*Regiones[[#This Row],[% de nivel de servicio]],"")</f>
        <v>1</v>
      </c>
      <c r="N284" s="7"/>
      <c r="O284" s="12">
        <f>IFERROR(Regiones[[#This Row],[Aten &lt; 20 seg]]/Regiones[[#This Row],[Contestadas]],"")</f>
        <v>1</v>
      </c>
      <c r="P284" s="13">
        <f>IFERROR(Regiones[[#This Row],[AHT]]*86400,"error")</f>
        <v>337</v>
      </c>
      <c r="Q284" s="13" t="str">
        <f>+VLOOKUP(Regiones[[#This Row],[Cola]],Tabla6[#Data],2,0)</f>
        <v>BUPA</v>
      </c>
      <c r="R284" s="13" t="e">
        <f>+VLOOKUP(Regiones[[#This Row],[Cola]],Tabla68[],2,0)</f>
        <v>#N/A</v>
      </c>
    </row>
    <row r="285" spans="2:18" x14ac:dyDescent="0.3">
      <c r="B285" s="6">
        <v>46205</v>
      </c>
      <c r="C285" s="14">
        <v>0.6875</v>
      </c>
      <c r="D285" t="s">
        <v>47</v>
      </c>
      <c r="E285" t="s">
        <v>18</v>
      </c>
      <c r="F285">
        <v>7</v>
      </c>
      <c r="G285">
        <v>7</v>
      </c>
      <c r="H285">
        <v>0</v>
      </c>
      <c r="I285" s="2">
        <v>1</v>
      </c>
      <c r="J285" s="14">
        <v>5.0115740740740737E-3</v>
      </c>
      <c r="K285" s="6">
        <f>INT(Regiones[[#This Row],[Fecha]])</f>
        <v>46205</v>
      </c>
      <c r="L285" s="10">
        <f>IFERROR(Regiones[[#This Row],[Contestadas]]/Regiones[[#This Row],[Ofrecidas]],"")</f>
        <v>1</v>
      </c>
      <c r="M285" s="7">
        <f>IFERROR(Regiones[[#This Row],[Ofrecidas]]*Regiones[[#This Row],[% de nivel de servicio]],"")</f>
        <v>7</v>
      </c>
      <c r="N285" s="7"/>
      <c r="O285" s="12">
        <f>IFERROR(Regiones[[#This Row],[Aten &lt; 20 seg]]/Regiones[[#This Row],[Contestadas]],"")</f>
        <v>1</v>
      </c>
      <c r="P285" s="13">
        <f>IFERROR(Regiones[[#This Row],[AHT]]*86400,"error")</f>
        <v>432.99999999999994</v>
      </c>
      <c r="Q285" s="13" t="str">
        <f>+VLOOKUP(Regiones[[#This Row],[Cola]],Tabla6[#Data],2,0)</f>
        <v>BUPA</v>
      </c>
      <c r="R285" s="13" t="e">
        <f>+VLOOKUP(Regiones[[#This Row],[Cola]],Tabla68[],2,0)</f>
        <v>#N/A</v>
      </c>
    </row>
    <row r="286" spans="2:18" x14ac:dyDescent="0.3">
      <c r="B286" s="6">
        <v>46205</v>
      </c>
      <c r="C286" s="14">
        <v>0.6875</v>
      </c>
      <c r="D286" t="s">
        <v>48</v>
      </c>
      <c r="E286" t="s">
        <v>18</v>
      </c>
      <c r="F286">
        <v>4</v>
      </c>
      <c r="G286">
        <v>4</v>
      </c>
      <c r="H286">
        <v>0</v>
      </c>
      <c r="I286" s="2">
        <v>1</v>
      </c>
      <c r="J286" s="14">
        <v>3.9120370370370368E-3</v>
      </c>
      <c r="K286" s="6">
        <f>INT(Regiones[[#This Row],[Fecha]])</f>
        <v>46205</v>
      </c>
      <c r="L286" s="10">
        <f>IFERROR(Regiones[[#This Row],[Contestadas]]/Regiones[[#This Row],[Ofrecidas]],"")</f>
        <v>1</v>
      </c>
      <c r="M286" s="7">
        <f>IFERROR(Regiones[[#This Row],[Ofrecidas]]*Regiones[[#This Row],[% de nivel de servicio]],"")</f>
        <v>4</v>
      </c>
      <c r="N286" s="7"/>
      <c r="O286" s="12">
        <f>IFERROR(Regiones[[#This Row],[Aten &lt; 20 seg]]/Regiones[[#This Row],[Contestadas]],"")</f>
        <v>1</v>
      </c>
      <c r="P286" s="13">
        <f>IFERROR(Regiones[[#This Row],[AHT]]*86400,"error")</f>
        <v>338</v>
      </c>
      <c r="Q286" s="13" t="str">
        <f>+VLOOKUP(Regiones[[#This Row],[Cola]],Tabla6[#Data],2,0)</f>
        <v>BUPA</v>
      </c>
      <c r="R286" s="13" t="e">
        <f>+VLOOKUP(Regiones[[#This Row],[Cola]],Tabla68[],2,0)</f>
        <v>#N/A</v>
      </c>
    </row>
    <row r="287" spans="2:18" x14ac:dyDescent="0.3">
      <c r="B287" s="6">
        <v>46205</v>
      </c>
      <c r="C287" s="14">
        <v>0.70833333333333337</v>
      </c>
      <c r="D287" t="s">
        <v>53</v>
      </c>
      <c r="E287" t="s">
        <v>18</v>
      </c>
      <c r="F287">
        <v>1</v>
      </c>
      <c r="G287">
        <v>1</v>
      </c>
      <c r="H287">
        <v>0</v>
      </c>
      <c r="I287" s="2">
        <v>1</v>
      </c>
      <c r="J287" s="14">
        <v>1.1631944444444445E-2</v>
      </c>
      <c r="K287" s="6">
        <f>INT(Regiones[[#This Row],[Fecha]])</f>
        <v>46205</v>
      </c>
      <c r="L287" s="10">
        <f>IFERROR(Regiones[[#This Row],[Contestadas]]/Regiones[[#This Row],[Ofrecidas]],"")</f>
        <v>1</v>
      </c>
      <c r="M287" s="7">
        <f>IFERROR(Regiones[[#This Row],[Ofrecidas]]*Regiones[[#This Row],[% de nivel de servicio]],"")</f>
        <v>1</v>
      </c>
      <c r="N287" s="7"/>
      <c r="O287" s="12">
        <f>IFERROR(Regiones[[#This Row],[Aten &lt; 20 seg]]/Regiones[[#This Row],[Contestadas]],"")</f>
        <v>1</v>
      </c>
      <c r="P287" s="13">
        <f>IFERROR(Regiones[[#This Row],[AHT]]*86400,"error")</f>
        <v>1005</v>
      </c>
      <c r="Q287" s="13" t="str">
        <f>+VLOOKUP(Regiones[[#This Row],[Cola]],Tabla6[#Data],2,0)</f>
        <v>BUPA</v>
      </c>
      <c r="R287" s="13" t="e">
        <f>+VLOOKUP(Regiones[[#This Row],[Cola]],Tabla68[],2,0)</f>
        <v>#N/A</v>
      </c>
    </row>
    <row r="288" spans="2:18" x14ac:dyDescent="0.3">
      <c r="B288" s="6">
        <v>46205</v>
      </c>
      <c r="C288" s="14">
        <v>0.70833333333333337</v>
      </c>
      <c r="D288" t="s">
        <v>48</v>
      </c>
      <c r="E288" t="s">
        <v>18</v>
      </c>
      <c r="F288">
        <v>4</v>
      </c>
      <c r="G288">
        <v>4</v>
      </c>
      <c r="H288">
        <v>0</v>
      </c>
      <c r="I288" s="2">
        <v>1</v>
      </c>
      <c r="J288" s="14">
        <v>5.185185185185185E-3</v>
      </c>
      <c r="K288" s="6">
        <f>INT(Regiones[[#This Row],[Fecha]])</f>
        <v>46205</v>
      </c>
      <c r="L288" s="10">
        <f>IFERROR(Regiones[[#This Row],[Contestadas]]/Regiones[[#This Row],[Ofrecidas]],"")</f>
        <v>1</v>
      </c>
      <c r="M288" s="7">
        <f>IFERROR(Regiones[[#This Row],[Ofrecidas]]*Regiones[[#This Row],[% de nivel de servicio]],"")</f>
        <v>4</v>
      </c>
      <c r="N288" s="7"/>
      <c r="O288" s="12">
        <f>IFERROR(Regiones[[#This Row],[Aten &lt; 20 seg]]/Regiones[[#This Row],[Contestadas]],"")</f>
        <v>1</v>
      </c>
      <c r="P288" s="13">
        <f>IFERROR(Regiones[[#This Row],[AHT]]*86400,"error")</f>
        <v>448</v>
      </c>
      <c r="Q288" s="13" t="str">
        <f>+VLOOKUP(Regiones[[#This Row],[Cola]],Tabla6[#Data],2,0)</f>
        <v>BUPA</v>
      </c>
      <c r="R288" s="13" t="e">
        <f>+VLOOKUP(Regiones[[#This Row],[Cola]],Tabla68[],2,0)</f>
        <v>#N/A</v>
      </c>
    </row>
    <row r="289" spans="2:18" x14ac:dyDescent="0.3">
      <c r="B289" s="6">
        <v>46205</v>
      </c>
      <c r="C289" s="14">
        <v>0.70833333333333337</v>
      </c>
      <c r="D289" t="s">
        <v>47</v>
      </c>
      <c r="E289" t="s">
        <v>18</v>
      </c>
      <c r="F289">
        <v>4</v>
      </c>
      <c r="G289">
        <v>4</v>
      </c>
      <c r="H289">
        <v>0</v>
      </c>
      <c r="I289" s="2">
        <v>1</v>
      </c>
      <c r="J289" s="14">
        <v>5.9143518518518521E-3</v>
      </c>
      <c r="K289" s="6">
        <f>INT(Regiones[[#This Row],[Fecha]])</f>
        <v>46205</v>
      </c>
      <c r="L289" s="10">
        <f>IFERROR(Regiones[[#This Row],[Contestadas]]/Regiones[[#This Row],[Ofrecidas]],"")</f>
        <v>1</v>
      </c>
      <c r="M289" s="7">
        <f>IFERROR(Regiones[[#This Row],[Ofrecidas]]*Regiones[[#This Row],[% de nivel de servicio]],"")</f>
        <v>4</v>
      </c>
      <c r="N289" s="7"/>
      <c r="O289" s="12">
        <f>IFERROR(Regiones[[#This Row],[Aten &lt; 20 seg]]/Regiones[[#This Row],[Contestadas]],"")</f>
        <v>1</v>
      </c>
      <c r="P289" s="13">
        <f>IFERROR(Regiones[[#This Row],[AHT]]*86400,"error")</f>
        <v>511</v>
      </c>
      <c r="Q289" s="13" t="str">
        <f>+VLOOKUP(Regiones[[#This Row],[Cola]],Tabla6[#Data],2,0)</f>
        <v>BUPA</v>
      </c>
      <c r="R289" s="13" t="e">
        <f>+VLOOKUP(Regiones[[#This Row],[Cola]],Tabla68[],2,0)</f>
        <v>#N/A</v>
      </c>
    </row>
    <row r="290" spans="2:18" x14ac:dyDescent="0.3">
      <c r="B290" s="6">
        <v>46205</v>
      </c>
      <c r="C290" s="14">
        <v>0.70833333333333337</v>
      </c>
      <c r="D290" t="s">
        <v>52</v>
      </c>
      <c r="E290" t="s">
        <v>18</v>
      </c>
      <c r="F290">
        <v>1</v>
      </c>
      <c r="G290">
        <v>1</v>
      </c>
      <c r="H290">
        <v>0</v>
      </c>
      <c r="I290" s="2">
        <v>1</v>
      </c>
      <c r="J290" s="14">
        <v>5.8333333333333336E-3</v>
      </c>
      <c r="K290" s="6">
        <f>INT(Regiones[[#This Row],[Fecha]])</f>
        <v>46205</v>
      </c>
      <c r="L290" s="10">
        <f>IFERROR(Regiones[[#This Row],[Contestadas]]/Regiones[[#This Row],[Ofrecidas]],"")</f>
        <v>1</v>
      </c>
      <c r="M290" s="7">
        <f>IFERROR(Regiones[[#This Row],[Ofrecidas]]*Regiones[[#This Row],[% de nivel de servicio]],"")</f>
        <v>1</v>
      </c>
      <c r="N290" s="7"/>
      <c r="O290" s="12">
        <f>IFERROR(Regiones[[#This Row],[Aten &lt; 20 seg]]/Regiones[[#This Row],[Contestadas]],"")</f>
        <v>1</v>
      </c>
      <c r="P290" s="13">
        <f>IFERROR(Regiones[[#This Row],[AHT]]*86400,"error")</f>
        <v>504</v>
      </c>
      <c r="Q290" s="13" t="str">
        <f>+VLOOKUP(Regiones[[#This Row],[Cola]],Tabla6[#Data],2,0)</f>
        <v>BUPA</v>
      </c>
      <c r="R290" s="13" t="e">
        <f>+VLOOKUP(Regiones[[#This Row],[Cola]],Tabla68[],2,0)</f>
        <v>#N/A</v>
      </c>
    </row>
    <row r="291" spans="2:18" x14ac:dyDescent="0.3">
      <c r="B291" s="6">
        <v>46205</v>
      </c>
      <c r="C291" s="14">
        <v>0.70833333333333337</v>
      </c>
      <c r="D291" t="s">
        <v>46</v>
      </c>
      <c r="E291" t="s">
        <v>18</v>
      </c>
      <c r="F291">
        <v>10</v>
      </c>
      <c r="G291">
        <v>10</v>
      </c>
      <c r="H291">
        <v>0</v>
      </c>
      <c r="I291" s="2">
        <v>0.9</v>
      </c>
      <c r="J291" s="14">
        <v>3.460648148148148E-3</v>
      </c>
      <c r="K291" s="6">
        <f>INT(Regiones[[#This Row],[Fecha]])</f>
        <v>46205</v>
      </c>
      <c r="L291" s="10">
        <f>IFERROR(Regiones[[#This Row],[Contestadas]]/Regiones[[#This Row],[Ofrecidas]],"")</f>
        <v>1</v>
      </c>
      <c r="M291" s="7">
        <f>IFERROR(Regiones[[#This Row],[Ofrecidas]]*Regiones[[#This Row],[% de nivel de servicio]],"")</f>
        <v>9</v>
      </c>
      <c r="N291" s="7"/>
      <c r="O291" s="12">
        <f>IFERROR(Regiones[[#This Row],[Aten &lt; 20 seg]]/Regiones[[#This Row],[Contestadas]],"")</f>
        <v>0.9</v>
      </c>
      <c r="P291" s="13">
        <f>IFERROR(Regiones[[#This Row],[AHT]]*86400,"error")</f>
        <v>299</v>
      </c>
      <c r="Q291" s="13" t="str">
        <f>+VLOOKUP(Regiones[[#This Row],[Cola]],Tabla6[#Data],2,0)</f>
        <v>BUPA</v>
      </c>
      <c r="R291" s="13" t="e">
        <f>+VLOOKUP(Regiones[[#This Row],[Cola]],Tabla68[],2,0)</f>
        <v>#N/A</v>
      </c>
    </row>
    <row r="292" spans="2:18" x14ac:dyDescent="0.3">
      <c r="B292" s="6">
        <v>46205</v>
      </c>
      <c r="C292" s="14">
        <v>0.70833333333333337</v>
      </c>
      <c r="D292" t="s">
        <v>50</v>
      </c>
      <c r="E292" t="s">
        <v>18</v>
      </c>
      <c r="F292">
        <v>1</v>
      </c>
      <c r="G292">
        <v>1</v>
      </c>
      <c r="H292">
        <v>0</v>
      </c>
      <c r="I292" s="2">
        <v>1</v>
      </c>
      <c r="J292" s="14">
        <v>3.4837962962962965E-3</v>
      </c>
      <c r="K292" s="6">
        <f>INT(Regiones[[#This Row],[Fecha]])</f>
        <v>46205</v>
      </c>
      <c r="L292" s="10">
        <f>IFERROR(Regiones[[#This Row],[Contestadas]]/Regiones[[#This Row],[Ofrecidas]],"")</f>
        <v>1</v>
      </c>
      <c r="M292" s="7">
        <f>IFERROR(Regiones[[#This Row],[Ofrecidas]]*Regiones[[#This Row],[% de nivel de servicio]],"")</f>
        <v>1</v>
      </c>
      <c r="N292" s="7"/>
      <c r="O292" s="12">
        <f>IFERROR(Regiones[[#This Row],[Aten &lt; 20 seg]]/Regiones[[#This Row],[Contestadas]],"")</f>
        <v>1</v>
      </c>
      <c r="P292" s="13">
        <f>IFERROR(Regiones[[#This Row],[AHT]]*86400,"error")</f>
        <v>301</v>
      </c>
      <c r="Q292" s="13" t="str">
        <f>+VLOOKUP(Regiones[[#This Row],[Cola]],Tabla6[#Data],2,0)</f>
        <v>BUPA</v>
      </c>
      <c r="R292" s="13" t="e">
        <f>+VLOOKUP(Regiones[[#This Row],[Cola]],Tabla68[],2,0)</f>
        <v>#N/A</v>
      </c>
    </row>
    <row r="293" spans="2:18" x14ac:dyDescent="0.3">
      <c r="B293" s="6">
        <v>46205</v>
      </c>
      <c r="C293" s="14">
        <v>0.72916666666666663</v>
      </c>
      <c r="D293" t="s">
        <v>52</v>
      </c>
      <c r="E293" t="s">
        <v>18</v>
      </c>
      <c r="F293">
        <v>1</v>
      </c>
      <c r="G293">
        <v>1</v>
      </c>
      <c r="H293">
        <v>0</v>
      </c>
      <c r="I293" s="2">
        <v>0</v>
      </c>
      <c r="J293" s="14">
        <v>7.037037037037037E-3</v>
      </c>
      <c r="K293" s="6">
        <f>INT(Regiones[[#This Row],[Fecha]])</f>
        <v>46205</v>
      </c>
      <c r="L293" s="10">
        <f>IFERROR(Regiones[[#This Row],[Contestadas]]/Regiones[[#This Row],[Ofrecidas]],"")</f>
        <v>1</v>
      </c>
      <c r="M293" s="7">
        <f>IFERROR(Regiones[[#This Row],[Ofrecidas]]*Regiones[[#This Row],[% de nivel de servicio]],"")</f>
        <v>0</v>
      </c>
      <c r="N293" s="7"/>
      <c r="O293" s="12">
        <f>IFERROR(Regiones[[#This Row],[Aten &lt; 20 seg]]/Regiones[[#This Row],[Contestadas]],"")</f>
        <v>0</v>
      </c>
      <c r="P293" s="13">
        <f>IFERROR(Regiones[[#This Row],[AHT]]*86400,"error")</f>
        <v>608</v>
      </c>
      <c r="Q293" s="13" t="str">
        <f>+VLOOKUP(Regiones[[#This Row],[Cola]],Tabla6[#Data],2,0)</f>
        <v>BUPA</v>
      </c>
      <c r="R293" s="13" t="e">
        <f>+VLOOKUP(Regiones[[#This Row],[Cola]],Tabla68[],2,0)</f>
        <v>#N/A</v>
      </c>
    </row>
    <row r="294" spans="2:18" x14ac:dyDescent="0.3">
      <c r="B294" s="6">
        <v>46205</v>
      </c>
      <c r="C294" s="14">
        <v>0.72916666666666663</v>
      </c>
      <c r="D294" t="s">
        <v>57</v>
      </c>
      <c r="E294" t="s">
        <v>18</v>
      </c>
      <c r="F294">
        <v>1</v>
      </c>
      <c r="G294">
        <v>1</v>
      </c>
      <c r="H294">
        <v>0</v>
      </c>
      <c r="I294" s="2">
        <v>1</v>
      </c>
      <c r="J294" s="14">
        <v>2.2222222222222222E-3</v>
      </c>
      <c r="K294" s="6">
        <f>INT(Regiones[[#This Row],[Fecha]])</f>
        <v>46205</v>
      </c>
      <c r="L294" s="10">
        <f>IFERROR(Regiones[[#This Row],[Contestadas]]/Regiones[[#This Row],[Ofrecidas]],"")</f>
        <v>1</v>
      </c>
      <c r="M294" s="7">
        <f>IFERROR(Regiones[[#This Row],[Ofrecidas]]*Regiones[[#This Row],[% de nivel de servicio]],"")</f>
        <v>1</v>
      </c>
      <c r="N294" s="7"/>
      <c r="O294" s="12">
        <f>IFERROR(Regiones[[#This Row],[Aten &lt; 20 seg]]/Regiones[[#This Row],[Contestadas]],"")</f>
        <v>1</v>
      </c>
      <c r="P294" s="13">
        <f>IFERROR(Regiones[[#This Row],[AHT]]*86400,"error")</f>
        <v>192</v>
      </c>
      <c r="Q294" s="13" t="str">
        <f>+VLOOKUP(Regiones[[#This Row],[Cola]],Tabla6[#Data],2,0)</f>
        <v>BUPA</v>
      </c>
      <c r="R294" s="13" t="e">
        <f>+VLOOKUP(Regiones[[#This Row],[Cola]],Tabla68[],2,0)</f>
        <v>#N/A</v>
      </c>
    </row>
    <row r="295" spans="2:18" x14ac:dyDescent="0.3">
      <c r="B295" s="6">
        <v>46205</v>
      </c>
      <c r="C295" s="14">
        <v>0.72916666666666663</v>
      </c>
      <c r="D295" t="s">
        <v>46</v>
      </c>
      <c r="E295" t="s">
        <v>18</v>
      </c>
      <c r="F295">
        <v>5</v>
      </c>
      <c r="G295">
        <v>5</v>
      </c>
      <c r="H295">
        <v>0</v>
      </c>
      <c r="I295" s="2">
        <v>0.6</v>
      </c>
      <c r="J295" s="14">
        <v>8.5879629629629622E-3</v>
      </c>
      <c r="K295" s="6">
        <f>INT(Regiones[[#This Row],[Fecha]])</f>
        <v>46205</v>
      </c>
      <c r="L295" s="10">
        <f>IFERROR(Regiones[[#This Row],[Contestadas]]/Regiones[[#This Row],[Ofrecidas]],"")</f>
        <v>1</v>
      </c>
      <c r="M295" s="7">
        <f>IFERROR(Regiones[[#This Row],[Ofrecidas]]*Regiones[[#This Row],[% de nivel de servicio]],"")</f>
        <v>3</v>
      </c>
      <c r="N295" s="7"/>
      <c r="O295" s="12">
        <f>IFERROR(Regiones[[#This Row],[Aten &lt; 20 seg]]/Regiones[[#This Row],[Contestadas]],"")</f>
        <v>0.6</v>
      </c>
      <c r="P295" s="13">
        <f>IFERROR(Regiones[[#This Row],[AHT]]*86400,"error")</f>
        <v>741.99999999999989</v>
      </c>
      <c r="Q295" s="13" t="str">
        <f>+VLOOKUP(Regiones[[#This Row],[Cola]],Tabla6[#Data],2,0)</f>
        <v>BUPA</v>
      </c>
      <c r="R295" s="13" t="e">
        <f>+VLOOKUP(Regiones[[#This Row],[Cola]],Tabla68[],2,0)</f>
        <v>#N/A</v>
      </c>
    </row>
    <row r="296" spans="2:18" x14ac:dyDescent="0.3">
      <c r="B296" s="6">
        <v>46205</v>
      </c>
      <c r="C296" s="14">
        <v>0.72916666666666663</v>
      </c>
      <c r="D296" t="s">
        <v>56</v>
      </c>
      <c r="E296" t="s">
        <v>18</v>
      </c>
      <c r="F296">
        <v>1</v>
      </c>
      <c r="G296">
        <v>1</v>
      </c>
      <c r="H296">
        <v>0</v>
      </c>
      <c r="I296" s="2">
        <v>1</v>
      </c>
      <c r="J296" s="14">
        <v>1.0451388888888889E-2</v>
      </c>
      <c r="K296" s="6">
        <f>INT(Regiones[[#This Row],[Fecha]])</f>
        <v>46205</v>
      </c>
      <c r="L296" s="10">
        <f>IFERROR(Regiones[[#This Row],[Contestadas]]/Regiones[[#This Row],[Ofrecidas]],"")</f>
        <v>1</v>
      </c>
      <c r="M296" s="7">
        <f>IFERROR(Regiones[[#This Row],[Ofrecidas]]*Regiones[[#This Row],[% de nivel de servicio]],"")</f>
        <v>1</v>
      </c>
      <c r="N296" s="7"/>
      <c r="O296" s="12">
        <f>IFERROR(Regiones[[#This Row],[Aten &lt; 20 seg]]/Regiones[[#This Row],[Contestadas]],"")</f>
        <v>1</v>
      </c>
      <c r="P296" s="13">
        <f>IFERROR(Regiones[[#This Row],[AHT]]*86400,"error")</f>
        <v>903</v>
      </c>
      <c r="Q296" s="13" t="str">
        <f>+VLOOKUP(Regiones[[#This Row],[Cola]],Tabla6[#Data],2,0)</f>
        <v>BUPA</v>
      </c>
      <c r="R296" s="13" t="e">
        <f>+VLOOKUP(Regiones[[#This Row],[Cola]],Tabla68[],2,0)</f>
        <v>#N/A</v>
      </c>
    </row>
    <row r="297" spans="2:18" x14ac:dyDescent="0.3">
      <c r="B297" s="6">
        <v>46205</v>
      </c>
      <c r="C297" s="14">
        <v>0.72916666666666663</v>
      </c>
      <c r="D297" t="s">
        <v>47</v>
      </c>
      <c r="E297" t="s">
        <v>18</v>
      </c>
      <c r="F297">
        <v>6</v>
      </c>
      <c r="G297">
        <v>5</v>
      </c>
      <c r="H297">
        <v>1</v>
      </c>
      <c r="I297" s="2">
        <v>0.17</v>
      </c>
      <c r="J297" s="14">
        <v>6.7013888888888887E-3</v>
      </c>
      <c r="K297" s="6">
        <f>INT(Regiones[[#This Row],[Fecha]])</f>
        <v>46205</v>
      </c>
      <c r="L297" s="10">
        <f>IFERROR(Regiones[[#This Row],[Contestadas]]/Regiones[[#This Row],[Ofrecidas]],"")</f>
        <v>0.83333333333333337</v>
      </c>
      <c r="M297" s="7">
        <f>IFERROR(Regiones[[#This Row],[Ofrecidas]]*Regiones[[#This Row],[% de nivel de servicio]],"")</f>
        <v>1.02</v>
      </c>
      <c r="N297" s="7"/>
      <c r="O297" s="12">
        <f>IFERROR(Regiones[[#This Row],[Aten &lt; 20 seg]]/Regiones[[#This Row],[Contestadas]],"")</f>
        <v>0.20400000000000001</v>
      </c>
      <c r="P297" s="13">
        <f>IFERROR(Regiones[[#This Row],[AHT]]*86400,"error")</f>
        <v>579</v>
      </c>
      <c r="Q297" s="13" t="str">
        <f>+VLOOKUP(Regiones[[#This Row],[Cola]],Tabla6[#Data],2,0)</f>
        <v>BUPA</v>
      </c>
      <c r="R297" s="13" t="e">
        <f>+VLOOKUP(Regiones[[#This Row],[Cola]],Tabla68[],2,0)</f>
        <v>#N/A</v>
      </c>
    </row>
    <row r="298" spans="2:18" x14ac:dyDescent="0.3">
      <c r="B298" s="6">
        <v>46205</v>
      </c>
      <c r="C298" s="14">
        <v>0.72916666666666663</v>
      </c>
      <c r="D298" t="s">
        <v>48</v>
      </c>
      <c r="E298" t="s">
        <v>18</v>
      </c>
      <c r="F298">
        <v>2</v>
      </c>
      <c r="G298">
        <v>2</v>
      </c>
      <c r="H298">
        <v>0</v>
      </c>
      <c r="I298" s="2">
        <v>0</v>
      </c>
      <c r="J298" s="14">
        <v>7.1412037037037034E-3</v>
      </c>
      <c r="K298" s="6">
        <f>INT(Regiones[[#This Row],[Fecha]])</f>
        <v>46205</v>
      </c>
      <c r="L298" s="10">
        <f>IFERROR(Regiones[[#This Row],[Contestadas]]/Regiones[[#This Row],[Ofrecidas]],"")</f>
        <v>1</v>
      </c>
      <c r="M298" s="7">
        <f>IFERROR(Regiones[[#This Row],[Ofrecidas]]*Regiones[[#This Row],[% de nivel de servicio]],"")</f>
        <v>0</v>
      </c>
      <c r="N298" s="7"/>
      <c r="O298" s="12">
        <f>IFERROR(Regiones[[#This Row],[Aten &lt; 20 seg]]/Regiones[[#This Row],[Contestadas]],"")</f>
        <v>0</v>
      </c>
      <c r="P298" s="13">
        <f>IFERROR(Regiones[[#This Row],[AHT]]*86400,"error")</f>
        <v>617</v>
      </c>
      <c r="Q298" s="13" t="str">
        <f>+VLOOKUP(Regiones[[#This Row],[Cola]],Tabla6[#Data],2,0)</f>
        <v>BUPA</v>
      </c>
      <c r="R298" s="13" t="e">
        <f>+VLOOKUP(Regiones[[#This Row],[Cola]],Tabla68[],2,0)</f>
        <v>#N/A</v>
      </c>
    </row>
    <row r="299" spans="2:18" x14ac:dyDescent="0.3">
      <c r="B299" s="6">
        <v>46205</v>
      </c>
      <c r="C299" s="14">
        <v>0.75</v>
      </c>
      <c r="D299" t="s">
        <v>47</v>
      </c>
      <c r="E299" t="s">
        <v>18</v>
      </c>
      <c r="F299">
        <v>1</v>
      </c>
      <c r="G299">
        <v>1</v>
      </c>
      <c r="H299">
        <v>0</v>
      </c>
      <c r="I299" s="2">
        <v>1</v>
      </c>
      <c r="J299" s="14">
        <v>3.2870370370370371E-3</v>
      </c>
      <c r="K299" s="6">
        <f>INT(Regiones[[#This Row],[Fecha]])</f>
        <v>46205</v>
      </c>
      <c r="L299" s="10">
        <f>IFERROR(Regiones[[#This Row],[Contestadas]]/Regiones[[#This Row],[Ofrecidas]],"")</f>
        <v>1</v>
      </c>
      <c r="M299" s="7">
        <f>IFERROR(Regiones[[#This Row],[Ofrecidas]]*Regiones[[#This Row],[% de nivel de servicio]],"")</f>
        <v>1</v>
      </c>
      <c r="N299" s="7"/>
      <c r="O299" s="12">
        <f>IFERROR(Regiones[[#This Row],[Aten &lt; 20 seg]]/Regiones[[#This Row],[Contestadas]],"")</f>
        <v>1</v>
      </c>
      <c r="P299" s="13">
        <f>IFERROR(Regiones[[#This Row],[AHT]]*86400,"error")</f>
        <v>284</v>
      </c>
      <c r="Q299" s="13" t="str">
        <f>+VLOOKUP(Regiones[[#This Row],[Cola]],Tabla6[#Data],2,0)</f>
        <v>BUPA</v>
      </c>
      <c r="R299" s="13" t="e">
        <f>+VLOOKUP(Regiones[[#This Row],[Cola]],Tabla68[],2,0)</f>
        <v>#N/A</v>
      </c>
    </row>
    <row r="300" spans="2:18" x14ac:dyDescent="0.3">
      <c r="B300" s="6">
        <v>46205</v>
      </c>
      <c r="C300" s="14">
        <v>0.75</v>
      </c>
      <c r="D300" t="s">
        <v>46</v>
      </c>
      <c r="E300" t="s">
        <v>18</v>
      </c>
      <c r="F300">
        <v>0</v>
      </c>
      <c r="G300">
        <v>0</v>
      </c>
      <c r="H300">
        <v>0</v>
      </c>
      <c r="I300" s="2" t="s">
        <v>20</v>
      </c>
      <c r="J300" s="14">
        <v>1.2974537037037038E-2</v>
      </c>
      <c r="K300" s="6">
        <f>INT(Regiones[[#This Row],[Fecha]])</f>
        <v>46205</v>
      </c>
      <c r="L300" s="10" t="str">
        <f>IFERROR(Regiones[[#This Row],[Contestadas]]/Regiones[[#This Row],[Ofrecidas]],"")</f>
        <v/>
      </c>
      <c r="M300" s="7" t="str">
        <f>IFERROR(Regiones[[#This Row],[Ofrecidas]]*Regiones[[#This Row],[% de nivel de servicio]],"")</f>
        <v/>
      </c>
      <c r="N300" s="7"/>
      <c r="O300" s="12" t="str">
        <f>IFERROR(Regiones[[#This Row],[Aten &lt; 20 seg]]/Regiones[[#This Row],[Contestadas]],"")</f>
        <v/>
      </c>
      <c r="P300" s="13">
        <f>IFERROR(Regiones[[#This Row],[AHT]]*86400,"error")</f>
        <v>1121</v>
      </c>
      <c r="Q300" s="13" t="str">
        <f>+VLOOKUP(Regiones[[#This Row],[Cola]],Tabla6[#Data],2,0)</f>
        <v>BUPA</v>
      </c>
      <c r="R300" s="13" t="e">
        <f>+VLOOKUP(Regiones[[#This Row],[Cola]],Tabla68[],2,0)</f>
        <v>#N/A</v>
      </c>
    </row>
    <row r="301" spans="2:18" x14ac:dyDescent="0.3">
      <c r="B301" s="6">
        <v>46206</v>
      </c>
      <c r="C301" s="14">
        <v>0.375</v>
      </c>
      <c r="D301" t="s">
        <v>46</v>
      </c>
      <c r="E301" t="s">
        <v>18</v>
      </c>
      <c r="F301">
        <v>7</v>
      </c>
      <c r="G301">
        <v>7</v>
      </c>
      <c r="H301">
        <v>0</v>
      </c>
      <c r="I301" s="2">
        <v>0.56999999999999995</v>
      </c>
      <c r="J301" s="14">
        <v>3.4375E-3</v>
      </c>
      <c r="K301" s="6">
        <f>INT(Regiones[[#This Row],[Fecha]])</f>
        <v>46206</v>
      </c>
      <c r="L301" s="10">
        <f>IFERROR(Regiones[[#This Row],[Contestadas]]/Regiones[[#This Row],[Ofrecidas]],"")</f>
        <v>1</v>
      </c>
      <c r="M301" s="7">
        <f>IFERROR(Regiones[[#This Row],[Ofrecidas]]*Regiones[[#This Row],[% de nivel de servicio]],"")</f>
        <v>3.9899999999999998</v>
      </c>
      <c r="N301" s="7"/>
      <c r="O301" s="12">
        <f>IFERROR(Regiones[[#This Row],[Aten &lt; 20 seg]]/Regiones[[#This Row],[Contestadas]],"")</f>
        <v>0.56999999999999995</v>
      </c>
      <c r="P301" s="13">
        <f>IFERROR(Regiones[[#This Row],[AHT]]*86400,"error")</f>
        <v>297</v>
      </c>
      <c r="Q301" s="13" t="str">
        <f>+VLOOKUP(Regiones[[#This Row],[Cola]],Tabla6[#Data],2,0)</f>
        <v>BUPA</v>
      </c>
      <c r="R301" s="13" t="e">
        <f>+VLOOKUP(Regiones[[#This Row],[Cola]],Tabla68[],2,0)</f>
        <v>#N/A</v>
      </c>
    </row>
    <row r="302" spans="2:18" x14ac:dyDescent="0.3">
      <c r="B302" s="6">
        <v>46206</v>
      </c>
      <c r="C302" s="14">
        <v>0.375</v>
      </c>
      <c r="D302" t="s">
        <v>47</v>
      </c>
      <c r="E302" t="s">
        <v>18</v>
      </c>
      <c r="F302">
        <v>7</v>
      </c>
      <c r="G302">
        <v>5</v>
      </c>
      <c r="H302">
        <v>1</v>
      </c>
      <c r="I302" s="2">
        <v>0.67</v>
      </c>
      <c r="J302" s="14">
        <v>2.8356481481481483E-3</v>
      </c>
      <c r="K302" s="6">
        <f>INT(Regiones[[#This Row],[Fecha]])</f>
        <v>46206</v>
      </c>
      <c r="L302" s="10">
        <f>IFERROR(Regiones[[#This Row],[Contestadas]]/Regiones[[#This Row],[Ofrecidas]],"")</f>
        <v>0.7142857142857143</v>
      </c>
      <c r="M302" s="7">
        <f>IFERROR(Regiones[[#This Row],[Ofrecidas]]*Regiones[[#This Row],[% de nivel de servicio]],"")</f>
        <v>4.6900000000000004</v>
      </c>
      <c r="N302" s="7"/>
      <c r="O302" s="12">
        <f>IFERROR(Regiones[[#This Row],[Aten &lt; 20 seg]]/Regiones[[#This Row],[Contestadas]],"")</f>
        <v>0.93800000000000006</v>
      </c>
      <c r="P302" s="13">
        <f>IFERROR(Regiones[[#This Row],[AHT]]*86400,"error")</f>
        <v>245.00000000000003</v>
      </c>
      <c r="Q302" s="13" t="str">
        <f>+VLOOKUP(Regiones[[#This Row],[Cola]],Tabla6[#Data],2,0)</f>
        <v>BUPA</v>
      </c>
      <c r="R302" s="13" t="e">
        <f>+VLOOKUP(Regiones[[#This Row],[Cola]],Tabla68[],2,0)</f>
        <v>#N/A</v>
      </c>
    </row>
    <row r="303" spans="2:18" x14ac:dyDescent="0.3">
      <c r="B303" s="6">
        <v>46206</v>
      </c>
      <c r="C303" s="14">
        <v>0.375</v>
      </c>
      <c r="D303" t="s">
        <v>52</v>
      </c>
      <c r="E303" t="s">
        <v>18</v>
      </c>
      <c r="F303">
        <v>1</v>
      </c>
      <c r="G303">
        <v>1</v>
      </c>
      <c r="H303">
        <v>0</v>
      </c>
      <c r="I303" s="2">
        <v>1</v>
      </c>
      <c r="J303" s="14">
        <v>1.1331018518518518E-2</v>
      </c>
      <c r="K303" s="6">
        <f>INT(Regiones[[#This Row],[Fecha]])</f>
        <v>46206</v>
      </c>
      <c r="L303" s="10">
        <f>IFERROR(Regiones[[#This Row],[Contestadas]]/Regiones[[#This Row],[Ofrecidas]],"")</f>
        <v>1</v>
      </c>
      <c r="M303" s="7">
        <f>IFERROR(Regiones[[#This Row],[Ofrecidas]]*Regiones[[#This Row],[% de nivel de servicio]],"")</f>
        <v>1</v>
      </c>
      <c r="N303" s="7"/>
      <c r="O303" s="12">
        <f>IFERROR(Regiones[[#This Row],[Aten &lt; 20 seg]]/Regiones[[#This Row],[Contestadas]],"")</f>
        <v>1</v>
      </c>
      <c r="P303" s="13">
        <f>IFERROR(Regiones[[#This Row],[AHT]]*86400,"error")</f>
        <v>979</v>
      </c>
      <c r="Q303" s="13" t="str">
        <f>+VLOOKUP(Regiones[[#This Row],[Cola]],Tabla6[#Data],2,0)</f>
        <v>BUPA</v>
      </c>
      <c r="R303" s="13" t="e">
        <f>+VLOOKUP(Regiones[[#This Row],[Cola]],Tabla68[],2,0)</f>
        <v>#N/A</v>
      </c>
    </row>
    <row r="304" spans="2:18" x14ac:dyDescent="0.3">
      <c r="B304" s="6">
        <v>46206</v>
      </c>
      <c r="C304" s="14">
        <v>0.375</v>
      </c>
      <c r="D304" t="s">
        <v>48</v>
      </c>
      <c r="E304" t="s">
        <v>18</v>
      </c>
      <c r="F304">
        <v>5</v>
      </c>
      <c r="G304">
        <v>5</v>
      </c>
      <c r="H304">
        <v>0</v>
      </c>
      <c r="I304" s="2">
        <v>0.8</v>
      </c>
      <c r="J304" s="14">
        <v>8.9699074074074073E-3</v>
      </c>
      <c r="K304" s="6">
        <f>INT(Regiones[[#This Row],[Fecha]])</f>
        <v>46206</v>
      </c>
      <c r="L304" s="10">
        <f>IFERROR(Regiones[[#This Row],[Contestadas]]/Regiones[[#This Row],[Ofrecidas]],"")</f>
        <v>1</v>
      </c>
      <c r="M304" s="7">
        <f>IFERROR(Regiones[[#This Row],[Ofrecidas]]*Regiones[[#This Row],[% de nivel de servicio]],"")</f>
        <v>4</v>
      </c>
      <c r="N304" s="7"/>
      <c r="O304" s="12">
        <f>IFERROR(Regiones[[#This Row],[Aten &lt; 20 seg]]/Regiones[[#This Row],[Contestadas]],"")</f>
        <v>0.8</v>
      </c>
      <c r="P304" s="13">
        <f>IFERROR(Regiones[[#This Row],[AHT]]*86400,"error")</f>
        <v>775</v>
      </c>
      <c r="Q304" s="13" t="str">
        <f>+VLOOKUP(Regiones[[#This Row],[Cola]],Tabla6[#Data],2,0)</f>
        <v>BUPA</v>
      </c>
      <c r="R304" s="13" t="e">
        <f>+VLOOKUP(Regiones[[#This Row],[Cola]],Tabla68[],2,0)</f>
        <v>#N/A</v>
      </c>
    </row>
    <row r="305" spans="2:18" x14ac:dyDescent="0.3">
      <c r="B305" s="6">
        <v>46206</v>
      </c>
      <c r="C305" s="14">
        <v>0.375</v>
      </c>
      <c r="D305" t="s">
        <v>53</v>
      </c>
      <c r="E305" t="s">
        <v>18</v>
      </c>
      <c r="F305">
        <v>4</v>
      </c>
      <c r="G305">
        <v>4</v>
      </c>
      <c r="H305">
        <v>0</v>
      </c>
      <c r="I305" s="2">
        <v>0.5</v>
      </c>
      <c r="J305" s="14">
        <v>3.3564814814814816E-3</v>
      </c>
      <c r="K305" s="6">
        <f>INT(Regiones[[#This Row],[Fecha]])</f>
        <v>46206</v>
      </c>
      <c r="L305" s="10">
        <f>IFERROR(Regiones[[#This Row],[Contestadas]]/Regiones[[#This Row],[Ofrecidas]],"")</f>
        <v>1</v>
      </c>
      <c r="M305" s="7">
        <f>IFERROR(Regiones[[#This Row],[Ofrecidas]]*Regiones[[#This Row],[% de nivel de servicio]],"")</f>
        <v>2</v>
      </c>
      <c r="N305" s="7"/>
      <c r="O305" s="12">
        <f>IFERROR(Regiones[[#This Row],[Aten &lt; 20 seg]]/Regiones[[#This Row],[Contestadas]],"")</f>
        <v>0.5</v>
      </c>
      <c r="P305" s="13">
        <f>IFERROR(Regiones[[#This Row],[AHT]]*86400,"error")</f>
        <v>290</v>
      </c>
      <c r="Q305" s="13" t="str">
        <f>+VLOOKUP(Regiones[[#This Row],[Cola]],Tabla6[#Data],2,0)</f>
        <v>BUPA</v>
      </c>
      <c r="R305" s="13" t="e">
        <f>+VLOOKUP(Regiones[[#This Row],[Cola]],Tabla68[],2,0)</f>
        <v>#N/A</v>
      </c>
    </row>
    <row r="306" spans="2:18" x14ac:dyDescent="0.3">
      <c r="B306" s="6">
        <v>46206</v>
      </c>
      <c r="C306" s="14">
        <v>0.375</v>
      </c>
      <c r="D306" t="s">
        <v>50</v>
      </c>
      <c r="E306" t="s">
        <v>18</v>
      </c>
      <c r="F306">
        <v>1</v>
      </c>
      <c r="G306">
        <v>1</v>
      </c>
      <c r="H306">
        <v>0</v>
      </c>
      <c r="I306" s="2">
        <v>1</v>
      </c>
      <c r="J306" s="14">
        <v>9.1435185185185185E-4</v>
      </c>
      <c r="K306" s="6">
        <f>INT(Regiones[[#This Row],[Fecha]])</f>
        <v>46206</v>
      </c>
      <c r="L306" s="10">
        <f>IFERROR(Regiones[[#This Row],[Contestadas]]/Regiones[[#This Row],[Ofrecidas]],"")</f>
        <v>1</v>
      </c>
      <c r="M306" s="7">
        <f>IFERROR(Regiones[[#This Row],[Ofrecidas]]*Regiones[[#This Row],[% de nivel de servicio]],"")</f>
        <v>1</v>
      </c>
      <c r="N306" s="7"/>
      <c r="O306" s="12">
        <f>IFERROR(Regiones[[#This Row],[Aten &lt; 20 seg]]/Regiones[[#This Row],[Contestadas]],"")</f>
        <v>1</v>
      </c>
      <c r="P306" s="13">
        <f>IFERROR(Regiones[[#This Row],[AHT]]*86400,"error")</f>
        <v>79</v>
      </c>
      <c r="Q306" s="13" t="str">
        <f>+VLOOKUP(Regiones[[#This Row],[Cola]],Tabla6[#Data],2,0)</f>
        <v>BUPA</v>
      </c>
      <c r="R306" s="13" t="e">
        <f>+VLOOKUP(Regiones[[#This Row],[Cola]],Tabla68[],2,0)</f>
        <v>#N/A</v>
      </c>
    </row>
    <row r="307" spans="2:18" x14ac:dyDescent="0.3">
      <c r="B307" s="6">
        <v>46206</v>
      </c>
      <c r="C307" s="14">
        <v>0.39583333333333331</v>
      </c>
      <c r="D307" t="s">
        <v>56</v>
      </c>
      <c r="E307" t="s">
        <v>18</v>
      </c>
      <c r="F307">
        <v>1</v>
      </c>
      <c r="G307">
        <v>1</v>
      </c>
      <c r="H307">
        <v>0</v>
      </c>
      <c r="I307" s="2">
        <v>1</v>
      </c>
      <c r="J307" s="14" t="s">
        <v>19</v>
      </c>
      <c r="K307" s="6">
        <f>INT(Regiones[[#This Row],[Fecha]])</f>
        <v>46206</v>
      </c>
      <c r="L307" s="10">
        <f>IFERROR(Regiones[[#This Row],[Contestadas]]/Regiones[[#This Row],[Ofrecidas]],"")</f>
        <v>1</v>
      </c>
      <c r="M307" s="7">
        <f>IFERROR(Regiones[[#This Row],[Ofrecidas]]*Regiones[[#This Row],[% de nivel de servicio]],"")</f>
        <v>1</v>
      </c>
      <c r="N307" s="7"/>
      <c r="O307" s="12">
        <f>IFERROR(Regiones[[#This Row],[Aten &lt; 20 seg]]/Regiones[[#This Row],[Contestadas]],"")</f>
        <v>1</v>
      </c>
      <c r="P307" s="13" t="str">
        <f>IFERROR(Regiones[[#This Row],[AHT]]*86400,"error")</f>
        <v>error</v>
      </c>
      <c r="Q307" s="13" t="str">
        <f>+VLOOKUP(Regiones[[#This Row],[Cola]],Tabla6[#Data],2,0)</f>
        <v>BUPA</v>
      </c>
      <c r="R307" s="13" t="e">
        <f>+VLOOKUP(Regiones[[#This Row],[Cola]],Tabla68[],2,0)</f>
        <v>#N/A</v>
      </c>
    </row>
    <row r="308" spans="2:18" x14ac:dyDescent="0.3">
      <c r="B308" s="6">
        <v>46206</v>
      </c>
      <c r="C308" s="14">
        <v>0.39583333333333331</v>
      </c>
      <c r="D308" t="s">
        <v>53</v>
      </c>
      <c r="E308" t="s">
        <v>18</v>
      </c>
      <c r="F308">
        <v>4</v>
      </c>
      <c r="G308">
        <v>4</v>
      </c>
      <c r="H308">
        <v>0</v>
      </c>
      <c r="I308" s="2">
        <v>1</v>
      </c>
      <c r="J308" s="14">
        <v>5.1504629629629626E-3</v>
      </c>
      <c r="K308" s="6">
        <f>INT(Regiones[[#This Row],[Fecha]])</f>
        <v>46206</v>
      </c>
      <c r="L308" s="10">
        <f>IFERROR(Regiones[[#This Row],[Contestadas]]/Regiones[[#This Row],[Ofrecidas]],"")</f>
        <v>1</v>
      </c>
      <c r="M308" s="7">
        <f>IFERROR(Regiones[[#This Row],[Ofrecidas]]*Regiones[[#This Row],[% de nivel de servicio]],"")</f>
        <v>4</v>
      </c>
      <c r="N308" s="7"/>
      <c r="O308" s="12">
        <f>IFERROR(Regiones[[#This Row],[Aten &lt; 20 seg]]/Regiones[[#This Row],[Contestadas]],"")</f>
        <v>1</v>
      </c>
      <c r="P308" s="13">
        <f>IFERROR(Regiones[[#This Row],[AHT]]*86400,"error")</f>
        <v>444.99999999999994</v>
      </c>
      <c r="Q308" s="13" t="str">
        <f>+VLOOKUP(Regiones[[#This Row],[Cola]],Tabla6[#Data],2,0)</f>
        <v>BUPA</v>
      </c>
      <c r="R308" s="13" t="e">
        <f>+VLOOKUP(Regiones[[#This Row],[Cola]],Tabla68[],2,0)</f>
        <v>#N/A</v>
      </c>
    </row>
    <row r="309" spans="2:18" x14ac:dyDescent="0.3">
      <c r="B309" s="6">
        <v>46206</v>
      </c>
      <c r="C309" s="14">
        <v>0.39583333333333331</v>
      </c>
      <c r="D309" t="s">
        <v>55</v>
      </c>
      <c r="E309" t="s">
        <v>18</v>
      </c>
      <c r="F309">
        <v>1</v>
      </c>
      <c r="G309">
        <v>1</v>
      </c>
      <c r="H309">
        <v>0</v>
      </c>
      <c r="I309" s="2">
        <v>1</v>
      </c>
      <c r="J309" s="14" t="s">
        <v>19</v>
      </c>
      <c r="K309" s="6">
        <f>INT(Regiones[[#This Row],[Fecha]])</f>
        <v>46206</v>
      </c>
      <c r="L309" s="10">
        <f>IFERROR(Regiones[[#This Row],[Contestadas]]/Regiones[[#This Row],[Ofrecidas]],"")</f>
        <v>1</v>
      </c>
      <c r="M309" s="7">
        <f>IFERROR(Regiones[[#This Row],[Ofrecidas]]*Regiones[[#This Row],[% de nivel de servicio]],"")</f>
        <v>1</v>
      </c>
      <c r="N309" s="7"/>
      <c r="O309" s="12">
        <f>IFERROR(Regiones[[#This Row],[Aten &lt; 20 seg]]/Regiones[[#This Row],[Contestadas]],"")</f>
        <v>1</v>
      </c>
      <c r="P309" s="13" t="str">
        <f>IFERROR(Regiones[[#This Row],[AHT]]*86400,"error")</f>
        <v>error</v>
      </c>
      <c r="Q309" s="13" t="str">
        <f>+VLOOKUP(Regiones[[#This Row],[Cola]],Tabla6[#Data],2,0)</f>
        <v>BUPA</v>
      </c>
      <c r="R309" s="13" t="e">
        <f>+VLOOKUP(Regiones[[#This Row],[Cola]],Tabla68[],2,0)</f>
        <v>#N/A</v>
      </c>
    </row>
    <row r="310" spans="2:18" x14ac:dyDescent="0.3">
      <c r="B310" s="6">
        <v>46206</v>
      </c>
      <c r="C310" s="14">
        <v>0.39583333333333331</v>
      </c>
      <c r="D310" t="s">
        <v>50</v>
      </c>
      <c r="E310" t="s">
        <v>18</v>
      </c>
      <c r="F310">
        <v>3</v>
      </c>
      <c r="G310">
        <v>3</v>
      </c>
      <c r="H310">
        <v>0</v>
      </c>
      <c r="I310" s="2">
        <v>1</v>
      </c>
      <c r="J310" s="14">
        <v>5.6712962962962967E-4</v>
      </c>
      <c r="K310" s="6">
        <f>INT(Regiones[[#This Row],[Fecha]])</f>
        <v>46206</v>
      </c>
      <c r="L310" s="10">
        <f>IFERROR(Regiones[[#This Row],[Contestadas]]/Regiones[[#This Row],[Ofrecidas]],"")</f>
        <v>1</v>
      </c>
      <c r="M310" s="7">
        <f>IFERROR(Regiones[[#This Row],[Ofrecidas]]*Regiones[[#This Row],[% de nivel de servicio]],"")</f>
        <v>3</v>
      </c>
      <c r="N310" s="7"/>
      <c r="O310" s="12">
        <f>IFERROR(Regiones[[#This Row],[Aten &lt; 20 seg]]/Regiones[[#This Row],[Contestadas]],"")</f>
        <v>1</v>
      </c>
      <c r="P310" s="13">
        <f>IFERROR(Regiones[[#This Row],[AHT]]*86400,"error")</f>
        <v>49</v>
      </c>
      <c r="Q310" s="13" t="str">
        <f>+VLOOKUP(Regiones[[#This Row],[Cola]],Tabla6[#Data],2,0)</f>
        <v>BUPA</v>
      </c>
      <c r="R310" s="13" t="e">
        <f>+VLOOKUP(Regiones[[#This Row],[Cola]],Tabla68[],2,0)</f>
        <v>#N/A</v>
      </c>
    </row>
    <row r="311" spans="2:18" x14ac:dyDescent="0.3">
      <c r="B311" s="6">
        <v>46206</v>
      </c>
      <c r="C311" s="14">
        <v>0.39583333333333331</v>
      </c>
      <c r="D311" t="s">
        <v>46</v>
      </c>
      <c r="E311" t="s">
        <v>18</v>
      </c>
      <c r="F311">
        <v>6</v>
      </c>
      <c r="G311">
        <v>6</v>
      </c>
      <c r="H311">
        <v>0</v>
      </c>
      <c r="I311" s="2">
        <v>1</v>
      </c>
      <c r="J311" s="14">
        <v>6.0069444444444441E-3</v>
      </c>
      <c r="K311" s="6">
        <f>INT(Regiones[[#This Row],[Fecha]])</f>
        <v>46206</v>
      </c>
      <c r="L311" s="10">
        <f>IFERROR(Regiones[[#This Row],[Contestadas]]/Regiones[[#This Row],[Ofrecidas]],"")</f>
        <v>1</v>
      </c>
      <c r="M311" s="7">
        <f>IFERROR(Regiones[[#This Row],[Ofrecidas]]*Regiones[[#This Row],[% de nivel de servicio]],"")</f>
        <v>6</v>
      </c>
      <c r="N311" s="7"/>
      <c r="O311" s="12">
        <f>IFERROR(Regiones[[#This Row],[Aten &lt; 20 seg]]/Regiones[[#This Row],[Contestadas]],"")</f>
        <v>1</v>
      </c>
      <c r="P311" s="13">
        <f>IFERROR(Regiones[[#This Row],[AHT]]*86400,"error")</f>
        <v>519</v>
      </c>
      <c r="Q311" s="13" t="str">
        <f>+VLOOKUP(Regiones[[#This Row],[Cola]],Tabla6[#Data],2,0)</f>
        <v>BUPA</v>
      </c>
      <c r="R311" s="13" t="e">
        <f>+VLOOKUP(Regiones[[#This Row],[Cola]],Tabla68[],2,0)</f>
        <v>#N/A</v>
      </c>
    </row>
    <row r="312" spans="2:18" x14ac:dyDescent="0.3">
      <c r="B312" s="6">
        <v>46206</v>
      </c>
      <c r="C312" s="14">
        <v>0.39583333333333331</v>
      </c>
      <c r="D312" t="s">
        <v>47</v>
      </c>
      <c r="E312" t="s">
        <v>18</v>
      </c>
      <c r="F312">
        <v>10</v>
      </c>
      <c r="G312">
        <v>11</v>
      </c>
      <c r="H312">
        <v>0</v>
      </c>
      <c r="I312" s="2">
        <v>1</v>
      </c>
      <c r="J312" s="14">
        <v>3.9583333333333337E-3</v>
      </c>
      <c r="K312" s="6">
        <f>INT(Regiones[[#This Row],[Fecha]])</f>
        <v>46206</v>
      </c>
      <c r="L312" s="10">
        <f>IFERROR(Regiones[[#This Row],[Contestadas]]/Regiones[[#This Row],[Ofrecidas]],"")</f>
        <v>1.1000000000000001</v>
      </c>
      <c r="M312" s="7">
        <f>IFERROR(Regiones[[#This Row],[Ofrecidas]]*Regiones[[#This Row],[% de nivel de servicio]],"")</f>
        <v>10</v>
      </c>
      <c r="N312" s="7"/>
      <c r="O312" s="12">
        <f>IFERROR(Regiones[[#This Row],[Aten &lt; 20 seg]]/Regiones[[#This Row],[Contestadas]],"")</f>
        <v>0.90909090909090906</v>
      </c>
      <c r="P312" s="13">
        <f>IFERROR(Regiones[[#This Row],[AHT]]*86400,"error")</f>
        <v>342.00000000000006</v>
      </c>
      <c r="Q312" s="13" t="str">
        <f>+VLOOKUP(Regiones[[#This Row],[Cola]],Tabla6[#Data],2,0)</f>
        <v>BUPA</v>
      </c>
      <c r="R312" s="13" t="e">
        <f>+VLOOKUP(Regiones[[#This Row],[Cola]],Tabla68[],2,0)</f>
        <v>#N/A</v>
      </c>
    </row>
    <row r="313" spans="2:18" x14ac:dyDescent="0.3">
      <c r="B313" s="6">
        <v>46206</v>
      </c>
      <c r="C313" s="14">
        <v>0.39583333333333331</v>
      </c>
      <c r="D313" t="s">
        <v>48</v>
      </c>
      <c r="E313" t="s">
        <v>18</v>
      </c>
      <c r="F313">
        <v>7</v>
      </c>
      <c r="G313">
        <v>7</v>
      </c>
      <c r="H313">
        <v>0</v>
      </c>
      <c r="I313" s="2">
        <v>1</v>
      </c>
      <c r="J313" s="14">
        <v>3.6805555555555554E-3</v>
      </c>
      <c r="K313" s="6">
        <f>INT(Regiones[[#This Row],[Fecha]])</f>
        <v>46206</v>
      </c>
      <c r="L313" s="10">
        <f>IFERROR(Regiones[[#This Row],[Contestadas]]/Regiones[[#This Row],[Ofrecidas]],"")</f>
        <v>1</v>
      </c>
      <c r="M313" s="7">
        <f>IFERROR(Regiones[[#This Row],[Ofrecidas]]*Regiones[[#This Row],[% de nivel de servicio]],"")</f>
        <v>7</v>
      </c>
      <c r="N313" s="7"/>
      <c r="O313" s="12">
        <f>IFERROR(Regiones[[#This Row],[Aten &lt; 20 seg]]/Regiones[[#This Row],[Contestadas]],"")</f>
        <v>1</v>
      </c>
      <c r="P313" s="13">
        <f>IFERROR(Regiones[[#This Row],[AHT]]*86400,"error")</f>
        <v>318</v>
      </c>
      <c r="Q313" s="13" t="str">
        <f>+VLOOKUP(Regiones[[#This Row],[Cola]],Tabla6[#Data],2,0)</f>
        <v>BUPA</v>
      </c>
      <c r="R313" s="13" t="e">
        <f>+VLOOKUP(Regiones[[#This Row],[Cola]],Tabla68[],2,0)</f>
        <v>#N/A</v>
      </c>
    </row>
    <row r="314" spans="2:18" x14ac:dyDescent="0.3">
      <c r="B314" s="6">
        <v>46206</v>
      </c>
      <c r="C314" s="14">
        <v>0.41666666666666669</v>
      </c>
      <c r="D314" t="s">
        <v>57</v>
      </c>
      <c r="E314" t="s">
        <v>18</v>
      </c>
      <c r="F314">
        <v>1</v>
      </c>
      <c r="G314">
        <v>1</v>
      </c>
      <c r="H314">
        <v>0</v>
      </c>
      <c r="I314" s="2">
        <v>1</v>
      </c>
      <c r="J314" s="14">
        <v>5.1504629629629626E-3</v>
      </c>
      <c r="K314" s="6">
        <f>INT(Regiones[[#This Row],[Fecha]])</f>
        <v>46206</v>
      </c>
      <c r="L314" s="10">
        <f>IFERROR(Regiones[[#This Row],[Contestadas]]/Regiones[[#This Row],[Ofrecidas]],"")</f>
        <v>1</v>
      </c>
      <c r="M314" s="7">
        <f>IFERROR(Regiones[[#This Row],[Ofrecidas]]*Regiones[[#This Row],[% de nivel de servicio]],"")</f>
        <v>1</v>
      </c>
      <c r="N314" s="7"/>
      <c r="O314" s="12">
        <f>IFERROR(Regiones[[#This Row],[Aten &lt; 20 seg]]/Regiones[[#This Row],[Contestadas]],"")</f>
        <v>1</v>
      </c>
      <c r="P314" s="13">
        <f>IFERROR(Regiones[[#This Row],[AHT]]*86400,"error")</f>
        <v>444.99999999999994</v>
      </c>
      <c r="Q314" s="13" t="str">
        <f>+VLOOKUP(Regiones[[#This Row],[Cola]],Tabla6[#Data],2,0)</f>
        <v>BUPA</v>
      </c>
      <c r="R314" s="13" t="e">
        <f>+VLOOKUP(Regiones[[#This Row],[Cola]],Tabla68[],2,0)</f>
        <v>#N/A</v>
      </c>
    </row>
    <row r="315" spans="2:18" x14ac:dyDescent="0.3">
      <c r="B315" s="6">
        <v>46206</v>
      </c>
      <c r="C315" s="14">
        <v>0.41666666666666669</v>
      </c>
      <c r="D315" t="s">
        <v>48</v>
      </c>
      <c r="E315" t="s">
        <v>18</v>
      </c>
      <c r="F315">
        <v>4</v>
      </c>
      <c r="G315">
        <v>4</v>
      </c>
      <c r="H315">
        <v>0</v>
      </c>
      <c r="I315" s="2">
        <v>1</v>
      </c>
      <c r="J315" s="14">
        <v>5.1736111111111115E-3</v>
      </c>
      <c r="K315" s="6">
        <f>INT(Regiones[[#This Row],[Fecha]])</f>
        <v>46206</v>
      </c>
      <c r="L315" s="10">
        <f>IFERROR(Regiones[[#This Row],[Contestadas]]/Regiones[[#This Row],[Ofrecidas]],"")</f>
        <v>1</v>
      </c>
      <c r="M315" s="7">
        <f>IFERROR(Regiones[[#This Row],[Ofrecidas]]*Regiones[[#This Row],[% de nivel de servicio]],"")</f>
        <v>4</v>
      </c>
      <c r="N315" s="7"/>
      <c r="O315" s="12">
        <f>IFERROR(Regiones[[#This Row],[Aten &lt; 20 seg]]/Regiones[[#This Row],[Contestadas]],"")</f>
        <v>1</v>
      </c>
      <c r="P315" s="13">
        <f>IFERROR(Regiones[[#This Row],[AHT]]*86400,"error")</f>
        <v>447.00000000000006</v>
      </c>
      <c r="Q315" s="13" t="str">
        <f>+VLOOKUP(Regiones[[#This Row],[Cola]],Tabla6[#Data],2,0)</f>
        <v>BUPA</v>
      </c>
      <c r="R315" s="13" t="e">
        <f>+VLOOKUP(Regiones[[#This Row],[Cola]],Tabla68[],2,0)</f>
        <v>#N/A</v>
      </c>
    </row>
    <row r="316" spans="2:18" x14ac:dyDescent="0.3">
      <c r="B316" s="6">
        <v>46206</v>
      </c>
      <c r="C316" s="14">
        <v>0.41666666666666669</v>
      </c>
      <c r="D316" t="s">
        <v>56</v>
      </c>
      <c r="E316" t="s">
        <v>18</v>
      </c>
      <c r="F316">
        <v>0</v>
      </c>
      <c r="G316">
        <v>0</v>
      </c>
      <c r="H316">
        <v>0</v>
      </c>
      <c r="I316" s="2" t="s">
        <v>20</v>
      </c>
      <c r="J316" s="14">
        <v>7.766203703703704E-3</v>
      </c>
      <c r="K316" s="6">
        <f>INT(Regiones[[#This Row],[Fecha]])</f>
        <v>46206</v>
      </c>
      <c r="L316" s="10" t="str">
        <f>IFERROR(Regiones[[#This Row],[Contestadas]]/Regiones[[#This Row],[Ofrecidas]],"")</f>
        <v/>
      </c>
      <c r="M316" s="7" t="str">
        <f>IFERROR(Regiones[[#This Row],[Ofrecidas]]*Regiones[[#This Row],[% de nivel de servicio]],"")</f>
        <v/>
      </c>
      <c r="N316" s="7"/>
      <c r="O316" s="12" t="str">
        <f>IFERROR(Regiones[[#This Row],[Aten &lt; 20 seg]]/Regiones[[#This Row],[Contestadas]],"")</f>
        <v/>
      </c>
      <c r="P316" s="13">
        <f>IFERROR(Regiones[[#This Row],[AHT]]*86400,"error")</f>
        <v>671</v>
      </c>
      <c r="Q316" s="13" t="str">
        <f>+VLOOKUP(Regiones[[#This Row],[Cola]],Tabla6[#Data],2,0)</f>
        <v>BUPA</v>
      </c>
      <c r="R316" s="13" t="e">
        <f>+VLOOKUP(Regiones[[#This Row],[Cola]],Tabla68[],2,0)</f>
        <v>#N/A</v>
      </c>
    </row>
    <row r="317" spans="2:18" x14ac:dyDescent="0.3">
      <c r="B317" s="6">
        <v>46206</v>
      </c>
      <c r="C317" s="14">
        <v>0.41666666666666669</v>
      </c>
      <c r="D317" t="s">
        <v>55</v>
      </c>
      <c r="E317" t="s">
        <v>18</v>
      </c>
      <c r="F317">
        <v>1</v>
      </c>
      <c r="G317">
        <v>1</v>
      </c>
      <c r="H317">
        <v>0</v>
      </c>
      <c r="I317" s="2">
        <v>0</v>
      </c>
      <c r="J317" s="14">
        <v>3.425925925925926E-3</v>
      </c>
      <c r="K317" s="6">
        <f>INT(Regiones[[#This Row],[Fecha]])</f>
        <v>46206</v>
      </c>
      <c r="L317" s="10">
        <f>IFERROR(Regiones[[#This Row],[Contestadas]]/Regiones[[#This Row],[Ofrecidas]],"")</f>
        <v>1</v>
      </c>
      <c r="M317" s="7">
        <f>IFERROR(Regiones[[#This Row],[Ofrecidas]]*Regiones[[#This Row],[% de nivel de servicio]],"")</f>
        <v>0</v>
      </c>
      <c r="N317" s="7"/>
      <c r="O317" s="12">
        <f>IFERROR(Regiones[[#This Row],[Aten &lt; 20 seg]]/Regiones[[#This Row],[Contestadas]],"")</f>
        <v>0</v>
      </c>
      <c r="P317" s="13">
        <f>IFERROR(Regiones[[#This Row],[AHT]]*86400,"error")</f>
        <v>296</v>
      </c>
      <c r="Q317" s="13" t="str">
        <f>+VLOOKUP(Regiones[[#This Row],[Cola]],Tabla6[#Data],2,0)</f>
        <v>BUPA</v>
      </c>
      <c r="R317" s="13" t="e">
        <f>+VLOOKUP(Regiones[[#This Row],[Cola]],Tabla68[],2,0)</f>
        <v>#N/A</v>
      </c>
    </row>
    <row r="318" spans="2:18" x14ac:dyDescent="0.3">
      <c r="B318" s="6">
        <v>46206</v>
      </c>
      <c r="C318" s="14">
        <v>0.41666666666666669</v>
      </c>
      <c r="D318" t="s">
        <v>53</v>
      </c>
      <c r="E318" t="s">
        <v>18</v>
      </c>
      <c r="F318">
        <v>3</v>
      </c>
      <c r="G318">
        <v>3</v>
      </c>
      <c r="H318">
        <v>0</v>
      </c>
      <c r="I318" s="2">
        <v>0.67</v>
      </c>
      <c r="J318" s="14">
        <v>4.5138888888888885E-3</v>
      </c>
      <c r="K318" s="6">
        <f>INT(Regiones[[#This Row],[Fecha]])</f>
        <v>46206</v>
      </c>
      <c r="L318" s="10">
        <f>IFERROR(Regiones[[#This Row],[Contestadas]]/Regiones[[#This Row],[Ofrecidas]],"")</f>
        <v>1</v>
      </c>
      <c r="M318" s="7">
        <f>IFERROR(Regiones[[#This Row],[Ofrecidas]]*Regiones[[#This Row],[% de nivel de servicio]],"")</f>
        <v>2.0100000000000002</v>
      </c>
      <c r="N318" s="7"/>
      <c r="O318" s="12">
        <f>IFERROR(Regiones[[#This Row],[Aten &lt; 20 seg]]/Regiones[[#This Row],[Contestadas]],"")</f>
        <v>0.67</v>
      </c>
      <c r="P318" s="13">
        <f>IFERROR(Regiones[[#This Row],[AHT]]*86400,"error")</f>
        <v>389.99999999999994</v>
      </c>
      <c r="Q318" s="13" t="str">
        <f>+VLOOKUP(Regiones[[#This Row],[Cola]],Tabla6[#Data],2,0)</f>
        <v>BUPA</v>
      </c>
      <c r="R318" s="13" t="e">
        <f>+VLOOKUP(Regiones[[#This Row],[Cola]],Tabla68[],2,0)</f>
        <v>#N/A</v>
      </c>
    </row>
    <row r="319" spans="2:18" x14ac:dyDescent="0.3">
      <c r="B319" s="6">
        <v>46206</v>
      </c>
      <c r="C319" s="14">
        <v>0.41666666666666669</v>
      </c>
      <c r="D319" t="s">
        <v>47</v>
      </c>
      <c r="E319" t="s">
        <v>18</v>
      </c>
      <c r="F319">
        <v>10</v>
      </c>
      <c r="G319">
        <v>10</v>
      </c>
      <c r="H319">
        <v>0</v>
      </c>
      <c r="I319" s="2">
        <v>0.9</v>
      </c>
      <c r="J319" s="14">
        <v>4.1666666666666666E-3</v>
      </c>
      <c r="K319" s="6">
        <f>INT(Regiones[[#This Row],[Fecha]])</f>
        <v>46206</v>
      </c>
      <c r="L319" s="10">
        <f>IFERROR(Regiones[[#This Row],[Contestadas]]/Regiones[[#This Row],[Ofrecidas]],"")</f>
        <v>1</v>
      </c>
      <c r="M319" s="7">
        <f>IFERROR(Regiones[[#This Row],[Ofrecidas]]*Regiones[[#This Row],[% de nivel de servicio]],"")</f>
        <v>9</v>
      </c>
      <c r="N319" s="7"/>
      <c r="O319" s="12">
        <f>IFERROR(Regiones[[#This Row],[Aten &lt; 20 seg]]/Regiones[[#This Row],[Contestadas]],"")</f>
        <v>0.9</v>
      </c>
      <c r="P319" s="13">
        <f>IFERROR(Regiones[[#This Row],[AHT]]*86400,"error")</f>
        <v>360</v>
      </c>
      <c r="Q319" s="13" t="str">
        <f>+VLOOKUP(Regiones[[#This Row],[Cola]],Tabla6[#Data],2,0)</f>
        <v>BUPA</v>
      </c>
      <c r="R319" s="13" t="e">
        <f>+VLOOKUP(Regiones[[#This Row],[Cola]],Tabla68[],2,0)</f>
        <v>#N/A</v>
      </c>
    </row>
    <row r="320" spans="2:18" x14ac:dyDescent="0.3">
      <c r="B320" s="6">
        <v>46206</v>
      </c>
      <c r="C320" s="14">
        <v>0.41666666666666669</v>
      </c>
      <c r="D320" t="s">
        <v>46</v>
      </c>
      <c r="E320" t="s">
        <v>18</v>
      </c>
      <c r="F320">
        <v>9</v>
      </c>
      <c r="G320">
        <v>9</v>
      </c>
      <c r="H320">
        <v>0</v>
      </c>
      <c r="I320" s="2">
        <v>0.67</v>
      </c>
      <c r="J320" s="14">
        <v>5.6481481481481478E-3</v>
      </c>
      <c r="K320" s="6">
        <f>INT(Regiones[[#This Row],[Fecha]])</f>
        <v>46206</v>
      </c>
      <c r="L320" s="10">
        <f>IFERROR(Regiones[[#This Row],[Contestadas]]/Regiones[[#This Row],[Ofrecidas]],"")</f>
        <v>1</v>
      </c>
      <c r="M320" s="7">
        <f>IFERROR(Regiones[[#This Row],[Ofrecidas]]*Regiones[[#This Row],[% de nivel de servicio]],"")</f>
        <v>6.03</v>
      </c>
      <c r="N320" s="7"/>
      <c r="O320" s="12">
        <f>IFERROR(Regiones[[#This Row],[Aten &lt; 20 seg]]/Regiones[[#This Row],[Contestadas]],"")</f>
        <v>0.67</v>
      </c>
      <c r="P320" s="13">
        <f>IFERROR(Regiones[[#This Row],[AHT]]*86400,"error")</f>
        <v>487.99999999999994</v>
      </c>
      <c r="Q320" s="13" t="str">
        <f>+VLOOKUP(Regiones[[#This Row],[Cola]],Tabla6[#Data],2,0)</f>
        <v>BUPA</v>
      </c>
      <c r="R320" s="13" t="e">
        <f>+VLOOKUP(Regiones[[#This Row],[Cola]],Tabla68[],2,0)</f>
        <v>#N/A</v>
      </c>
    </row>
    <row r="321" spans="2:18" x14ac:dyDescent="0.3">
      <c r="B321" s="6">
        <v>46206</v>
      </c>
      <c r="C321" s="14">
        <v>0.4375</v>
      </c>
      <c r="D321" t="s">
        <v>46</v>
      </c>
      <c r="E321" t="s">
        <v>18</v>
      </c>
      <c r="F321">
        <v>8</v>
      </c>
      <c r="G321">
        <v>8</v>
      </c>
      <c r="H321">
        <v>0</v>
      </c>
      <c r="I321" s="2">
        <v>0.38</v>
      </c>
      <c r="J321" s="14">
        <v>5.4166666666666669E-3</v>
      </c>
      <c r="K321" s="6">
        <f>INT(Regiones[[#This Row],[Fecha]])</f>
        <v>46206</v>
      </c>
      <c r="L321" s="10">
        <f>IFERROR(Regiones[[#This Row],[Contestadas]]/Regiones[[#This Row],[Ofrecidas]],"")</f>
        <v>1</v>
      </c>
      <c r="M321" s="7">
        <f>IFERROR(Regiones[[#This Row],[Ofrecidas]]*Regiones[[#This Row],[% de nivel de servicio]],"")</f>
        <v>3.04</v>
      </c>
      <c r="N321" s="7"/>
      <c r="O321" s="12">
        <f>IFERROR(Regiones[[#This Row],[Aten &lt; 20 seg]]/Regiones[[#This Row],[Contestadas]],"")</f>
        <v>0.38</v>
      </c>
      <c r="P321" s="13">
        <f>IFERROR(Regiones[[#This Row],[AHT]]*86400,"error")</f>
        <v>468</v>
      </c>
      <c r="Q321" s="13" t="str">
        <f>+VLOOKUP(Regiones[[#This Row],[Cola]],Tabla6[#Data],2,0)</f>
        <v>BUPA</v>
      </c>
      <c r="R321" s="13" t="e">
        <f>+VLOOKUP(Regiones[[#This Row],[Cola]],Tabla68[],2,0)</f>
        <v>#N/A</v>
      </c>
    </row>
    <row r="322" spans="2:18" x14ac:dyDescent="0.3">
      <c r="B322" s="6">
        <v>46206</v>
      </c>
      <c r="C322" s="14">
        <v>0.4375</v>
      </c>
      <c r="D322" t="s">
        <v>47</v>
      </c>
      <c r="E322" t="s">
        <v>18</v>
      </c>
      <c r="F322">
        <v>9</v>
      </c>
      <c r="G322">
        <v>9</v>
      </c>
      <c r="H322">
        <v>0</v>
      </c>
      <c r="I322" s="2">
        <v>0.56000000000000005</v>
      </c>
      <c r="J322" s="14">
        <v>2.9050925925925928E-3</v>
      </c>
      <c r="K322" s="6">
        <f>INT(Regiones[[#This Row],[Fecha]])</f>
        <v>46206</v>
      </c>
      <c r="L322" s="10">
        <f>IFERROR(Regiones[[#This Row],[Contestadas]]/Regiones[[#This Row],[Ofrecidas]],"")</f>
        <v>1</v>
      </c>
      <c r="M322" s="7">
        <f>IFERROR(Regiones[[#This Row],[Ofrecidas]]*Regiones[[#This Row],[% de nivel de servicio]],"")</f>
        <v>5.0400000000000009</v>
      </c>
      <c r="N322" s="7"/>
      <c r="O322" s="12">
        <f>IFERROR(Regiones[[#This Row],[Aten &lt; 20 seg]]/Regiones[[#This Row],[Contestadas]],"")</f>
        <v>0.56000000000000005</v>
      </c>
      <c r="P322" s="13">
        <f>IFERROR(Regiones[[#This Row],[AHT]]*86400,"error")</f>
        <v>251.00000000000003</v>
      </c>
      <c r="Q322" s="13" t="str">
        <f>+VLOOKUP(Regiones[[#This Row],[Cola]],Tabla6[#Data],2,0)</f>
        <v>BUPA</v>
      </c>
      <c r="R322" s="13" t="e">
        <f>+VLOOKUP(Regiones[[#This Row],[Cola]],Tabla68[],2,0)</f>
        <v>#N/A</v>
      </c>
    </row>
    <row r="323" spans="2:18" x14ac:dyDescent="0.3">
      <c r="B323" s="6">
        <v>46206</v>
      </c>
      <c r="C323" s="14">
        <v>0.4375</v>
      </c>
      <c r="D323" t="s">
        <v>52</v>
      </c>
      <c r="E323" t="s">
        <v>18</v>
      </c>
      <c r="F323">
        <v>2</v>
      </c>
      <c r="G323">
        <v>2</v>
      </c>
      <c r="H323">
        <v>0</v>
      </c>
      <c r="I323" s="2">
        <v>1</v>
      </c>
      <c r="J323" s="14">
        <v>3.7037037037037038E-3</v>
      </c>
      <c r="K323" s="6">
        <f>INT(Regiones[[#This Row],[Fecha]])</f>
        <v>46206</v>
      </c>
      <c r="L323" s="10">
        <f>IFERROR(Regiones[[#This Row],[Contestadas]]/Regiones[[#This Row],[Ofrecidas]],"")</f>
        <v>1</v>
      </c>
      <c r="M323" s="7">
        <f>IFERROR(Regiones[[#This Row],[Ofrecidas]]*Regiones[[#This Row],[% de nivel de servicio]],"")</f>
        <v>2</v>
      </c>
      <c r="N323" s="7"/>
      <c r="O323" s="12">
        <f>IFERROR(Regiones[[#This Row],[Aten &lt; 20 seg]]/Regiones[[#This Row],[Contestadas]],"")</f>
        <v>1</v>
      </c>
      <c r="P323" s="13">
        <f>IFERROR(Regiones[[#This Row],[AHT]]*86400,"error")</f>
        <v>320</v>
      </c>
      <c r="Q323" s="13" t="str">
        <f>+VLOOKUP(Regiones[[#This Row],[Cola]],Tabla6[#Data],2,0)</f>
        <v>BUPA</v>
      </c>
      <c r="R323" s="13" t="e">
        <f>+VLOOKUP(Regiones[[#This Row],[Cola]],Tabla68[],2,0)</f>
        <v>#N/A</v>
      </c>
    </row>
    <row r="324" spans="2:18" x14ac:dyDescent="0.3">
      <c r="B324" s="6">
        <v>46206</v>
      </c>
      <c r="C324" s="14">
        <v>0.4375</v>
      </c>
      <c r="D324" t="s">
        <v>49</v>
      </c>
      <c r="E324" t="s">
        <v>18</v>
      </c>
      <c r="F324">
        <v>1</v>
      </c>
      <c r="G324">
        <v>1</v>
      </c>
      <c r="H324">
        <v>0</v>
      </c>
      <c r="I324" s="2">
        <v>1</v>
      </c>
      <c r="J324" s="14" t="s">
        <v>19</v>
      </c>
      <c r="K324" s="6">
        <f>INT(Regiones[[#This Row],[Fecha]])</f>
        <v>46206</v>
      </c>
      <c r="L324" s="10">
        <f>IFERROR(Regiones[[#This Row],[Contestadas]]/Regiones[[#This Row],[Ofrecidas]],"")</f>
        <v>1</v>
      </c>
      <c r="M324" s="7">
        <f>IFERROR(Regiones[[#This Row],[Ofrecidas]]*Regiones[[#This Row],[% de nivel de servicio]],"")</f>
        <v>1</v>
      </c>
      <c r="N324" s="7"/>
      <c r="O324" s="12">
        <f>IFERROR(Regiones[[#This Row],[Aten &lt; 20 seg]]/Regiones[[#This Row],[Contestadas]],"")</f>
        <v>1</v>
      </c>
      <c r="P324" s="13" t="str">
        <f>IFERROR(Regiones[[#This Row],[AHT]]*86400,"error")</f>
        <v>error</v>
      </c>
      <c r="Q324" s="13" t="str">
        <f>+VLOOKUP(Regiones[[#This Row],[Cola]],Tabla6[#Data],2,0)</f>
        <v>BUPA</v>
      </c>
      <c r="R324" s="13" t="e">
        <f>+VLOOKUP(Regiones[[#This Row],[Cola]],Tabla68[],2,0)</f>
        <v>#N/A</v>
      </c>
    </row>
    <row r="325" spans="2:18" x14ac:dyDescent="0.3">
      <c r="B325" s="6">
        <v>46206</v>
      </c>
      <c r="C325" s="14">
        <v>0.4375</v>
      </c>
      <c r="D325" t="s">
        <v>57</v>
      </c>
      <c r="E325" t="s">
        <v>18</v>
      </c>
      <c r="F325">
        <v>2</v>
      </c>
      <c r="G325">
        <v>2</v>
      </c>
      <c r="H325">
        <v>0</v>
      </c>
      <c r="I325" s="2">
        <v>1</v>
      </c>
      <c r="J325" s="14">
        <v>5.6712962962962967E-4</v>
      </c>
      <c r="K325" s="6">
        <f>INT(Regiones[[#This Row],[Fecha]])</f>
        <v>46206</v>
      </c>
      <c r="L325" s="10">
        <f>IFERROR(Regiones[[#This Row],[Contestadas]]/Regiones[[#This Row],[Ofrecidas]],"")</f>
        <v>1</v>
      </c>
      <c r="M325" s="7">
        <f>IFERROR(Regiones[[#This Row],[Ofrecidas]]*Regiones[[#This Row],[% de nivel de servicio]],"")</f>
        <v>2</v>
      </c>
      <c r="N325" s="7"/>
      <c r="O325" s="12">
        <f>IFERROR(Regiones[[#This Row],[Aten &lt; 20 seg]]/Regiones[[#This Row],[Contestadas]],"")</f>
        <v>1</v>
      </c>
      <c r="P325" s="13">
        <f>IFERROR(Regiones[[#This Row],[AHT]]*86400,"error")</f>
        <v>49</v>
      </c>
      <c r="Q325" s="13" t="str">
        <f>+VLOOKUP(Regiones[[#This Row],[Cola]],Tabla6[#Data],2,0)</f>
        <v>BUPA</v>
      </c>
      <c r="R325" s="13" t="e">
        <f>+VLOOKUP(Regiones[[#This Row],[Cola]],Tabla68[],2,0)</f>
        <v>#N/A</v>
      </c>
    </row>
    <row r="326" spans="2:18" x14ac:dyDescent="0.3">
      <c r="B326" s="6">
        <v>46206</v>
      </c>
      <c r="C326" s="14">
        <v>0.4375</v>
      </c>
      <c r="D326" t="s">
        <v>48</v>
      </c>
      <c r="E326" t="s">
        <v>18</v>
      </c>
      <c r="F326">
        <v>9</v>
      </c>
      <c r="G326">
        <v>8</v>
      </c>
      <c r="H326">
        <v>1</v>
      </c>
      <c r="I326" s="2">
        <v>0.78</v>
      </c>
      <c r="J326" s="14">
        <v>3.3912037037037036E-3</v>
      </c>
      <c r="K326" s="6">
        <f>INT(Regiones[[#This Row],[Fecha]])</f>
        <v>46206</v>
      </c>
      <c r="L326" s="10">
        <f>IFERROR(Regiones[[#This Row],[Contestadas]]/Regiones[[#This Row],[Ofrecidas]],"")</f>
        <v>0.88888888888888884</v>
      </c>
      <c r="M326" s="7">
        <f>IFERROR(Regiones[[#This Row],[Ofrecidas]]*Regiones[[#This Row],[% de nivel de servicio]],"")</f>
        <v>7.0200000000000005</v>
      </c>
      <c r="N326" s="7"/>
      <c r="O326" s="12">
        <f>IFERROR(Regiones[[#This Row],[Aten &lt; 20 seg]]/Regiones[[#This Row],[Contestadas]],"")</f>
        <v>0.87750000000000006</v>
      </c>
      <c r="P326" s="13">
        <f>IFERROR(Regiones[[#This Row],[AHT]]*86400,"error")</f>
        <v>293</v>
      </c>
      <c r="Q326" s="13" t="str">
        <f>+VLOOKUP(Regiones[[#This Row],[Cola]],Tabla6[#Data],2,0)</f>
        <v>BUPA</v>
      </c>
      <c r="R326" s="13" t="e">
        <f>+VLOOKUP(Regiones[[#This Row],[Cola]],Tabla68[],2,0)</f>
        <v>#N/A</v>
      </c>
    </row>
    <row r="327" spans="2:18" x14ac:dyDescent="0.3">
      <c r="B327" s="6">
        <v>46206</v>
      </c>
      <c r="C327" s="14">
        <v>0.4375</v>
      </c>
      <c r="D327" t="s">
        <v>50</v>
      </c>
      <c r="E327" t="s">
        <v>18</v>
      </c>
      <c r="F327">
        <v>1</v>
      </c>
      <c r="G327">
        <v>1</v>
      </c>
      <c r="H327">
        <v>0</v>
      </c>
      <c r="I327" s="2">
        <v>1</v>
      </c>
      <c r="J327" s="14">
        <v>3.5648148148148149E-3</v>
      </c>
      <c r="K327" s="6">
        <f>INT(Regiones[[#This Row],[Fecha]])</f>
        <v>46206</v>
      </c>
      <c r="L327" s="10">
        <f>IFERROR(Regiones[[#This Row],[Contestadas]]/Regiones[[#This Row],[Ofrecidas]],"")</f>
        <v>1</v>
      </c>
      <c r="M327" s="7">
        <f>IFERROR(Regiones[[#This Row],[Ofrecidas]]*Regiones[[#This Row],[% de nivel de servicio]],"")</f>
        <v>1</v>
      </c>
      <c r="N327" s="7"/>
      <c r="O327" s="12">
        <f>IFERROR(Regiones[[#This Row],[Aten &lt; 20 seg]]/Regiones[[#This Row],[Contestadas]],"")</f>
        <v>1</v>
      </c>
      <c r="P327" s="13">
        <f>IFERROR(Regiones[[#This Row],[AHT]]*86400,"error")</f>
        <v>308</v>
      </c>
      <c r="Q327" s="13" t="str">
        <f>+VLOOKUP(Regiones[[#This Row],[Cola]],Tabla6[#Data],2,0)</f>
        <v>BUPA</v>
      </c>
      <c r="R327" s="13" t="e">
        <f>+VLOOKUP(Regiones[[#This Row],[Cola]],Tabla68[],2,0)</f>
        <v>#N/A</v>
      </c>
    </row>
    <row r="328" spans="2:18" x14ac:dyDescent="0.3">
      <c r="B328" s="6">
        <v>46206</v>
      </c>
      <c r="C328" s="14">
        <v>0.4375</v>
      </c>
      <c r="D328" t="s">
        <v>53</v>
      </c>
      <c r="E328" t="s">
        <v>18</v>
      </c>
      <c r="F328">
        <v>2</v>
      </c>
      <c r="G328">
        <v>1</v>
      </c>
      <c r="H328">
        <v>1</v>
      </c>
      <c r="I328" s="2">
        <v>0</v>
      </c>
      <c r="J328" s="14">
        <v>8.0092592592592594E-3</v>
      </c>
      <c r="K328" s="6">
        <f>INT(Regiones[[#This Row],[Fecha]])</f>
        <v>46206</v>
      </c>
      <c r="L328" s="10">
        <f>IFERROR(Regiones[[#This Row],[Contestadas]]/Regiones[[#This Row],[Ofrecidas]],"")</f>
        <v>0.5</v>
      </c>
      <c r="M328" s="7">
        <f>IFERROR(Regiones[[#This Row],[Ofrecidas]]*Regiones[[#This Row],[% de nivel de servicio]],"")</f>
        <v>0</v>
      </c>
      <c r="N328" s="7"/>
      <c r="O328" s="12">
        <f>IFERROR(Regiones[[#This Row],[Aten &lt; 20 seg]]/Regiones[[#This Row],[Contestadas]],"")</f>
        <v>0</v>
      </c>
      <c r="P328" s="13">
        <f>IFERROR(Regiones[[#This Row],[AHT]]*86400,"error")</f>
        <v>692</v>
      </c>
      <c r="Q328" s="13" t="str">
        <f>+VLOOKUP(Regiones[[#This Row],[Cola]],Tabla6[#Data],2,0)</f>
        <v>BUPA</v>
      </c>
      <c r="R328" s="13" t="e">
        <f>+VLOOKUP(Regiones[[#This Row],[Cola]],Tabla68[],2,0)</f>
        <v>#N/A</v>
      </c>
    </row>
    <row r="329" spans="2:18" x14ac:dyDescent="0.3">
      <c r="B329" s="6">
        <v>46206</v>
      </c>
      <c r="C329" s="14">
        <v>0.45833333333333331</v>
      </c>
      <c r="D329" t="s">
        <v>50</v>
      </c>
      <c r="E329" t="s">
        <v>18</v>
      </c>
      <c r="F329">
        <v>2</v>
      </c>
      <c r="G329">
        <v>2</v>
      </c>
      <c r="H329">
        <v>0</v>
      </c>
      <c r="I329" s="2">
        <v>0</v>
      </c>
      <c r="J329" s="14">
        <v>4.6990740740740743E-3</v>
      </c>
      <c r="K329" s="6">
        <f>INT(Regiones[[#This Row],[Fecha]])</f>
        <v>46206</v>
      </c>
      <c r="L329" s="10">
        <f>IFERROR(Regiones[[#This Row],[Contestadas]]/Regiones[[#This Row],[Ofrecidas]],"")</f>
        <v>1</v>
      </c>
      <c r="M329" s="7">
        <f>IFERROR(Regiones[[#This Row],[Ofrecidas]]*Regiones[[#This Row],[% de nivel de servicio]],"")</f>
        <v>0</v>
      </c>
      <c r="N329" s="7"/>
      <c r="O329" s="12">
        <f>IFERROR(Regiones[[#This Row],[Aten &lt; 20 seg]]/Regiones[[#This Row],[Contestadas]],"")</f>
        <v>0</v>
      </c>
      <c r="P329" s="13">
        <f>IFERROR(Regiones[[#This Row],[AHT]]*86400,"error")</f>
        <v>406</v>
      </c>
      <c r="Q329" s="13" t="str">
        <f>+VLOOKUP(Regiones[[#This Row],[Cola]],Tabla6[#Data],2,0)</f>
        <v>BUPA</v>
      </c>
      <c r="R329" s="13" t="e">
        <f>+VLOOKUP(Regiones[[#This Row],[Cola]],Tabla68[],2,0)</f>
        <v>#N/A</v>
      </c>
    </row>
    <row r="330" spans="2:18" x14ac:dyDescent="0.3">
      <c r="B330" s="6">
        <v>46206</v>
      </c>
      <c r="C330" s="14">
        <v>0.45833333333333331</v>
      </c>
      <c r="D330" t="s">
        <v>56</v>
      </c>
      <c r="E330" t="s">
        <v>18</v>
      </c>
      <c r="F330">
        <v>3</v>
      </c>
      <c r="G330">
        <v>3</v>
      </c>
      <c r="H330">
        <v>0</v>
      </c>
      <c r="I330" s="2">
        <v>0.67</v>
      </c>
      <c r="J330" s="14">
        <v>5.0578703703703706E-3</v>
      </c>
      <c r="K330" s="6">
        <f>INT(Regiones[[#This Row],[Fecha]])</f>
        <v>46206</v>
      </c>
      <c r="L330" s="10">
        <f>IFERROR(Regiones[[#This Row],[Contestadas]]/Regiones[[#This Row],[Ofrecidas]],"")</f>
        <v>1</v>
      </c>
      <c r="M330" s="7">
        <f>IFERROR(Regiones[[#This Row],[Ofrecidas]]*Regiones[[#This Row],[% de nivel de servicio]],"")</f>
        <v>2.0100000000000002</v>
      </c>
      <c r="N330" s="7"/>
      <c r="O330" s="12">
        <f>IFERROR(Regiones[[#This Row],[Aten &lt; 20 seg]]/Regiones[[#This Row],[Contestadas]],"")</f>
        <v>0.67</v>
      </c>
      <c r="P330" s="13">
        <f>IFERROR(Regiones[[#This Row],[AHT]]*86400,"error")</f>
        <v>437</v>
      </c>
      <c r="Q330" s="13" t="str">
        <f>+VLOOKUP(Regiones[[#This Row],[Cola]],Tabla6[#Data],2,0)</f>
        <v>BUPA</v>
      </c>
      <c r="R330" s="13" t="e">
        <f>+VLOOKUP(Regiones[[#This Row],[Cola]],Tabla68[],2,0)</f>
        <v>#N/A</v>
      </c>
    </row>
    <row r="331" spans="2:18" x14ac:dyDescent="0.3">
      <c r="B331" s="6">
        <v>46206</v>
      </c>
      <c r="C331" s="14">
        <v>0.45833333333333331</v>
      </c>
      <c r="D331" t="s">
        <v>55</v>
      </c>
      <c r="E331" t="s">
        <v>18</v>
      </c>
      <c r="F331">
        <v>1</v>
      </c>
      <c r="G331">
        <v>1</v>
      </c>
      <c r="H331">
        <v>0</v>
      </c>
      <c r="I331" s="2">
        <v>0</v>
      </c>
      <c r="J331" s="14">
        <v>2.662037037037037E-3</v>
      </c>
      <c r="K331" s="6">
        <f>INT(Regiones[[#This Row],[Fecha]])</f>
        <v>46206</v>
      </c>
      <c r="L331" s="10">
        <f>IFERROR(Regiones[[#This Row],[Contestadas]]/Regiones[[#This Row],[Ofrecidas]],"")</f>
        <v>1</v>
      </c>
      <c r="M331" s="7">
        <f>IFERROR(Regiones[[#This Row],[Ofrecidas]]*Regiones[[#This Row],[% de nivel de servicio]],"")</f>
        <v>0</v>
      </c>
      <c r="N331" s="7"/>
      <c r="O331" s="12">
        <f>IFERROR(Regiones[[#This Row],[Aten &lt; 20 seg]]/Regiones[[#This Row],[Contestadas]],"")</f>
        <v>0</v>
      </c>
      <c r="P331" s="13">
        <f>IFERROR(Regiones[[#This Row],[AHT]]*86400,"error")</f>
        <v>230</v>
      </c>
      <c r="Q331" s="13" t="str">
        <f>+VLOOKUP(Regiones[[#This Row],[Cola]],Tabla6[#Data],2,0)</f>
        <v>BUPA</v>
      </c>
      <c r="R331" s="13" t="e">
        <f>+VLOOKUP(Regiones[[#This Row],[Cola]],Tabla68[],2,0)</f>
        <v>#N/A</v>
      </c>
    </row>
    <row r="332" spans="2:18" x14ac:dyDescent="0.3">
      <c r="B332" s="6">
        <v>46206</v>
      </c>
      <c r="C332" s="14">
        <v>0.45833333333333331</v>
      </c>
      <c r="D332" t="s">
        <v>46</v>
      </c>
      <c r="E332" t="s">
        <v>18</v>
      </c>
      <c r="F332">
        <v>5</v>
      </c>
      <c r="G332">
        <v>4</v>
      </c>
      <c r="H332">
        <v>1</v>
      </c>
      <c r="I332" s="2">
        <v>0.4</v>
      </c>
      <c r="J332" s="14">
        <v>4.6527777777777774E-3</v>
      </c>
      <c r="K332" s="6">
        <f>INT(Regiones[[#This Row],[Fecha]])</f>
        <v>46206</v>
      </c>
      <c r="L332" s="10">
        <f>IFERROR(Regiones[[#This Row],[Contestadas]]/Regiones[[#This Row],[Ofrecidas]],"")</f>
        <v>0.8</v>
      </c>
      <c r="M332" s="7">
        <f>IFERROR(Regiones[[#This Row],[Ofrecidas]]*Regiones[[#This Row],[% de nivel de servicio]],"")</f>
        <v>2</v>
      </c>
      <c r="N332" s="7"/>
      <c r="O332" s="12">
        <f>IFERROR(Regiones[[#This Row],[Aten &lt; 20 seg]]/Regiones[[#This Row],[Contestadas]],"")</f>
        <v>0.5</v>
      </c>
      <c r="P332" s="13">
        <f>IFERROR(Regiones[[#This Row],[AHT]]*86400,"error")</f>
        <v>401.99999999999994</v>
      </c>
      <c r="Q332" s="13" t="str">
        <f>+VLOOKUP(Regiones[[#This Row],[Cola]],Tabla6[#Data],2,0)</f>
        <v>BUPA</v>
      </c>
      <c r="R332" s="13" t="e">
        <f>+VLOOKUP(Regiones[[#This Row],[Cola]],Tabla68[],2,0)</f>
        <v>#N/A</v>
      </c>
    </row>
    <row r="333" spans="2:18" x14ac:dyDescent="0.3">
      <c r="B333" s="6">
        <v>46206</v>
      </c>
      <c r="C333" s="14">
        <v>0.45833333333333331</v>
      </c>
      <c r="D333" t="s">
        <v>47</v>
      </c>
      <c r="E333" t="s">
        <v>18</v>
      </c>
      <c r="F333">
        <v>15</v>
      </c>
      <c r="G333">
        <v>13</v>
      </c>
      <c r="H333">
        <v>2</v>
      </c>
      <c r="I333" s="2">
        <v>0.53</v>
      </c>
      <c r="J333" s="14">
        <v>3.9930555555555552E-3</v>
      </c>
      <c r="K333" s="6">
        <f>INT(Regiones[[#This Row],[Fecha]])</f>
        <v>46206</v>
      </c>
      <c r="L333" s="10">
        <f>IFERROR(Regiones[[#This Row],[Contestadas]]/Regiones[[#This Row],[Ofrecidas]],"")</f>
        <v>0.8666666666666667</v>
      </c>
      <c r="M333" s="7">
        <f>IFERROR(Regiones[[#This Row],[Ofrecidas]]*Regiones[[#This Row],[% de nivel de servicio]],"")</f>
        <v>7.95</v>
      </c>
      <c r="N333" s="7"/>
      <c r="O333" s="12">
        <f>IFERROR(Regiones[[#This Row],[Aten &lt; 20 seg]]/Regiones[[#This Row],[Contestadas]],"")</f>
        <v>0.61153846153846159</v>
      </c>
      <c r="P333" s="13">
        <f>IFERROR(Regiones[[#This Row],[AHT]]*86400,"error")</f>
        <v>345</v>
      </c>
      <c r="Q333" s="13" t="str">
        <f>+VLOOKUP(Regiones[[#This Row],[Cola]],Tabla6[#Data],2,0)</f>
        <v>BUPA</v>
      </c>
      <c r="R333" s="13" t="e">
        <f>+VLOOKUP(Regiones[[#This Row],[Cola]],Tabla68[],2,0)</f>
        <v>#N/A</v>
      </c>
    </row>
    <row r="334" spans="2:18" x14ac:dyDescent="0.3">
      <c r="B334" s="6">
        <v>46206</v>
      </c>
      <c r="C334" s="14">
        <v>0.45833333333333331</v>
      </c>
      <c r="D334" t="s">
        <v>57</v>
      </c>
      <c r="E334" t="s">
        <v>18</v>
      </c>
      <c r="F334">
        <v>5</v>
      </c>
      <c r="G334">
        <v>5</v>
      </c>
      <c r="H334">
        <v>0</v>
      </c>
      <c r="I334" s="2">
        <v>0</v>
      </c>
      <c r="J334" s="14">
        <v>5.8912037037037041E-3</v>
      </c>
      <c r="K334" s="6">
        <f>INT(Regiones[[#This Row],[Fecha]])</f>
        <v>46206</v>
      </c>
      <c r="L334" s="10">
        <f>IFERROR(Regiones[[#This Row],[Contestadas]]/Regiones[[#This Row],[Ofrecidas]],"")</f>
        <v>1</v>
      </c>
      <c r="M334" s="7">
        <f>IFERROR(Regiones[[#This Row],[Ofrecidas]]*Regiones[[#This Row],[% de nivel de servicio]],"")</f>
        <v>0</v>
      </c>
      <c r="N334" s="7"/>
      <c r="O334" s="12">
        <f>IFERROR(Regiones[[#This Row],[Aten &lt; 20 seg]]/Regiones[[#This Row],[Contestadas]],"")</f>
        <v>0</v>
      </c>
      <c r="P334" s="13">
        <f>IFERROR(Regiones[[#This Row],[AHT]]*86400,"error")</f>
        <v>509.00000000000006</v>
      </c>
      <c r="Q334" s="13" t="str">
        <f>+VLOOKUP(Regiones[[#This Row],[Cola]],Tabla6[#Data],2,0)</f>
        <v>BUPA</v>
      </c>
      <c r="R334" s="13" t="e">
        <f>+VLOOKUP(Regiones[[#This Row],[Cola]],Tabla68[],2,0)</f>
        <v>#N/A</v>
      </c>
    </row>
    <row r="335" spans="2:18" x14ac:dyDescent="0.3">
      <c r="B335" s="6">
        <v>46206</v>
      </c>
      <c r="C335" s="14">
        <v>0.45833333333333331</v>
      </c>
      <c r="D335" t="s">
        <v>49</v>
      </c>
      <c r="E335" t="s">
        <v>18</v>
      </c>
      <c r="F335">
        <v>3</v>
      </c>
      <c r="G335">
        <v>3</v>
      </c>
      <c r="H335">
        <v>0</v>
      </c>
      <c r="I335" s="2">
        <v>1</v>
      </c>
      <c r="J335" s="14">
        <v>5.4050925925925924E-3</v>
      </c>
      <c r="K335" s="6">
        <f>INT(Regiones[[#This Row],[Fecha]])</f>
        <v>46206</v>
      </c>
      <c r="L335" s="10">
        <f>IFERROR(Regiones[[#This Row],[Contestadas]]/Regiones[[#This Row],[Ofrecidas]],"")</f>
        <v>1</v>
      </c>
      <c r="M335" s="7">
        <f>IFERROR(Regiones[[#This Row],[Ofrecidas]]*Regiones[[#This Row],[% de nivel de servicio]],"")</f>
        <v>3</v>
      </c>
      <c r="N335" s="7"/>
      <c r="O335" s="12">
        <f>IFERROR(Regiones[[#This Row],[Aten &lt; 20 seg]]/Regiones[[#This Row],[Contestadas]],"")</f>
        <v>1</v>
      </c>
      <c r="P335" s="13">
        <f>IFERROR(Regiones[[#This Row],[AHT]]*86400,"error")</f>
        <v>467</v>
      </c>
      <c r="Q335" s="13" t="str">
        <f>+VLOOKUP(Regiones[[#This Row],[Cola]],Tabla6[#Data],2,0)</f>
        <v>BUPA</v>
      </c>
      <c r="R335" s="13" t="e">
        <f>+VLOOKUP(Regiones[[#This Row],[Cola]],Tabla68[],2,0)</f>
        <v>#N/A</v>
      </c>
    </row>
    <row r="336" spans="2:18" x14ac:dyDescent="0.3">
      <c r="B336" s="6">
        <v>46206</v>
      </c>
      <c r="C336" s="14">
        <v>0.45833333333333331</v>
      </c>
      <c r="D336" t="s">
        <v>52</v>
      </c>
      <c r="E336" t="s">
        <v>18</v>
      </c>
      <c r="F336">
        <v>2</v>
      </c>
      <c r="G336">
        <v>2</v>
      </c>
      <c r="H336">
        <v>0</v>
      </c>
      <c r="I336" s="2">
        <v>0</v>
      </c>
      <c r="J336" s="14" t="s">
        <v>19</v>
      </c>
      <c r="K336" s="6">
        <f>INT(Regiones[[#This Row],[Fecha]])</f>
        <v>46206</v>
      </c>
      <c r="L336" s="10">
        <f>IFERROR(Regiones[[#This Row],[Contestadas]]/Regiones[[#This Row],[Ofrecidas]],"")</f>
        <v>1</v>
      </c>
      <c r="M336" s="7">
        <f>IFERROR(Regiones[[#This Row],[Ofrecidas]]*Regiones[[#This Row],[% de nivel de servicio]],"")</f>
        <v>0</v>
      </c>
      <c r="N336" s="7"/>
      <c r="O336" s="12">
        <f>IFERROR(Regiones[[#This Row],[Aten &lt; 20 seg]]/Regiones[[#This Row],[Contestadas]],"")</f>
        <v>0</v>
      </c>
      <c r="P336" s="13" t="str">
        <f>IFERROR(Regiones[[#This Row],[AHT]]*86400,"error")</f>
        <v>error</v>
      </c>
      <c r="Q336" s="13" t="str">
        <f>+VLOOKUP(Regiones[[#This Row],[Cola]],Tabla6[#Data],2,0)</f>
        <v>BUPA</v>
      </c>
      <c r="R336" s="13" t="e">
        <f>+VLOOKUP(Regiones[[#This Row],[Cola]],Tabla68[],2,0)</f>
        <v>#N/A</v>
      </c>
    </row>
    <row r="337" spans="2:18" x14ac:dyDescent="0.3">
      <c r="B337" s="6">
        <v>46206</v>
      </c>
      <c r="C337" s="14">
        <v>0.45833333333333331</v>
      </c>
      <c r="D337" t="s">
        <v>48</v>
      </c>
      <c r="E337" t="s">
        <v>18</v>
      </c>
      <c r="F337">
        <v>10</v>
      </c>
      <c r="G337">
        <v>10</v>
      </c>
      <c r="H337">
        <v>0</v>
      </c>
      <c r="I337" s="2">
        <v>0.7</v>
      </c>
      <c r="J337" s="14">
        <v>4.0162037037037041E-3</v>
      </c>
      <c r="K337" s="6">
        <f>INT(Regiones[[#This Row],[Fecha]])</f>
        <v>46206</v>
      </c>
      <c r="L337" s="10">
        <f>IFERROR(Regiones[[#This Row],[Contestadas]]/Regiones[[#This Row],[Ofrecidas]],"")</f>
        <v>1</v>
      </c>
      <c r="M337" s="7">
        <f>IFERROR(Regiones[[#This Row],[Ofrecidas]]*Regiones[[#This Row],[% de nivel de servicio]],"")</f>
        <v>7</v>
      </c>
      <c r="N337" s="7"/>
      <c r="O337" s="12">
        <f>IFERROR(Regiones[[#This Row],[Aten &lt; 20 seg]]/Regiones[[#This Row],[Contestadas]],"")</f>
        <v>0.7</v>
      </c>
      <c r="P337" s="13">
        <f>IFERROR(Regiones[[#This Row],[AHT]]*86400,"error")</f>
        <v>347.00000000000006</v>
      </c>
      <c r="Q337" s="13" t="str">
        <f>+VLOOKUP(Regiones[[#This Row],[Cola]],Tabla6[#Data],2,0)</f>
        <v>BUPA</v>
      </c>
      <c r="R337" s="13" t="e">
        <f>+VLOOKUP(Regiones[[#This Row],[Cola]],Tabla68[],2,0)</f>
        <v>#N/A</v>
      </c>
    </row>
    <row r="338" spans="2:18" x14ac:dyDescent="0.3">
      <c r="B338" s="6">
        <v>46206</v>
      </c>
      <c r="C338" s="14">
        <v>0.47916666666666669</v>
      </c>
      <c r="D338" t="s">
        <v>52</v>
      </c>
      <c r="E338" t="s">
        <v>18</v>
      </c>
      <c r="F338">
        <v>3</v>
      </c>
      <c r="G338">
        <v>3</v>
      </c>
      <c r="H338">
        <v>0</v>
      </c>
      <c r="I338" s="2">
        <v>0.33</v>
      </c>
      <c r="J338" s="14">
        <v>7.3148148148148148E-3</v>
      </c>
      <c r="K338" s="6">
        <f>INT(Regiones[[#This Row],[Fecha]])</f>
        <v>46206</v>
      </c>
      <c r="L338" s="10">
        <f>IFERROR(Regiones[[#This Row],[Contestadas]]/Regiones[[#This Row],[Ofrecidas]],"")</f>
        <v>1</v>
      </c>
      <c r="M338" s="7">
        <f>IFERROR(Regiones[[#This Row],[Ofrecidas]]*Regiones[[#This Row],[% de nivel de servicio]],"")</f>
        <v>0.99</v>
      </c>
      <c r="N338" s="7"/>
      <c r="O338" s="12">
        <f>IFERROR(Regiones[[#This Row],[Aten &lt; 20 seg]]/Regiones[[#This Row],[Contestadas]],"")</f>
        <v>0.33</v>
      </c>
      <c r="P338" s="13">
        <f>IFERROR(Regiones[[#This Row],[AHT]]*86400,"error")</f>
        <v>632</v>
      </c>
      <c r="Q338" s="13" t="str">
        <f>+VLOOKUP(Regiones[[#This Row],[Cola]],Tabla6[#Data],2,0)</f>
        <v>BUPA</v>
      </c>
      <c r="R338" s="13" t="e">
        <f>+VLOOKUP(Regiones[[#This Row],[Cola]],Tabla68[],2,0)</f>
        <v>#N/A</v>
      </c>
    </row>
    <row r="339" spans="2:18" x14ac:dyDescent="0.3">
      <c r="B339" s="6">
        <v>46206</v>
      </c>
      <c r="C339" s="14">
        <v>0.47916666666666669</v>
      </c>
      <c r="D339" t="s">
        <v>49</v>
      </c>
      <c r="E339" t="s">
        <v>18</v>
      </c>
      <c r="F339">
        <v>1</v>
      </c>
      <c r="G339">
        <v>1</v>
      </c>
      <c r="H339">
        <v>0</v>
      </c>
      <c r="I339" s="2">
        <v>1</v>
      </c>
      <c r="J339" s="14">
        <v>2.627314814814815E-3</v>
      </c>
      <c r="K339" s="6">
        <f>INT(Regiones[[#This Row],[Fecha]])</f>
        <v>46206</v>
      </c>
      <c r="L339" s="10">
        <f>IFERROR(Regiones[[#This Row],[Contestadas]]/Regiones[[#This Row],[Ofrecidas]],"")</f>
        <v>1</v>
      </c>
      <c r="M339" s="7">
        <f>IFERROR(Regiones[[#This Row],[Ofrecidas]]*Regiones[[#This Row],[% de nivel de servicio]],"")</f>
        <v>1</v>
      </c>
      <c r="N339" s="7"/>
      <c r="O339" s="12">
        <f>IFERROR(Regiones[[#This Row],[Aten &lt; 20 seg]]/Regiones[[#This Row],[Contestadas]],"")</f>
        <v>1</v>
      </c>
      <c r="P339" s="13">
        <f>IFERROR(Regiones[[#This Row],[AHT]]*86400,"error")</f>
        <v>227</v>
      </c>
      <c r="Q339" s="13" t="str">
        <f>+VLOOKUP(Regiones[[#This Row],[Cola]],Tabla6[#Data],2,0)</f>
        <v>BUPA</v>
      </c>
      <c r="R339" s="13" t="e">
        <f>+VLOOKUP(Regiones[[#This Row],[Cola]],Tabla68[],2,0)</f>
        <v>#N/A</v>
      </c>
    </row>
    <row r="340" spans="2:18" x14ac:dyDescent="0.3">
      <c r="B340" s="6">
        <v>46206</v>
      </c>
      <c r="C340" s="14">
        <v>0.47916666666666669</v>
      </c>
      <c r="D340" t="s">
        <v>57</v>
      </c>
      <c r="E340" t="s">
        <v>18</v>
      </c>
      <c r="F340">
        <v>1</v>
      </c>
      <c r="G340">
        <v>1</v>
      </c>
      <c r="H340">
        <v>0</v>
      </c>
      <c r="I340" s="2">
        <v>1</v>
      </c>
      <c r="J340" s="14">
        <v>4.4212962962962964E-3</v>
      </c>
      <c r="K340" s="6">
        <f>INT(Regiones[[#This Row],[Fecha]])</f>
        <v>46206</v>
      </c>
      <c r="L340" s="10">
        <f>IFERROR(Regiones[[#This Row],[Contestadas]]/Regiones[[#This Row],[Ofrecidas]],"")</f>
        <v>1</v>
      </c>
      <c r="M340" s="7">
        <f>IFERROR(Regiones[[#This Row],[Ofrecidas]]*Regiones[[#This Row],[% de nivel de servicio]],"")</f>
        <v>1</v>
      </c>
      <c r="N340" s="7"/>
      <c r="O340" s="12">
        <f>IFERROR(Regiones[[#This Row],[Aten &lt; 20 seg]]/Regiones[[#This Row],[Contestadas]],"")</f>
        <v>1</v>
      </c>
      <c r="P340" s="13">
        <f>IFERROR(Regiones[[#This Row],[AHT]]*86400,"error")</f>
        <v>382</v>
      </c>
      <c r="Q340" s="13" t="str">
        <f>+VLOOKUP(Regiones[[#This Row],[Cola]],Tabla6[#Data],2,0)</f>
        <v>BUPA</v>
      </c>
      <c r="R340" s="13" t="e">
        <f>+VLOOKUP(Regiones[[#This Row],[Cola]],Tabla68[],2,0)</f>
        <v>#N/A</v>
      </c>
    </row>
    <row r="341" spans="2:18" x14ac:dyDescent="0.3">
      <c r="B341" s="6">
        <v>46206</v>
      </c>
      <c r="C341" s="14">
        <v>0.47916666666666669</v>
      </c>
      <c r="D341" t="s">
        <v>48</v>
      </c>
      <c r="E341" t="s">
        <v>18</v>
      </c>
      <c r="F341">
        <v>7</v>
      </c>
      <c r="G341">
        <v>7</v>
      </c>
      <c r="H341">
        <v>0</v>
      </c>
      <c r="I341" s="2">
        <v>0.43</v>
      </c>
      <c r="J341" s="14">
        <v>3.9120370370370368E-3</v>
      </c>
      <c r="K341" s="6">
        <f>INT(Regiones[[#This Row],[Fecha]])</f>
        <v>46206</v>
      </c>
      <c r="L341" s="10">
        <f>IFERROR(Regiones[[#This Row],[Contestadas]]/Regiones[[#This Row],[Ofrecidas]],"")</f>
        <v>1</v>
      </c>
      <c r="M341" s="7">
        <f>IFERROR(Regiones[[#This Row],[Ofrecidas]]*Regiones[[#This Row],[% de nivel de servicio]],"")</f>
        <v>3.01</v>
      </c>
      <c r="N341" s="7"/>
      <c r="O341" s="12">
        <f>IFERROR(Regiones[[#This Row],[Aten &lt; 20 seg]]/Regiones[[#This Row],[Contestadas]],"")</f>
        <v>0.43</v>
      </c>
      <c r="P341" s="13">
        <f>IFERROR(Regiones[[#This Row],[AHT]]*86400,"error")</f>
        <v>338</v>
      </c>
      <c r="Q341" s="13" t="str">
        <f>+VLOOKUP(Regiones[[#This Row],[Cola]],Tabla6[#Data],2,0)</f>
        <v>BUPA</v>
      </c>
      <c r="R341" s="13" t="e">
        <f>+VLOOKUP(Regiones[[#This Row],[Cola]],Tabla68[],2,0)</f>
        <v>#N/A</v>
      </c>
    </row>
    <row r="342" spans="2:18" x14ac:dyDescent="0.3">
      <c r="B342" s="6">
        <v>46206</v>
      </c>
      <c r="C342" s="14">
        <v>0.47916666666666669</v>
      </c>
      <c r="D342" t="s">
        <v>56</v>
      </c>
      <c r="E342" t="s">
        <v>18</v>
      </c>
      <c r="F342">
        <v>1</v>
      </c>
      <c r="G342">
        <v>1</v>
      </c>
      <c r="H342">
        <v>0</v>
      </c>
      <c r="I342" s="2">
        <v>1</v>
      </c>
      <c r="J342" s="14">
        <v>4.6643518518518518E-3</v>
      </c>
      <c r="K342" s="6">
        <f>INT(Regiones[[#This Row],[Fecha]])</f>
        <v>46206</v>
      </c>
      <c r="L342" s="10">
        <f>IFERROR(Regiones[[#This Row],[Contestadas]]/Regiones[[#This Row],[Ofrecidas]],"")</f>
        <v>1</v>
      </c>
      <c r="M342" s="7">
        <f>IFERROR(Regiones[[#This Row],[Ofrecidas]]*Regiones[[#This Row],[% de nivel de servicio]],"")</f>
        <v>1</v>
      </c>
      <c r="N342" s="7"/>
      <c r="O342" s="12">
        <f>IFERROR(Regiones[[#This Row],[Aten &lt; 20 seg]]/Regiones[[#This Row],[Contestadas]],"")</f>
        <v>1</v>
      </c>
      <c r="P342" s="13">
        <f>IFERROR(Regiones[[#This Row],[AHT]]*86400,"error")</f>
        <v>403</v>
      </c>
      <c r="Q342" s="13" t="str">
        <f>+VLOOKUP(Regiones[[#This Row],[Cola]],Tabla6[#Data],2,0)</f>
        <v>BUPA</v>
      </c>
      <c r="R342" s="13" t="e">
        <f>+VLOOKUP(Regiones[[#This Row],[Cola]],Tabla68[],2,0)</f>
        <v>#N/A</v>
      </c>
    </row>
    <row r="343" spans="2:18" x14ac:dyDescent="0.3">
      <c r="B343" s="6">
        <v>46206</v>
      </c>
      <c r="C343" s="14">
        <v>0.47916666666666669</v>
      </c>
      <c r="D343" t="s">
        <v>53</v>
      </c>
      <c r="E343" t="s">
        <v>18</v>
      </c>
      <c r="F343">
        <v>5</v>
      </c>
      <c r="G343">
        <v>3</v>
      </c>
      <c r="H343">
        <v>2</v>
      </c>
      <c r="I343" s="2">
        <v>0</v>
      </c>
      <c r="J343" s="14">
        <v>1.8981481481481482E-3</v>
      </c>
      <c r="K343" s="6">
        <f>INT(Regiones[[#This Row],[Fecha]])</f>
        <v>46206</v>
      </c>
      <c r="L343" s="10">
        <f>IFERROR(Regiones[[#This Row],[Contestadas]]/Regiones[[#This Row],[Ofrecidas]],"")</f>
        <v>0.6</v>
      </c>
      <c r="M343" s="7">
        <f>IFERROR(Regiones[[#This Row],[Ofrecidas]]*Regiones[[#This Row],[% de nivel de servicio]],"")</f>
        <v>0</v>
      </c>
      <c r="N343" s="7"/>
      <c r="O343" s="12">
        <f>IFERROR(Regiones[[#This Row],[Aten &lt; 20 seg]]/Regiones[[#This Row],[Contestadas]],"")</f>
        <v>0</v>
      </c>
      <c r="P343" s="13">
        <f>IFERROR(Regiones[[#This Row],[AHT]]*86400,"error")</f>
        <v>164</v>
      </c>
      <c r="Q343" s="13" t="str">
        <f>+VLOOKUP(Regiones[[#This Row],[Cola]],Tabla6[#Data],2,0)</f>
        <v>BUPA</v>
      </c>
      <c r="R343" s="13" t="e">
        <f>+VLOOKUP(Regiones[[#This Row],[Cola]],Tabla68[],2,0)</f>
        <v>#N/A</v>
      </c>
    </row>
    <row r="344" spans="2:18" x14ac:dyDescent="0.3">
      <c r="B344" s="6">
        <v>46206</v>
      </c>
      <c r="C344" s="14">
        <v>0.47916666666666669</v>
      </c>
      <c r="D344" t="s">
        <v>50</v>
      </c>
      <c r="E344" t="s">
        <v>18</v>
      </c>
      <c r="F344">
        <v>3</v>
      </c>
      <c r="G344">
        <v>3</v>
      </c>
      <c r="H344">
        <v>0</v>
      </c>
      <c r="I344" s="2">
        <v>0.33</v>
      </c>
      <c r="J344" s="14">
        <v>3.8194444444444443E-3</v>
      </c>
      <c r="K344" s="6">
        <f>INT(Regiones[[#This Row],[Fecha]])</f>
        <v>46206</v>
      </c>
      <c r="L344" s="10">
        <f>IFERROR(Regiones[[#This Row],[Contestadas]]/Regiones[[#This Row],[Ofrecidas]],"")</f>
        <v>1</v>
      </c>
      <c r="M344" s="7">
        <f>IFERROR(Regiones[[#This Row],[Ofrecidas]]*Regiones[[#This Row],[% de nivel de servicio]],"")</f>
        <v>0.99</v>
      </c>
      <c r="N344" s="7"/>
      <c r="O344" s="12">
        <f>IFERROR(Regiones[[#This Row],[Aten &lt; 20 seg]]/Regiones[[#This Row],[Contestadas]],"")</f>
        <v>0.33</v>
      </c>
      <c r="P344" s="13">
        <f>IFERROR(Regiones[[#This Row],[AHT]]*86400,"error")</f>
        <v>330</v>
      </c>
      <c r="Q344" s="13" t="str">
        <f>+VLOOKUP(Regiones[[#This Row],[Cola]],Tabla6[#Data],2,0)</f>
        <v>BUPA</v>
      </c>
      <c r="R344" s="13" t="e">
        <f>+VLOOKUP(Regiones[[#This Row],[Cola]],Tabla68[],2,0)</f>
        <v>#N/A</v>
      </c>
    </row>
    <row r="345" spans="2:18" x14ac:dyDescent="0.3">
      <c r="B345" s="6">
        <v>46206</v>
      </c>
      <c r="C345" s="14">
        <v>0.47916666666666669</v>
      </c>
      <c r="D345" t="s">
        <v>47</v>
      </c>
      <c r="E345" t="s">
        <v>18</v>
      </c>
      <c r="F345">
        <v>17</v>
      </c>
      <c r="G345">
        <v>16</v>
      </c>
      <c r="H345">
        <v>1</v>
      </c>
      <c r="I345" s="2">
        <v>0.47</v>
      </c>
      <c r="J345" s="14">
        <v>4.7106481481481478E-3</v>
      </c>
      <c r="K345" s="6">
        <f>INT(Regiones[[#This Row],[Fecha]])</f>
        <v>46206</v>
      </c>
      <c r="L345" s="10">
        <f>IFERROR(Regiones[[#This Row],[Contestadas]]/Regiones[[#This Row],[Ofrecidas]],"")</f>
        <v>0.94117647058823528</v>
      </c>
      <c r="M345" s="7">
        <f>IFERROR(Regiones[[#This Row],[Ofrecidas]]*Regiones[[#This Row],[% de nivel de servicio]],"")</f>
        <v>7.9899999999999993</v>
      </c>
      <c r="N345" s="7"/>
      <c r="O345" s="12">
        <f>IFERROR(Regiones[[#This Row],[Aten &lt; 20 seg]]/Regiones[[#This Row],[Contestadas]],"")</f>
        <v>0.49937499999999996</v>
      </c>
      <c r="P345" s="13">
        <f>IFERROR(Regiones[[#This Row],[AHT]]*86400,"error")</f>
        <v>407</v>
      </c>
      <c r="Q345" s="13" t="str">
        <f>+VLOOKUP(Regiones[[#This Row],[Cola]],Tabla6[#Data],2,0)</f>
        <v>BUPA</v>
      </c>
      <c r="R345" s="13" t="e">
        <f>+VLOOKUP(Regiones[[#This Row],[Cola]],Tabla68[],2,0)</f>
        <v>#N/A</v>
      </c>
    </row>
    <row r="346" spans="2:18" x14ac:dyDescent="0.3">
      <c r="B346" s="6">
        <v>46206</v>
      </c>
      <c r="C346" s="14">
        <v>0.47916666666666669</v>
      </c>
      <c r="D346" t="s">
        <v>55</v>
      </c>
      <c r="E346" t="s">
        <v>18</v>
      </c>
      <c r="F346">
        <v>1</v>
      </c>
      <c r="G346">
        <v>1</v>
      </c>
      <c r="H346">
        <v>0</v>
      </c>
      <c r="I346" s="2">
        <v>1</v>
      </c>
      <c r="J346" s="14">
        <v>5.6249999999999998E-3</v>
      </c>
      <c r="K346" s="6">
        <f>INT(Regiones[[#This Row],[Fecha]])</f>
        <v>46206</v>
      </c>
      <c r="L346" s="10">
        <f>IFERROR(Regiones[[#This Row],[Contestadas]]/Regiones[[#This Row],[Ofrecidas]],"")</f>
        <v>1</v>
      </c>
      <c r="M346" s="7">
        <f>IFERROR(Regiones[[#This Row],[Ofrecidas]]*Regiones[[#This Row],[% de nivel de servicio]],"")</f>
        <v>1</v>
      </c>
      <c r="N346" s="7"/>
      <c r="O346" s="12">
        <f>IFERROR(Regiones[[#This Row],[Aten &lt; 20 seg]]/Regiones[[#This Row],[Contestadas]],"")</f>
        <v>1</v>
      </c>
      <c r="P346" s="13">
        <f>IFERROR(Regiones[[#This Row],[AHT]]*86400,"error")</f>
        <v>486</v>
      </c>
      <c r="Q346" s="13" t="str">
        <f>+VLOOKUP(Regiones[[#This Row],[Cola]],Tabla6[#Data],2,0)</f>
        <v>BUPA</v>
      </c>
      <c r="R346" s="13" t="e">
        <f>+VLOOKUP(Regiones[[#This Row],[Cola]],Tabla68[],2,0)</f>
        <v>#N/A</v>
      </c>
    </row>
    <row r="347" spans="2:18" x14ac:dyDescent="0.3">
      <c r="B347" s="6">
        <v>46206</v>
      </c>
      <c r="C347" s="14">
        <v>0.47916666666666669</v>
      </c>
      <c r="D347" t="s">
        <v>46</v>
      </c>
      <c r="E347" t="s">
        <v>18</v>
      </c>
      <c r="F347">
        <v>13</v>
      </c>
      <c r="G347">
        <v>11</v>
      </c>
      <c r="H347">
        <v>2</v>
      </c>
      <c r="I347" s="2">
        <v>0.31</v>
      </c>
      <c r="J347" s="14">
        <v>3.3101851851851851E-3</v>
      </c>
      <c r="K347" s="6">
        <f>INT(Regiones[[#This Row],[Fecha]])</f>
        <v>46206</v>
      </c>
      <c r="L347" s="10">
        <f>IFERROR(Regiones[[#This Row],[Contestadas]]/Regiones[[#This Row],[Ofrecidas]],"")</f>
        <v>0.84615384615384615</v>
      </c>
      <c r="M347" s="7">
        <f>IFERROR(Regiones[[#This Row],[Ofrecidas]]*Regiones[[#This Row],[% de nivel de servicio]],"")</f>
        <v>4.03</v>
      </c>
      <c r="N347" s="7"/>
      <c r="O347" s="12">
        <f>IFERROR(Regiones[[#This Row],[Aten &lt; 20 seg]]/Regiones[[#This Row],[Contestadas]],"")</f>
        <v>0.36636363636363639</v>
      </c>
      <c r="P347" s="13">
        <f>IFERROR(Regiones[[#This Row],[AHT]]*86400,"error")</f>
        <v>286</v>
      </c>
      <c r="Q347" s="13" t="str">
        <f>+VLOOKUP(Regiones[[#This Row],[Cola]],Tabla6[#Data],2,0)</f>
        <v>BUPA</v>
      </c>
      <c r="R347" s="13" t="e">
        <f>+VLOOKUP(Regiones[[#This Row],[Cola]],Tabla68[],2,0)</f>
        <v>#N/A</v>
      </c>
    </row>
    <row r="348" spans="2:18" x14ac:dyDescent="0.3">
      <c r="B348" s="6">
        <v>46206</v>
      </c>
      <c r="C348" s="14">
        <v>0.5</v>
      </c>
      <c r="D348" t="s">
        <v>47</v>
      </c>
      <c r="E348" t="s">
        <v>18</v>
      </c>
      <c r="F348">
        <v>14</v>
      </c>
      <c r="G348">
        <v>12</v>
      </c>
      <c r="H348">
        <v>1</v>
      </c>
      <c r="I348" s="2">
        <v>0.31</v>
      </c>
      <c r="J348" s="14">
        <v>4.3750000000000004E-3</v>
      </c>
      <c r="K348" s="6">
        <f>INT(Regiones[[#This Row],[Fecha]])</f>
        <v>46206</v>
      </c>
      <c r="L348" s="10">
        <f>IFERROR(Regiones[[#This Row],[Contestadas]]/Regiones[[#This Row],[Ofrecidas]],"")</f>
        <v>0.8571428571428571</v>
      </c>
      <c r="M348" s="7">
        <f>IFERROR(Regiones[[#This Row],[Ofrecidas]]*Regiones[[#This Row],[% de nivel de servicio]],"")</f>
        <v>4.34</v>
      </c>
      <c r="N348" s="7"/>
      <c r="O348" s="12">
        <f>IFERROR(Regiones[[#This Row],[Aten &lt; 20 seg]]/Regiones[[#This Row],[Contestadas]],"")</f>
        <v>0.36166666666666664</v>
      </c>
      <c r="P348" s="13">
        <f>IFERROR(Regiones[[#This Row],[AHT]]*86400,"error")</f>
        <v>378.00000000000006</v>
      </c>
      <c r="Q348" s="13" t="str">
        <f>+VLOOKUP(Regiones[[#This Row],[Cola]],Tabla6[#Data],2,0)</f>
        <v>BUPA</v>
      </c>
      <c r="R348" s="13" t="e">
        <f>+VLOOKUP(Regiones[[#This Row],[Cola]],Tabla68[],2,0)</f>
        <v>#N/A</v>
      </c>
    </row>
    <row r="349" spans="2:18" x14ac:dyDescent="0.3">
      <c r="B349" s="6">
        <v>46206</v>
      </c>
      <c r="C349" s="14">
        <v>0.5</v>
      </c>
      <c r="D349" t="s">
        <v>46</v>
      </c>
      <c r="E349" t="s">
        <v>18</v>
      </c>
      <c r="F349">
        <v>13</v>
      </c>
      <c r="G349">
        <v>11</v>
      </c>
      <c r="H349">
        <v>2</v>
      </c>
      <c r="I349" s="2">
        <v>0</v>
      </c>
      <c r="J349" s="14">
        <v>7.766203703703704E-3</v>
      </c>
      <c r="K349" s="6">
        <f>INT(Regiones[[#This Row],[Fecha]])</f>
        <v>46206</v>
      </c>
      <c r="L349" s="10">
        <f>IFERROR(Regiones[[#This Row],[Contestadas]]/Regiones[[#This Row],[Ofrecidas]],"")</f>
        <v>0.84615384615384615</v>
      </c>
      <c r="M349" s="7">
        <f>IFERROR(Regiones[[#This Row],[Ofrecidas]]*Regiones[[#This Row],[% de nivel de servicio]],"")</f>
        <v>0</v>
      </c>
      <c r="N349" s="7"/>
      <c r="O349" s="12">
        <f>IFERROR(Regiones[[#This Row],[Aten &lt; 20 seg]]/Regiones[[#This Row],[Contestadas]],"")</f>
        <v>0</v>
      </c>
      <c r="P349" s="13">
        <f>IFERROR(Regiones[[#This Row],[AHT]]*86400,"error")</f>
        <v>671</v>
      </c>
      <c r="Q349" s="13" t="str">
        <f>+VLOOKUP(Regiones[[#This Row],[Cola]],Tabla6[#Data],2,0)</f>
        <v>BUPA</v>
      </c>
      <c r="R349" s="13" t="e">
        <f>+VLOOKUP(Regiones[[#This Row],[Cola]],Tabla68[],2,0)</f>
        <v>#N/A</v>
      </c>
    </row>
    <row r="350" spans="2:18" x14ac:dyDescent="0.3">
      <c r="B350" s="6">
        <v>46206</v>
      </c>
      <c r="C350" s="14">
        <v>0.5</v>
      </c>
      <c r="D350" t="s">
        <v>52</v>
      </c>
      <c r="E350" t="s">
        <v>18</v>
      </c>
      <c r="F350">
        <v>0</v>
      </c>
      <c r="G350">
        <v>0</v>
      </c>
      <c r="H350">
        <v>0</v>
      </c>
      <c r="I350" s="2" t="s">
        <v>20</v>
      </c>
      <c r="J350" s="14">
        <v>5.5092592592592589E-3</v>
      </c>
      <c r="K350" s="6">
        <f>INT(Regiones[[#This Row],[Fecha]])</f>
        <v>46206</v>
      </c>
      <c r="L350" s="10" t="str">
        <f>IFERROR(Regiones[[#This Row],[Contestadas]]/Regiones[[#This Row],[Ofrecidas]],"")</f>
        <v/>
      </c>
      <c r="M350" s="7" t="str">
        <f>IFERROR(Regiones[[#This Row],[Ofrecidas]]*Regiones[[#This Row],[% de nivel de servicio]],"")</f>
        <v/>
      </c>
      <c r="N350" s="7"/>
      <c r="O350" s="12" t="str">
        <f>IFERROR(Regiones[[#This Row],[Aten &lt; 20 seg]]/Regiones[[#This Row],[Contestadas]],"")</f>
        <v/>
      </c>
      <c r="P350" s="13">
        <f>IFERROR(Regiones[[#This Row],[AHT]]*86400,"error")</f>
        <v>475.99999999999994</v>
      </c>
      <c r="Q350" s="13" t="str">
        <f>+VLOOKUP(Regiones[[#This Row],[Cola]],Tabla6[#Data],2,0)</f>
        <v>BUPA</v>
      </c>
      <c r="R350" s="13" t="e">
        <f>+VLOOKUP(Regiones[[#This Row],[Cola]],Tabla68[],2,0)</f>
        <v>#N/A</v>
      </c>
    </row>
    <row r="351" spans="2:18" x14ac:dyDescent="0.3">
      <c r="B351" s="6">
        <v>46206</v>
      </c>
      <c r="C351" s="14">
        <v>0.5</v>
      </c>
      <c r="D351" t="s">
        <v>48</v>
      </c>
      <c r="E351" t="s">
        <v>18</v>
      </c>
      <c r="F351">
        <v>6</v>
      </c>
      <c r="G351">
        <v>6</v>
      </c>
      <c r="H351">
        <v>0</v>
      </c>
      <c r="I351" s="2">
        <v>0.67</v>
      </c>
      <c r="J351" s="14">
        <v>4.5370370370370373E-3</v>
      </c>
      <c r="K351" s="6">
        <f>INT(Regiones[[#This Row],[Fecha]])</f>
        <v>46206</v>
      </c>
      <c r="L351" s="10">
        <f>IFERROR(Regiones[[#This Row],[Contestadas]]/Regiones[[#This Row],[Ofrecidas]],"")</f>
        <v>1</v>
      </c>
      <c r="M351" s="7">
        <f>IFERROR(Regiones[[#This Row],[Ofrecidas]]*Regiones[[#This Row],[% de nivel de servicio]],"")</f>
        <v>4.0200000000000005</v>
      </c>
      <c r="N351" s="7"/>
      <c r="O351" s="12">
        <f>IFERROR(Regiones[[#This Row],[Aten &lt; 20 seg]]/Regiones[[#This Row],[Contestadas]],"")</f>
        <v>0.67</v>
      </c>
      <c r="P351" s="13">
        <f>IFERROR(Regiones[[#This Row],[AHT]]*86400,"error")</f>
        <v>392</v>
      </c>
      <c r="Q351" s="13" t="str">
        <f>+VLOOKUP(Regiones[[#This Row],[Cola]],Tabla6[#Data],2,0)</f>
        <v>BUPA</v>
      </c>
      <c r="R351" s="13" t="e">
        <f>+VLOOKUP(Regiones[[#This Row],[Cola]],Tabla68[],2,0)</f>
        <v>#N/A</v>
      </c>
    </row>
    <row r="352" spans="2:18" x14ac:dyDescent="0.3">
      <c r="B352" s="6">
        <v>46206</v>
      </c>
      <c r="C352" s="14">
        <v>0.5</v>
      </c>
      <c r="D352" t="s">
        <v>49</v>
      </c>
      <c r="E352" t="s">
        <v>18</v>
      </c>
      <c r="F352">
        <v>2</v>
      </c>
      <c r="G352">
        <v>2</v>
      </c>
      <c r="H352">
        <v>0</v>
      </c>
      <c r="I352" s="2">
        <v>0.5</v>
      </c>
      <c r="J352" s="14">
        <v>1.5046296296296296E-3</v>
      </c>
      <c r="K352" s="6">
        <f>INT(Regiones[[#This Row],[Fecha]])</f>
        <v>46206</v>
      </c>
      <c r="L352" s="10">
        <f>IFERROR(Regiones[[#This Row],[Contestadas]]/Regiones[[#This Row],[Ofrecidas]],"")</f>
        <v>1</v>
      </c>
      <c r="M352" s="7">
        <f>IFERROR(Regiones[[#This Row],[Ofrecidas]]*Regiones[[#This Row],[% de nivel de servicio]],"")</f>
        <v>1</v>
      </c>
      <c r="N352" s="7"/>
      <c r="O352" s="12">
        <f>IFERROR(Regiones[[#This Row],[Aten &lt; 20 seg]]/Regiones[[#This Row],[Contestadas]],"")</f>
        <v>0.5</v>
      </c>
      <c r="P352" s="13">
        <f>IFERROR(Regiones[[#This Row],[AHT]]*86400,"error")</f>
        <v>130</v>
      </c>
      <c r="Q352" s="13" t="str">
        <f>+VLOOKUP(Regiones[[#This Row],[Cola]],Tabla6[#Data],2,0)</f>
        <v>BUPA</v>
      </c>
      <c r="R352" s="13" t="e">
        <f>+VLOOKUP(Regiones[[#This Row],[Cola]],Tabla68[],2,0)</f>
        <v>#N/A</v>
      </c>
    </row>
    <row r="353" spans="2:18" x14ac:dyDescent="0.3">
      <c r="B353" s="6">
        <v>46206</v>
      </c>
      <c r="C353" s="14">
        <v>0.5</v>
      </c>
      <c r="D353" t="s">
        <v>57</v>
      </c>
      <c r="E353" t="s">
        <v>18</v>
      </c>
      <c r="F353">
        <v>2</v>
      </c>
      <c r="G353">
        <v>1</v>
      </c>
      <c r="H353">
        <v>1</v>
      </c>
      <c r="I353" s="2">
        <v>0</v>
      </c>
      <c r="J353" s="14">
        <v>7.4768518518518517E-3</v>
      </c>
      <c r="K353" s="6">
        <f>INT(Regiones[[#This Row],[Fecha]])</f>
        <v>46206</v>
      </c>
      <c r="L353" s="10">
        <f>IFERROR(Regiones[[#This Row],[Contestadas]]/Regiones[[#This Row],[Ofrecidas]],"")</f>
        <v>0.5</v>
      </c>
      <c r="M353" s="7">
        <f>IFERROR(Regiones[[#This Row],[Ofrecidas]]*Regiones[[#This Row],[% de nivel de servicio]],"")</f>
        <v>0</v>
      </c>
      <c r="N353" s="7"/>
      <c r="O353" s="12">
        <f>IFERROR(Regiones[[#This Row],[Aten &lt; 20 seg]]/Regiones[[#This Row],[Contestadas]],"")</f>
        <v>0</v>
      </c>
      <c r="P353" s="13">
        <f>IFERROR(Regiones[[#This Row],[AHT]]*86400,"error")</f>
        <v>646</v>
      </c>
      <c r="Q353" s="13" t="str">
        <f>+VLOOKUP(Regiones[[#This Row],[Cola]],Tabla6[#Data],2,0)</f>
        <v>BUPA</v>
      </c>
      <c r="R353" s="13" t="e">
        <f>+VLOOKUP(Regiones[[#This Row],[Cola]],Tabla68[],2,0)</f>
        <v>#N/A</v>
      </c>
    </row>
    <row r="354" spans="2:18" x14ac:dyDescent="0.3">
      <c r="B354" s="6">
        <v>46206</v>
      </c>
      <c r="C354" s="14">
        <v>0.5</v>
      </c>
      <c r="D354" t="s">
        <v>56</v>
      </c>
      <c r="E354" t="s">
        <v>18</v>
      </c>
      <c r="F354">
        <v>0</v>
      </c>
      <c r="G354">
        <v>0</v>
      </c>
      <c r="H354">
        <v>0</v>
      </c>
      <c r="I354" s="2" t="s">
        <v>20</v>
      </c>
      <c r="J354" s="14">
        <v>6.7013888888888887E-3</v>
      </c>
      <c r="K354" s="6">
        <f>INT(Regiones[[#This Row],[Fecha]])</f>
        <v>46206</v>
      </c>
      <c r="L354" s="10" t="str">
        <f>IFERROR(Regiones[[#This Row],[Contestadas]]/Regiones[[#This Row],[Ofrecidas]],"")</f>
        <v/>
      </c>
      <c r="M354" s="7" t="str">
        <f>IFERROR(Regiones[[#This Row],[Ofrecidas]]*Regiones[[#This Row],[% de nivel de servicio]],"")</f>
        <v/>
      </c>
      <c r="N354" s="7"/>
      <c r="O354" s="12" t="str">
        <f>IFERROR(Regiones[[#This Row],[Aten &lt; 20 seg]]/Regiones[[#This Row],[Contestadas]],"")</f>
        <v/>
      </c>
      <c r="P354" s="13">
        <f>IFERROR(Regiones[[#This Row],[AHT]]*86400,"error")</f>
        <v>579</v>
      </c>
      <c r="Q354" s="13" t="str">
        <f>+VLOOKUP(Regiones[[#This Row],[Cola]],Tabla6[#Data],2,0)</f>
        <v>BUPA</v>
      </c>
      <c r="R354" s="13" t="e">
        <f>+VLOOKUP(Regiones[[#This Row],[Cola]],Tabla68[],2,0)</f>
        <v>#N/A</v>
      </c>
    </row>
    <row r="355" spans="2:18" x14ac:dyDescent="0.3">
      <c r="B355" s="6">
        <v>46206</v>
      </c>
      <c r="C355" s="14">
        <v>0.5</v>
      </c>
      <c r="D355" t="s">
        <v>53</v>
      </c>
      <c r="E355" t="s">
        <v>18</v>
      </c>
      <c r="F355">
        <v>6</v>
      </c>
      <c r="G355">
        <v>6</v>
      </c>
      <c r="H355">
        <v>0</v>
      </c>
      <c r="I355" s="2">
        <v>0</v>
      </c>
      <c r="J355" s="14">
        <v>4.2939814814814811E-3</v>
      </c>
      <c r="K355" s="6">
        <f>INT(Regiones[[#This Row],[Fecha]])</f>
        <v>46206</v>
      </c>
      <c r="L355" s="10">
        <f>IFERROR(Regiones[[#This Row],[Contestadas]]/Regiones[[#This Row],[Ofrecidas]],"")</f>
        <v>1</v>
      </c>
      <c r="M355" s="7">
        <f>IFERROR(Regiones[[#This Row],[Ofrecidas]]*Regiones[[#This Row],[% de nivel de servicio]],"")</f>
        <v>0</v>
      </c>
      <c r="N355" s="7"/>
      <c r="O355" s="12">
        <f>IFERROR(Regiones[[#This Row],[Aten &lt; 20 seg]]/Regiones[[#This Row],[Contestadas]],"")</f>
        <v>0</v>
      </c>
      <c r="P355" s="13">
        <f>IFERROR(Regiones[[#This Row],[AHT]]*86400,"error")</f>
        <v>370.99999999999994</v>
      </c>
      <c r="Q355" s="13" t="str">
        <f>+VLOOKUP(Regiones[[#This Row],[Cola]],Tabla6[#Data],2,0)</f>
        <v>BUPA</v>
      </c>
      <c r="R355" s="13" t="e">
        <f>+VLOOKUP(Regiones[[#This Row],[Cola]],Tabla68[],2,0)</f>
        <v>#N/A</v>
      </c>
    </row>
    <row r="356" spans="2:18" x14ac:dyDescent="0.3">
      <c r="B356" s="6">
        <v>46206</v>
      </c>
      <c r="C356" s="14">
        <v>0.5</v>
      </c>
      <c r="D356" t="s">
        <v>50</v>
      </c>
      <c r="E356" t="s">
        <v>18</v>
      </c>
      <c r="F356">
        <v>3</v>
      </c>
      <c r="G356">
        <v>3</v>
      </c>
      <c r="H356">
        <v>0</v>
      </c>
      <c r="I356" s="2">
        <v>0.33</v>
      </c>
      <c r="J356" s="14">
        <v>2.7893518518518519E-3</v>
      </c>
      <c r="K356" s="6">
        <f>INT(Regiones[[#This Row],[Fecha]])</f>
        <v>46206</v>
      </c>
      <c r="L356" s="10">
        <f>IFERROR(Regiones[[#This Row],[Contestadas]]/Regiones[[#This Row],[Ofrecidas]],"")</f>
        <v>1</v>
      </c>
      <c r="M356" s="7">
        <f>IFERROR(Regiones[[#This Row],[Ofrecidas]]*Regiones[[#This Row],[% de nivel de servicio]],"")</f>
        <v>0.99</v>
      </c>
      <c r="N356" s="7"/>
      <c r="O356" s="12">
        <f>IFERROR(Regiones[[#This Row],[Aten &lt; 20 seg]]/Regiones[[#This Row],[Contestadas]],"")</f>
        <v>0.33</v>
      </c>
      <c r="P356" s="13">
        <f>IFERROR(Regiones[[#This Row],[AHT]]*86400,"error")</f>
        <v>241</v>
      </c>
      <c r="Q356" s="13" t="str">
        <f>+VLOOKUP(Regiones[[#This Row],[Cola]],Tabla6[#Data],2,0)</f>
        <v>BUPA</v>
      </c>
      <c r="R356" s="13" t="e">
        <f>+VLOOKUP(Regiones[[#This Row],[Cola]],Tabla68[],2,0)</f>
        <v>#N/A</v>
      </c>
    </row>
    <row r="357" spans="2:18" x14ac:dyDescent="0.3">
      <c r="B357" s="6">
        <v>46206</v>
      </c>
      <c r="C357" s="14">
        <v>0.52083333333333337</v>
      </c>
      <c r="D357" t="s">
        <v>50</v>
      </c>
      <c r="E357" t="s">
        <v>18</v>
      </c>
      <c r="F357">
        <v>1</v>
      </c>
      <c r="G357">
        <v>1</v>
      </c>
      <c r="H357">
        <v>0</v>
      </c>
      <c r="I357" s="2">
        <v>1</v>
      </c>
      <c r="J357" s="14">
        <v>2.7777777777777779E-3</v>
      </c>
      <c r="K357" s="6">
        <f>INT(Regiones[[#This Row],[Fecha]])</f>
        <v>46206</v>
      </c>
      <c r="L357" s="10">
        <f>IFERROR(Regiones[[#This Row],[Contestadas]]/Regiones[[#This Row],[Ofrecidas]],"")</f>
        <v>1</v>
      </c>
      <c r="M357" s="7">
        <f>IFERROR(Regiones[[#This Row],[Ofrecidas]]*Regiones[[#This Row],[% de nivel de servicio]],"")</f>
        <v>1</v>
      </c>
      <c r="N357" s="7"/>
      <c r="O357" s="12">
        <f>IFERROR(Regiones[[#This Row],[Aten &lt; 20 seg]]/Regiones[[#This Row],[Contestadas]],"")</f>
        <v>1</v>
      </c>
      <c r="P357" s="13">
        <f>IFERROR(Regiones[[#This Row],[AHT]]*86400,"error")</f>
        <v>240</v>
      </c>
      <c r="Q357" s="13" t="str">
        <f>+VLOOKUP(Regiones[[#This Row],[Cola]],Tabla6[#Data],2,0)</f>
        <v>BUPA</v>
      </c>
      <c r="R357" s="13" t="e">
        <f>+VLOOKUP(Regiones[[#This Row],[Cola]],Tabla68[],2,0)</f>
        <v>#N/A</v>
      </c>
    </row>
    <row r="358" spans="2:18" x14ac:dyDescent="0.3">
      <c r="B358" s="6">
        <v>46206</v>
      </c>
      <c r="C358" s="14">
        <v>0.52083333333333337</v>
      </c>
      <c r="D358" t="s">
        <v>56</v>
      </c>
      <c r="E358" t="s">
        <v>18</v>
      </c>
      <c r="F358">
        <v>1</v>
      </c>
      <c r="G358">
        <v>1</v>
      </c>
      <c r="H358">
        <v>0</v>
      </c>
      <c r="I358" s="2">
        <v>1</v>
      </c>
      <c r="J358" s="14">
        <v>8.3101851851851843E-3</v>
      </c>
      <c r="K358" s="6">
        <f>INT(Regiones[[#This Row],[Fecha]])</f>
        <v>46206</v>
      </c>
      <c r="L358" s="10">
        <f>IFERROR(Regiones[[#This Row],[Contestadas]]/Regiones[[#This Row],[Ofrecidas]],"")</f>
        <v>1</v>
      </c>
      <c r="M358" s="7">
        <f>IFERROR(Regiones[[#This Row],[Ofrecidas]]*Regiones[[#This Row],[% de nivel de servicio]],"")</f>
        <v>1</v>
      </c>
      <c r="N358" s="7"/>
      <c r="O358" s="12">
        <f>IFERROR(Regiones[[#This Row],[Aten &lt; 20 seg]]/Regiones[[#This Row],[Contestadas]],"")</f>
        <v>1</v>
      </c>
      <c r="P358" s="13">
        <f>IFERROR(Regiones[[#This Row],[AHT]]*86400,"error")</f>
        <v>717.99999999999989</v>
      </c>
      <c r="Q358" s="13" t="str">
        <f>+VLOOKUP(Regiones[[#This Row],[Cola]],Tabla6[#Data],2,0)</f>
        <v>BUPA</v>
      </c>
      <c r="R358" s="13" t="e">
        <f>+VLOOKUP(Regiones[[#This Row],[Cola]],Tabla68[],2,0)</f>
        <v>#N/A</v>
      </c>
    </row>
    <row r="359" spans="2:18" x14ac:dyDescent="0.3">
      <c r="B359" s="6">
        <v>46206</v>
      </c>
      <c r="C359" s="14">
        <v>0.52083333333333337</v>
      </c>
      <c r="D359" t="s">
        <v>53</v>
      </c>
      <c r="E359" t="s">
        <v>18</v>
      </c>
      <c r="F359">
        <v>1</v>
      </c>
      <c r="G359">
        <v>1</v>
      </c>
      <c r="H359">
        <v>0</v>
      </c>
      <c r="I359" s="2">
        <v>1</v>
      </c>
      <c r="J359" s="14">
        <v>5.3125000000000004E-3</v>
      </c>
      <c r="K359" s="6">
        <f>INT(Regiones[[#This Row],[Fecha]])</f>
        <v>46206</v>
      </c>
      <c r="L359" s="10">
        <f>IFERROR(Regiones[[#This Row],[Contestadas]]/Regiones[[#This Row],[Ofrecidas]],"")</f>
        <v>1</v>
      </c>
      <c r="M359" s="7">
        <f>IFERROR(Regiones[[#This Row],[Ofrecidas]]*Regiones[[#This Row],[% de nivel de servicio]],"")</f>
        <v>1</v>
      </c>
      <c r="N359" s="7"/>
      <c r="O359" s="12">
        <f>IFERROR(Regiones[[#This Row],[Aten &lt; 20 seg]]/Regiones[[#This Row],[Contestadas]],"")</f>
        <v>1</v>
      </c>
      <c r="P359" s="13">
        <f>IFERROR(Regiones[[#This Row],[AHT]]*86400,"error")</f>
        <v>459.00000000000006</v>
      </c>
      <c r="Q359" s="13" t="str">
        <f>+VLOOKUP(Regiones[[#This Row],[Cola]],Tabla6[#Data],2,0)</f>
        <v>BUPA</v>
      </c>
      <c r="R359" s="13" t="e">
        <f>+VLOOKUP(Regiones[[#This Row],[Cola]],Tabla68[],2,0)</f>
        <v>#N/A</v>
      </c>
    </row>
    <row r="360" spans="2:18" x14ac:dyDescent="0.3">
      <c r="B360" s="6">
        <v>46206</v>
      </c>
      <c r="C360" s="14">
        <v>0.52083333333333337</v>
      </c>
      <c r="D360" t="s">
        <v>47</v>
      </c>
      <c r="E360" t="s">
        <v>18</v>
      </c>
      <c r="F360">
        <v>11</v>
      </c>
      <c r="G360">
        <v>10</v>
      </c>
      <c r="H360">
        <v>2</v>
      </c>
      <c r="I360" s="2">
        <v>0.67</v>
      </c>
      <c r="J360" s="14">
        <v>4.6180555555555558E-3</v>
      </c>
      <c r="K360" s="6">
        <f>INT(Regiones[[#This Row],[Fecha]])</f>
        <v>46206</v>
      </c>
      <c r="L360" s="10">
        <f>IFERROR(Regiones[[#This Row],[Contestadas]]/Regiones[[#This Row],[Ofrecidas]],"")</f>
        <v>0.90909090909090906</v>
      </c>
      <c r="M360" s="7">
        <f>IFERROR(Regiones[[#This Row],[Ofrecidas]]*Regiones[[#This Row],[% de nivel de servicio]],"")</f>
        <v>7.37</v>
      </c>
      <c r="N360" s="7"/>
      <c r="O360" s="12">
        <f>IFERROR(Regiones[[#This Row],[Aten &lt; 20 seg]]/Regiones[[#This Row],[Contestadas]],"")</f>
        <v>0.73699999999999999</v>
      </c>
      <c r="P360" s="13">
        <f>IFERROR(Regiones[[#This Row],[AHT]]*86400,"error")</f>
        <v>399</v>
      </c>
      <c r="Q360" s="13" t="str">
        <f>+VLOOKUP(Regiones[[#This Row],[Cola]],Tabla6[#Data],2,0)</f>
        <v>BUPA</v>
      </c>
      <c r="R360" s="13" t="e">
        <f>+VLOOKUP(Regiones[[#This Row],[Cola]],Tabla68[],2,0)</f>
        <v>#N/A</v>
      </c>
    </row>
    <row r="361" spans="2:18" x14ac:dyDescent="0.3">
      <c r="B361" s="6">
        <v>46206</v>
      </c>
      <c r="C361" s="14">
        <v>0.52083333333333337</v>
      </c>
      <c r="D361" t="s">
        <v>48</v>
      </c>
      <c r="E361" t="s">
        <v>18</v>
      </c>
      <c r="F361">
        <v>9</v>
      </c>
      <c r="G361">
        <v>8</v>
      </c>
      <c r="H361">
        <v>1</v>
      </c>
      <c r="I361" s="2">
        <v>0.67</v>
      </c>
      <c r="J361" s="14">
        <v>2.0833333333333333E-3</v>
      </c>
      <c r="K361" s="6">
        <f>INT(Regiones[[#This Row],[Fecha]])</f>
        <v>46206</v>
      </c>
      <c r="L361" s="10">
        <f>IFERROR(Regiones[[#This Row],[Contestadas]]/Regiones[[#This Row],[Ofrecidas]],"")</f>
        <v>0.88888888888888884</v>
      </c>
      <c r="M361" s="7">
        <f>IFERROR(Regiones[[#This Row],[Ofrecidas]]*Regiones[[#This Row],[% de nivel de servicio]],"")</f>
        <v>6.03</v>
      </c>
      <c r="N361" s="7"/>
      <c r="O361" s="12">
        <f>IFERROR(Regiones[[#This Row],[Aten &lt; 20 seg]]/Regiones[[#This Row],[Contestadas]],"")</f>
        <v>0.75375000000000003</v>
      </c>
      <c r="P361" s="13">
        <f>IFERROR(Regiones[[#This Row],[AHT]]*86400,"error")</f>
        <v>180</v>
      </c>
      <c r="Q361" s="13" t="str">
        <f>+VLOOKUP(Regiones[[#This Row],[Cola]],Tabla6[#Data],2,0)</f>
        <v>BUPA</v>
      </c>
      <c r="R361" s="13" t="e">
        <f>+VLOOKUP(Regiones[[#This Row],[Cola]],Tabla68[],2,0)</f>
        <v>#N/A</v>
      </c>
    </row>
    <row r="362" spans="2:18" x14ac:dyDescent="0.3">
      <c r="B362" s="6">
        <v>46206</v>
      </c>
      <c r="C362" s="14">
        <v>0.52083333333333337</v>
      </c>
      <c r="D362" t="s">
        <v>57</v>
      </c>
      <c r="E362" t="s">
        <v>18</v>
      </c>
      <c r="F362">
        <v>1</v>
      </c>
      <c r="G362">
        <v>1</v>
      </c>
      <c r="H362">
        <v>0</v>
      </c>
      <c r="I362" s="2">
        <v>0</v>
      </c>
      <c r="J362" s="14">
        <v>4.7685185185185183E-3</v>
      </c>
      <c r="K362" s="6">
        <f>INT(Regiones[[#This Row],[Fecha]])</f>
        <v>46206</v>
      </c>
      <c r="L362" s="10">
        <f>IFERROR(Regiones[[#This Row],[Contestadas]]/Regiones[[#This Row],[Ofrecidas]],"")</f>
        <v>1</v>
      </c>
      <c r="M362" s="7">
        <f>IFERROR(Regiones[[#This Row],[Ofrecidas]]*Regiones[[#This Row],[% de nivel de servicio]],"")</f>
        <v>0</v>
      </c>
      <c r="N362" s="7"/>
      <c r="O362" s="12">
        <f>IFERROR(Regiones[[#This Row],[Aten &lt; 20 seg]]/Regiones[[#This Row],[Contestadas]],"")</f>
        <v>0</v>
      </c>
      <c r="P362" s="13">
        <f>IFERROR(Regiones[[#This Row],[AHT]]*86400,"error")</f>
        <v>412</v>
      </c>
      <c r="Q362" s="13" t="str">
        <f>+VLOOKUP(Regiones[[#This Row],[Cola]],Tabla6[#Data],2,0)</f>
        <v>BUPA</v>
      </c>
      <c r="R362" s="13" t="e">
        <f>+VLOOKUP(Regiones[[#This Row],[Cola]],Tabla68[],2,0)</f>
        <v>#N/A</v>
      </c>
    </row>
    <row r="363" spans="2:18" x14ac:dyDescent="0.3">
      <c r="B363" s="6">
        <v>46206</v>
      </c>
      <c r="C363" s="14">
        <v>0.52083333333333337</v>
      </c>
      <c r="D363" t="s">
        <v>52</v>
      </c>
      <c r="E363" t="s">
        <v>18</v>
      </c>
      <c r="F363">
        <v>2</v>
      </c>
      <c r="G363">
        <v>2</v>
      </c>
      <c r="H363">
        <v>0</v>
      </c>
      <c r="I363" s="2">
        <v>0.5</v>
      </c>
      <c r="J363" s="14">
        <v>7.1759259259259259E-4</v>
      </c>
      <c r="K363" s="6">
        <f>INT(Regiones[[#This Row],[Fecha]])</f>
        <v>46206</v>
      </c>
      <c r="L363" s="10">
        <f>IFERROR(Regiones[[#This Row],[Contestadas]]/Regiones[[#This Row],[Ofrecidas]],"")</f>
        <v>1</v>
      </c>
      <c r="M363" s="7">
        <f>IFERROR(Regiones[[#This Row],[Ofrecidas]]*Regiones[[#This Row],[% de nivel de servicio]],"")</f>
        <v>1</v>
      </c>
      <c r="N363" s="7"/>
      <c r="O363" s="12">
        <f>IFERROR(Regiones[[#This Row],[Aten &lt; 20 seg]]/Regiones[[#This Row],[Contestadas]],"")</f>
        <v>0.5</v>
      </c>
      <c r="P363" s="13">
        <f>IFERROR(Regiones[[#This Row],[AHT]]*86400,"error")</f>
        <v>62</v>
      </c>
      <c r="Q363" s="13" t="str">
        <f>+VLOOKUP(Regiones[[#This Row],[Cola]],Tabla6[#Data],2,0)</f>
        <v>BUPA</v>
      </c>
      <c r="R363" s="13" t="e">
        <f>+VLOOKUP(Regiones[[#This Row],[Cola]],Tabla68[],2,0)</f>
        <v>#N/A</v>
      </c>
    </row>
    <row r="364" spans="2:18" x14ac:dyDescent="0.3">
      <c r="B364" s="6">
        <v>46206</v>
      </c>
      <c r="C364" s="14">
        <v>0.52083333333333337</v>
      </c>
      <c r="D364" t="s">
        <v>49</v>
      </c>
      <c r="E364" t="s">
        <v>18</v>
      </c>
      <c r="F364">
        <v>2</v>
      </c>
      <c r="G364">
        <v>2</v>
      </c>
      <c r="H364">
        <v>0</v>
      </c>
      <c r="I364" s="2">
        <v>0.5</v>
      </c>
      <c r="J364" s="14">
        <v>5.1736111111111115E-3</v>
      </c>
      <c r="K364" s="6">
        <f>INT(Regiones[[#This Row],[Fecha]])</f>
        <v>46206</v>
      </c>
      <c r="L364" s="10">
        <f>IFERROR(Regiones[[#This Row],[Contestadas]]/Regiones[[#This Row],[Ofrecidas]],"")</f>
        <v>1</v>
      </c>
      <c r="M364" s="7">
        <f>IFERROR(Regiones[[#This Row],[Ofrecidas]]*Regiones[[#This Row],[% de nivel de servicio]],"")</f>
        <v>1</v>
      </c>
      <c r="N364" s="7"/>
      <c r="O364" s="12">
        <f>IFERROR(Regiones[[#This Row],[Aten &lt; 20 seg]]/Regiones[[#This Row],[Contestadas]],"")</f>
        <v>0.5</v>
      </c>
      <c r="P364" s="13">
        <f>IFERROR(Regiones[[#This Row],[AHT]]*86400,"error")</f>
        <v>447.00000000000006</v>
      </c>
      <c r="Q364" s="13" t="str">
        <f>+VLOOKUP(Regiones[[#This Row],[Cola]],Tabla6[#Data],2,0)</f>
        <v>BUPA</v>
      </c>
      <c r="R364" s="13" t="e">
        <f>+VLOOKUP(Regiones[[#This Row],[Cola]],Tabla68[],2,0)</f>
        <v>#N/A</v>
      </c>
    </row>
    <row r="365" spans="2:18" x14ac:dyDescent="0.3">
      <c r="B365" s="6">
        <v>46206</v>
      </c>
      <c r="C365" s="14">
        <v>0.52083333333333337</v>
      </c>
      <c r="D365" t="s">
        <v>46</v>
      </c>
      <c r="E365" t="s">
        <v>18</v>
      </c>
      <c r="F365">
        <v>6</v>
      </c>
      <c r="G365">
        <v>6</v>
      </c>
      <c r="H365">
        <v>0</v>
      </c>
      <c r="I365" s="2">
        <v>0.67</v>
      </c>
      <c r="J365" s="14">
        <v>5.7407407407407407E-3</v>
      </c>
      <c r="K365" s="6">
        <f>INT(Regiones[[#This Row],[Fecha]])</f>
        <v>46206</v>
      </c>
      <c r="L365" s="10">
        <f>IFERROR(Regiones[[#This Row],[Contestadas]]/Regiones[[#This Row],[Ofrecidas]],"")</f>
        <v>1</v>
      </c>
      <c r="M365" s="7">
        <f>IFERROR(Regiones[[#This Row],[Ofrecidas]]*Regiones[[#This Row],[% de nivel de servicio]],"")</f>
        <v>4.0200000000000005</v>
      </c>
      <c r="N365" s="7"/>
      <c r="O365" s="12">
        <f>IFERROR(Regiones[[#This Row],[Aten &lt; 20 seg]]/Regiones[[#This Row],[Contestadas]],"")</f>
        <v>0.67</v>
      </c>
      <c r="P365" s="13">
        <f>IFERROR(Regiones[[#This Row],[AHT]]*86400,"error")</f>
        <v>496</v>
      </c>
      <c r="Q365" s="13" t="str">
        <f>+VLOOKUP(Regiones[[#This Row],[Cola]],Tabla6[#Data],2,0)</f>
        <v>BUPA</v>
      </c>
      <c r="R365" s="13" t="e">
        <f>+VLOOKUP(Regiones[[#This Row],[Cola]],Tabla68[],2,0)</f>
        <v>#N/A</v>
      </c>
    </row>
    <row r="366" spans="2:18" x14ac:dyDescent="0.3">
      <c r="B366" s="6">
        <v>46206</v>
      </c>
      <c r="C366" s="14">
        <v>0.54166666666666663</v>
      </c>
      <c r="D366" t="s">
        <v>48</v>
      </c>
      <c r="E366" t="s">
        <v>18</v>
      </c>
      <c r="F366">
        <v>3</v>
      </c>
      <c r="G366">
        <v>3</v>
      </c>
      <c r="H366">
        <v>0</v>
      </c>
      <c r="I366" s="2">
        <v>0.67</v>
      </c>
      <c r="J366" s="14">
        <v>4.7106481481481478E-3</v>
      </c>
      <c r="K366" s="6">
        <f>INT(Regiones[[#This Row],[Fecha]])</f>
        <v>46206</v>
      </c>
      <c r="L366" s="10">
        <f>IFERROR(Regiones[[#This Row],[Contestadas]]/Regiones[[#This Row],[Ofrecidas]],"")</f>
        <v>1</v>
      </c>
      <c r="M366" s="7">
        <f>IFERROR(Regiones[[#This Row],[Ofrecidas]]*Regiones[[#This Row],[% de nivel de servicio]],"")</f>
        <v>2.0100000000000002</v>
      </c>
      <c r="N366" s="7"/>
      <c r="O366" s="12">
        <f>IFERROR(Regiones[[#This Row],[Aten &lt; 20 seg]]/Regiones[[#This Row],[Contestadas]],"")</f>
        <v>0.67</v>
      </c>
      <c r="P366" s="13">
        <f>IFERROR(Regiones[[#This Row],[AHT]]*86400,"error")</f>
        <v>407</v>
      </c>
      <c r="Q366" s="13" t="str">
        <f>+VLOOKUP(Regiones[[#This Row],[Cola]],Tabla6[#Data],2,0)</f>
        <v>BUPA</v>
      </c>
      <c r="R366" s="13" t="e">
        <f>+VLOOKUP(Regiones[[#This Row],[Cola]],Tabla68[],2,0)</f>
        <v>#N/A</v>
      </c>
    </row>
    <row r="367" spans="2:18" x14ac:dyDescent="0.3">
      <c r="B367" s="6">
        <v>46206</v>
      </c>
      <c r="C367" s="14">
        <v>0.54166666666666663</v>
      </c>
      <c r="D367" t="s">
        <v>52</v>
      </c>
      <c r="E367" t="s">
        <v>18</v>
      </c>
      <c r="F367">
        <v>1</v>
      </c>
      <c r="G367">
        <v>1</v>
      </c>
      <c r="H367">
        <v>0</v>
      </c>
      <c r="I367" s="2">
        <v>0</v>
      </c>
      <c r="J367" s="14">
        <v>2.662037037037037E-3</v>
      </c>
      <c r="K367" s="6">
        <f>INT(Regiones[[#This Row],[Fecha]])</f>
        <v>46206</v>
      </c>
      <c r="L367" s="10">
        <f>IFERROR(Regiones[[#This Row],[Contestadas]]/Regiones[[#This Row],[Ofrecidas]],"")</f>
        <v>1</v>
      </c>
      <c r="M367" s="7">
        <f>IFERROR(Regiones[[#This Row],[Ofrecidas]]*Regiones[[#This Row],[% de nivel de servicio]],"")</f>
        <v>0</v>
      </c>
      <c r="N367" s="7"/>
      <c r="O367" s="12">
        <f>IFERROR(Regiones[[#This Row],[Aten &lt; 20 seg]]/Regiones[[#This Row],[Contestadas]],"")</f>
        <v>0</v>
      </c>
      <c r="P367" s="13">
        <f>IFERROR(Regiones[[#This Row],[AHT]]*86400,"error")</f>
        <v>230</v>
      </c>
      <c r="Q367" s="13" t="str">
        <f>+VLOOKUP(Regiones[[#This Row],[Cola]],Tabla6[#Data],2,0)</f>
        <v>BUPA</v>
      </c>
      <c r="R367" s="13" t="e">
        <f>+VLOOKUP(Regiones[[#This Row],[Cola]],Tabla68[],2,0)</f>
        <v>#N/A</v>
      </c>
    </row>
    <row r="368" spans="2:18" x14ac:dyDescent="0.3">
      <c r="B368" s="6">
        <v>46206</v>
      </c>
      <c r="C368" s="14">
        <v>0.54166666666666663</v>
      </c>
      <c r="D368" t="s">
        <v>49</v>
      </c>
      <c r="E368" t="s">
        <v>18</v>
      </c>
      <c r="F368">
        <v>2</v>
      </c>
      <c r="G368">
        <v>2</v>
      </c>
      <c r="H368">
        <v>0</v>
      </c>
      <c r="I368" s="2">
        <v>0</v>
      </c>
      <c r="J368" s="14">
        <v>2.4537037037037036E-3</v>
      </c>
      <c r="K368" s="6">
        <f>INT(Regiones[[#This Row],[Fecha]])</f>
        <v>46206</v>
      </c>
      <c r="L368" s="10">
        <f>IFERROR(Regiones[[#This Row],[Contestadas]]/Regiones[[#This Row],[Ofrecidas]],"")</f>
        <v>1</v>
      </c>
      <c r="M368" s="7">
        <f>IFERROR(Regiones[[#This Row],[Ofrecidas]]*Regiones[[#This Row],[% de nivel de servicio]],"")</f>
        <v>0</v>
      </c>
      <c r="N368" s="7"/>
      <c r="O368" s="12">
        <f>IFERROR(Regiones[[#This Row],[Aten &lt; 20 seg]]/Regiones[[#This Row],[Contestadas]],"")</f>
        <v>0</v>
      </c>
      <c r="P368" s="13">
        <f>IFERROR(Regiones[[#This Row],[AHT]]*86400,"error")</f>
        <v>212</v>
      </c>
      <c r="Q368" s="13" t="str">
        <f>+VLOOKUP(Regiones[[#This Row],[Cola]],Tabla6[#Data],2,0)</f>
        <v>BUPA</v>
      </c>
      <c r="R368" s="13" t="e">
        <f>+VLOOKUP(Regiones[[#This Row],[Cola]],Tabla68[],2,0)</f>
        <v>#N/A</v>
      </c>
    </row>
    <row r="369" spans="2:18" x14ac:dyDescent="0.3">
      <c r="B369" s="6">
        <v>46206</v>
      </c>
      <c r="C369" s="14">
        <v>0.54166666666666663</v>
      </c>
      <c r="D369" t="s">
        <v>46</v>
      </c>
      <c r="E369" t="s">
        <v>18</v>
      </c>
      <c r="F369">
        <v>5</v>
      </c>
      <c r="G369">
        <v>5</v>
      </c>
      <c r="H369">
        <v>0</v>
      </c>
      <c r="I369" s="2">
        <v>0.8</v>
      </c>
      <c r="J369" s="14">
        <v>4.9768518518518521E-3</v>
      </c>
      <c r="K369" s="6">
        <f>INT(Regiones[[#This Row],[Fecha]])</f>
        <v>46206</v>
      </c>
      <c r="L369" s="10">
        <f>IFERROR(Regiones[[#This Row],[Contestadas]]/Regiones[[#This Row],[Ofrecidas]],"")</f>
        <v>1</v>
      </c>
      <c r="M369" s="7">
        <f>IFERROR(Regiones[[#This Row],[Ofrecidas]]*Regiones[[#This Row],[% de nivel de servicio]],"")</f>
        <v>4</v>
      </c>
      <c r="N369" s="7"/>
      <c r="O369" s="12">
        <f>IFERROR(Regiones[[#This Row],[Aten &lt; 20 seg]]/Regiones[[#This Row],[Contestadas]],"")</f>
        <v>0.8</v>
      </c>
      <c r="P369" s="13">
        <f>IFERROR(Regiones[[#This Row],[AHT]]*86400,"error")</f>
        <v>430</v>
      </c>
      <c r="Q369" s="13" t="str">
        <f>+VLOOKUP(Regiones[[#This Row],[Cola]],Tabla6[#Data],2,0)</f>
        <v>BUPA</v>
      </c>
      <c r="R369" s="13" t="e">
        <f>+VLOOKUP(Regiones[[#This Row],[Cola]],Tabla68[],2,0)</f>
        <v>#N/A</v>
      </c>
    </row>
    <row r="370" spans="2:18" x14ac:dyDescent="0.3">
      <c r="B370" s="6">
        <v>46206</v>
      </c>
      <c r="C370" s="14">
        <v>0.54166666666666663</v>
      </c>
      <c r="D370" t="s">
        <v>54</v>
      </c>
      <c r="E370" t="s">
        <v>18</v>
      </c>
      <c r="F370">
        <v>1</v>
      </c>
      <c r="G370">
        <v>1</v>
      </c>
      <c r="H370">
        <v>0</v>
      </c>
      <c r="I370" s="2">
        <v>1</v>
      </c>
      <c r="J370" s="14">
        <v>4.3055555555555555E-3</v>
      </c>
      <c r="K370" s="6">
        <f>INT(Regiones[[#This Row],[Fecha]])</f>
        <v>46206</v>
      </c>
      <c r="L370" s="10">
        <f>IFERROR(Regiones[[#This Row],[Contestadas]]/Regiones[[#This Row],[Ofrecidas]],"")</f>
        <v>1</v>
      </c>
      <c r="M370" s="7">
        <f>IFERROR(Regiones[[#This Row],[Ofrecidas]]*Regiones[[#This Row],[% de nivel de servicio]],"")</f>
        <v>1</v>
      </c>
      <c r="N370" s="7"/>
      <c r="O370" s="12">
        <f>IFERROR(Regiones[[#This Row],[Aten &lt; 20 seg]]/Regiones[[#This Row],[Contestadas]],"")</f>
        <v>1</v>
      </c>
      <c r="P370" s="13">
        <f>IFERROR(Regiones[[#This Row],[AHT]]*86400,"error")</f>
        <v>372</v>
      </c>
      <c r="Q370" s="13" t="str">
        <f>+VLOOKUP(Regiones[[#This Row],[Cola]],Tabla6[#Data],2,0)</f>
        <v>BUPA</v>
      </c>
      <c r="R370" s="13" t="e">
        <f>+VLOOKUP(Regiones[[#This Row],[Cola]],Tabla68[],2,0)</f>
        <v>#N/A</v>
      </c>
    </row>
    <row r="371" spans="2:18" x14ac:dyDescent="0.3">
      <c r="B371" s="6">
        <v>46206</v>
      </c>
      <c r="C371" s="14">
        <v>0.54166666666666663</v>
      </c>
      <c r="D371" t="s">
        <v>50</v>
      </c>
      <c r="E371" t="s">
        <v>18</v>
      </c>
      <c r="F371">
        <v>2</v>
      </c>
      <c r="G371">
        <v>2</v>
      </c>
      <c r="H371">
        <v>0</v>
      </c>
      <c r="I371" s="2">
        <v>1</v>
      </c>
      <c r="J371" s="14">
        <v>7.0023148148148145E-3</v>
      </c>
      <c r="K371" s="6">
        <f>INT(Regiones[[#This Row],[Fecha]])</f>
        <v>46206</v>
      </c>
      <c r="L371" s="10">
        <f>IFERROR(Regiones[[#This Row],[Contestadas]]/Regiones[[#This Row],[Ofrecidas]],"")</f>
        <v>1</v>
      </c>
      <c r="M371" s="7">
        <f>IFERROR(Regiones[[#This Row],[Ofrecidas]]*Regiones[[#This Row],[% de nivel de servicio]],"")</f>
        <v>2</v>
      </c>
      <c r="N371" s="7"/>
      <c r="O371" s="12">
        <f>IFERROR(Regiones[[#This Row],[Aten &lt; 20 seg]]/Regiones[[#This Row],[Contestadas]],"")</f>
        <v>1</v>
      </c>
      <c r="P371" s="13">
        <f>IFERROR(Regiones[[#This Row],[AHT]]*86400,"error")</f>
        <v>605</v>
      </c>
      <c r="Q371" s="13" t="str">
        <f>+VLOOKUP(Regiones[[#This Row],[Cola]],Tabla6[#Data],2,0)</f>
        <v>BUPA</v>
      </c>
      <c r="R371" s="13" t="e">
        <f>+VLOOKUP(Regiones[[#This Row],[Cola]],Tabla68[],2,0)</f>
        <v>#N/A</v>
      </c>
    </row>
    <row r="372" spans="2:18" x14ac:dyDescent="0.3">
      <c r="B372" s="6">
        <v>46206</v>
      </c>
      <c r="C372" s="14">
        <v>0.54166666666666663</v>
      </c>
      <c r="D372" t="s">
        <v>53</v>
      </c>
      <c r="E372" t="s">
        <v>18</v>
      </c>
      <c r="F372">
        <v>2</v>
      </c>
      <c r="G372">
        <v>2</v>
      </c>
      <c r="H372">
        <v>0</v>
      </c>
      <c r="I372" s="2">
        <v>0.5</v>
      </c>
      <c r="J372" s="14">
        <v>9.0509259259259258E-3</v>
      </c>
      <c r="K372" s="6">
        <f>INT(Regiones[[#This Row],[Fecha]])</f>
        <v>46206</v>
      </c>
      <c r="L372" s="10">
        <f>IFERROR(Regiones[[#This Row],[Contestadas]]/Regiones[[#This Row],[Ofrecidas]],"")</f>
        <v>1</v>
      </c>
      <c r="M372" s="7">
        <f>IFERROR(Regiones[[#This Row],[Ofrecidas]]*Regiones[[#This Row],[% de nivel de servicio]],"")</f>
        <v>1</v>
      </c>
      <c r="N372" s="7"/>
      <c r="O372" s="12">
        <f>IFERROR(Regiones[[#This Row],[Aten &lt; 20 seg]]/Regiones[[#This Row],[Contestadas]],"")</f>
        <v>0.5</v>
      </c>
      <c r="P372" s="13">
        <f>IFERROR(Regiones[[#This Row],[AHT]]*86400,"error")</f>
        <v>782</v>
      </c>
      <c r="Q372" s="13" t="str">
        <f>+VLOOKUP(Regiones[[#This Row],[Cola]],Tabla6[#Data],2,0)</f>
        <v>BUPA</v>
      </c>
      <c r="R372" s="13" t="e">
        <f>+VLOOKUP(Regiones[[#This Row],[Cola]],Tabla68[],2,0)</f>
        <v>#N/A</v>
      </c>
    </row>
    <row r="373" spans="2:18" x14ac:dyDescent="0.3">
      <c r="B373" s="6">
        <v>46206</v>
      </c>
      <c r="C373" s="14">
        <v>0.54166666666666663</v>
      </c>
      <c r="D373" t="s">
        <v>47</v>
      </c>
      <c r="E373" t="s">
        <v>18</v>
      </c>
      <c r="F373">
        <v>8</v>
      </c>
      <c r="G373">
        <v>8</v>
      </c>
      <c r="H373">
        <v>0</v>
      </c>
      <c r="I373" s="2">
        <v>0.62</v>
      </c>
      <c r="J373" s="14">
        <v>5.0578703703703706E-3</v>
      </c>
      <c r="K373" s="6">
        <f>INT(Regiones[[#This Row],[Fecha]])</f>
        <v>46206</v>
      </c>
      <c r="L373" s="10">
        <f>IFERROR(Regiones[[#This Row],[Contestadas]]/Regiones[[#This Row],[Ofrecidas]],"")</f>
        <v>1</v>
      </c>
      <c r="M373" s="7">
        <f>IFERROR(Regiones[[#This Row],[Ofrecidas]]*Regiones[[#This Row],[% de nivel de servicio]],"")</f>
        <v>4.96</v>
      </c>
      <c r="N373" s="7"/>
      <c r="O373" s="12">
        <f>IFERROR(Regiones[[#This Row],[Aten &lt; 20 seg]]/Regiones[[#This Row],[Contestadas]],"")</f>
        <v>0.62</v>
      </c>
      <c r="P373" s="13">
        <f>IFERROR(Regiones[[#This Row],[AHT]]*86400,"error")</f>
        <v>437</v>
      </c>
      <c r="Q373" s="13" t="str">
        <f>+VLOOKUP(Regiones[[#This Row],[Cola]],Tabla6[#Data],2,0)</f>
        <v>BUPA</v>
      </c>
      <c r="R373" s="13" t="e">
        <f>+VLOOKUP(Regiones[[#This Row],[Cola]],Tabla68[],2,0)</f>
        <v>#N/A</v>
      </c>
    </row>
    <row r="374" spans="2:18" x14ac:dyDescent="0.3">
      <c r="B374" s="6">
        <v>46206</v>
      </c>
      <c r="C374" s="14">
        <v>0.5625</v>
      </c>
      <c r="D374" t="s">
        <v>47</v>
      </c>
      <c r="E374" t="s">
        <v>18</v>
      </c>
      <c r="F374">
        <v>14</v>
      </c>
      <c r="G374">
        <v>14</v>
      </c>
      <c r="H374">
        <v>0</v>
      </c>
      <c r="I374" s="2">
        <v>0.64</v>
      </c>
      <c r="J374" s="14">
        <v>4.0509259259259257E-3</v>
      </c>
      <c r="K374" s="6">
        <f>INT(Regiones[[#This Row],[Fecha]])</f>
        <v>46206</v>
      </c>
      <c r="L374" s="10">
        <f>IFERROR(Regiones[[#This Row],[Contestadas]]/Regiones[[#This Row],[Ofrecidas]],"")</f>
        <v>1</v>
      </c>
      <c r="M374" s="7">
        <f>IFERROR(Regiones[[#This Row],[Ofrecidas]]*Regiones[[#This Row],[% de nivel de servicio]],"")</f>
        <v>8.9600000000000009</v>
      </c>
      <c r="N374" s="7"/>
      <c r="O374" s="12">
        <f>IFERROR(Regiones[[#This Row],[Aten &lt; 20 seg]]/Regiones[[#This Row],[Contestadas]],"")</f>
        <v>0.64</v>
      </c>
      <c r="P374" s="13">
        <f>IFERROR(Regiones[[#This Row],[AHT]]*86400,"error")</f>
        <v>350</v>
      </c>
      <c r="Q374" s="13" t="str">
        <f>+VLOOKUP(Regiones[[#This Row],[Cola]],Tabla6[#Data],2,0)</f>
        <v>BUPA</v>
      </c>
      <c r="R374" s="13" t="e">
        <f>+VLOOKUP(Regiones[[#This Row],[Cola]],Tabla68[],2,0)</f>
        <v>#N/A</v>
      </c>
    </row>
    <row r="375" spans="2:18" x14ac:dyDescent="0.3">
      <c r="B375" s="6">
        <v>46206</v>
      </c>
      <c r="C375" s="14">
        <v>0.5625</v>
      </c>
      <c r="D375" t="s">
        <v>46</v>
      </c>
      <c r="E375" t="s">
        <v>18</v>
      </c>
      <c r="F375">
        <v>6</v>
      </c>
      <c r="G375">
        <v>6</v>
      </c>
      <c r="H375">
        <v>0</v>
      </c>
      <c r="I375" s="2">
        <v>0.67</v>
      </c>
      <c r="J375" s="14">
        <v>5.185185185185185E-3</v>
      </c>
      <c r="K375" s="6">
        <f>INT(Regiones[[#This Row],[Fecha]])</f>
        <v>46206</v>
      </c>
      <c r="L375" s="10">
        <f>IFERROR(Regiones[[#This Row],[Contestadas]]/Regiones[[#This Row],[Ofrecidas]],"")</f>
        <v>1</v>
      </c>
      <c r="M375" s="7">
        <f>IFERROR(Regiones[[#This Row],[Ofrecidas]]*Regiones[[#This Row],[% de nivel de servicio]],"")</f>
        <v>4.0200000000000005</v>
      </c>
      <c r="N375" s="7"/>
      <c r="O375" s="12">
        <f>IFERROR(Regiones[[#This Row],[Aten &lt; 20 seg]]/Regiones[[#This Row],[Contestadas]],"")</f>
        <v>0.67</v>
      </c>
      <c r="P375" s="13">
        <f>IFERROR(Regiones[[#This Row],[AHT]]*86400,"error")</f>
        <v>448</v>
      </c>
      <c r="Q375" s="13" t="str">
        <f>+VLOOKUP(Regiones[[#This Row],[Cola]],Tabla6[#Data],2,0)</f>
        <v>BUPA</v>
      </c>
      <c r="R375" s="13" t="e">
        <f>+VLOOKUP(Regiones[[#This Row],[Cola]],Tabla68[],2,0)</f>
        <v>#N/A</v>
      </c>
    </row>
    <row r="376" spans="2:18" x14ac:dyDescent="0.3">
      <c r="B376" s="6">
        <v>46206</v>
      </c>
      <c r="C376" s="14">
        <v>0.5625</v>
      </c>
      <c r="D376" t="s">
        <v>48</v>
      </c>
      <c r="E376" t="s">
        <v>18</v>
      </c>
      <c r="F376">
        <v>7</v>
      </c>
      <c r="G376">
        <v>6</v>
      </c>
      <c r="H376">
        <v>1</v>
      </c>
      <c r="I376" s="2">
        <v>0.43</v>
      </c>
      <c r="J376" s="14">
        <v>4.2708333333333331E-3</v>
      </c>
      <c r="K376" s="6">
        <f>INT(Regiones[[#This Row],[Fecha]])</f>
        <v>46206</v>
      </c>
      <c r="L376" s="10">
        <f>IFERROR(Regiones[[#This Row],[Contestadas]]/Regiones[[#This Row],[Ofrecidas]],"")</f>
        <v>0.8571428571428571</v>
      </c>
      <c r="M376" s="7">
        <f>IFERROR(Regiones[[#This Row],[Ofrecidas]]*Regiones[[#This Row],[% de nivel de servicio]],"")</f>
        <v>3.01</v>
      </c>
      <c r="N376" s="7"/>
      <c r="O376" s="12">
        <f>IFERROR(Regiones[[#This Row],[Aten &lt; 20 seg]]/Regiones[[#This Row],[Contestadas]],"")</f>
        <v>0.50166666666666659</v>
      </c>
      <c r="P376" s="13">
        <f>IFERROR(Regiones[[#This Row],[AHT]]*86400,"error")</f>
        <v>369</v>
      </c>
      <c r="Q376" s="13" t="str">
        <f>+VLOOKUP(Regiones[[#This Row],[Cola]],Tabla6[#Data],2,0)</f>
        <v>BUPA</v>
      </c>
      <c r="R376" s="13" t="e">
        <f>+VLOOKUP(Regiones[[#This Row],[Cola]],Tabla68[],2,0)</f>
        <v>#N/A</v>
      </c>
    </row>
    <row r="377" spans="2:18" x14ac:dyDescent="0.3">
      <c r="B377" s="6">
        <v>46206</v>
      </c>
      <c r="C377" s="14">
        <v>0.5625</v>
      </c>
      <c r="D377" t="s">
        <v>49</v>
      </c>
      <c r="E377" t="s">
        <v>18</v>
      </c>
      <c r="F377">
        <v>1</v>
      </c>
      <c r="G377">
        <v>1</v>
      </c>
      <c r="H377">
        <v>0</v>
      </c>
      <c r="I377" s="2">
        <v>1</v>
      </c>
      <c r="J377" s="14">
        <v>6.2152777777777779E-3</v>
      </c>
      <c r="K377" s="6">
        <f>INT(Regiones[[#This Row],[Fecha]])</f>
        <v>46206</v>
      </c>
      <c r="L377" s="10">
        <f>IFERROR(Regiones[[#This Row],[Contestadas]]/Regiones[[#This Row],[Ofrecidas]],"")</f>
        <v>1</v>
      </c>
      <c r="M377" s="7">
        <f>IFERROR(Regiones[[#This Row],[Ofrecidas]]*Regiones[[#This Row],[% de nivel de servicio]],"")</f>
        <v>1</v>
      </c>
      <c r="N377" s="7"/>
      <c r="O377" s="12">
        <f>IFERROR(Regiones[[#This Row],[Aten &lt; 20 seg]]/Regiones[[#This Row],[Contestadas]],"")</f>
        <v>1</v>
      </c>
      <c r="P377" s="13">
        <f>IFERROR(Regiones[[#This Row],[AHT]]*86400,"error")</f>
        <v>537</v>
      </c>
      <c r="Q377" s="13" t="str">
        <f>+VLOOKUP(Regiones[[#This Row],[Cola]],Tabla6[#Data],2,0)</f>
        <v>BUPA</v>
      </c>
      <c r="R377" s="13" t="e">
        <f>+VLOOKUP(Regiones[[#This Row],[Cola]],Tabla68[],2,0)</f>
        <v>#N/A</v>
      </c>
    </row>
    <row r="378" spans="2:18" x14ac:dyDescent="0.3">
      <c r="B378" s="6">
        <v>46206</v>
      </c>
      <c r="C378" s="14">
        <v>0.5625</v>
      </c>
      <c r="D378" t="s">
        <v>57</v>
      </c>
      <c r="E378" t="s">
        <v>18</v>
      </c>
      <c r="F378">
        <v>1</v>
      </c>
      <c r="G378">
        <v>1</v>
      </c>
      <c r="H378">
        <v>0</v>
      </c>
      <c r="I378" s="2">
        <v>1</v>
      </c>
      <c r="J378" s="14">
        <v>4.9189814814814816E-3</v>
      </c>
      <c r="K378" s="6">
        <f>INT(Regiones[[#This Row],[Fecha]])</f>
        <v>46206</v>
      </c>
      <c r="L378" s="10">
        <f>IFERROR(Regiones[[#This Row],[Contestadas]]/Regiones[[#This Row],[Ofrecidas]],"")</f>
        <v>1</v>
      </c>
      <c r="M378" s="7">
        <f>IFERROR(Regiones[[#This Row],[Ofrecidas]]*Regiones[[#This Row],[% de nivel de servicio]],"")</f>
        <v>1</v>
      </c>
      <c r="N378" s="7"/>
      <c r="O378" s="12">
        <f>IFERROR(Regiones[[#This Row],[Aten &lt; 20 seg]]/Regiones[[#This Row],[Contestadas]],"")</f>
        <v>1</v>
      </c>
      <c r="P378" s="13">
        <f>IFERROR(Regiones[[#This Row],[AHT]]*86400,"error")</f>
        <v>425</v>
      </c>
      <c r="Q378" s="13" t="str">
        <f>+VLOOKUP(Regiones[[#This Row],[Cola]],Tabla6[#Data],2,0)</f>
        <v>BUPA</v>
      </c>
      <c r="R378" s="13" t="e">
        <f>+VLOOKUP(Regiones[[#This Row],[Cola]],Tabla68[],2,0)</f>
        <v>#N/A</v>
      </c>
    </row>
    <row r="379" spans="2:18" x14ac:dyDescent="0.3">
      <c r="B379" s="6">
        <v>46206</v>
      </c>
      <c r="C379" s="14">
        <v>0.5625</v>
      </c>
      <c r="D379" t="s">
        <v>52</v>
      </c>
      <c r="E379" t="s">
        <v>18</v>
      </c>
      <c r="F379">
        <v>1</v>
      </c>
      <c r="G379">
        <v>1</v>
      </c>
      <c r="H379">
        <v>0</v>
      </c>
      <c r="I379" s="2">
        <v>1</v>
      </c>
      <c r="J379" s="14">
        <v>3.2407407407407406E-3</v>
      </c>
      <c r="K379" s="6">
        <f>INT(Regiones[[#This Row],[Fecha]])</f>
        <v>46206</v>
      </c>
      <c r="L379" s="10">
        <f>IFERROR(Regiones[[#This Row],[Contestadas]]/Regiones[[#This Row],[Ofrecidas]],"")</f>
        <v>1</v>
      </c>
      <c r="M379" s="7">
        <f>IFERROR(Regiones[[#This Row],[Ofrecidas]]*Regiones[[#This Row],[% de nivel de servicio]],"")</f>
        <v>1</v>
      </c>
      <c r="N379" s="7"/>
      <c r="O379" s="12">
        <f>IFERROR(Regiones[[#This Row],[Aten &lt; 20 seg]]/Regiones[[#This Row],[Contestadas]],"")</f>
        <v>1</v>
      </c>
      <c r="P379" s="13">
        <f>IFERROR(Regiones[[#This Row],[AHT]]*86400,"error")</f>
        <v>280</v>
      </c>
      <c r="Q379" s="13" t="str">
        <f>+VLOOKUP(Regiones[[#This Row],[Cola]],Tabla6[#Data],2,0)</f>
        <v>BUPA</v>
      </c>
      <c r="R379" s="13" t="e">
        <f>+VLOOKUP(Regiones[[#This Row],[Cola]],Tabla68[],2,0)</f>
        <v>#N/A</v>
      </c>
    </row>
    <row r="380" spans="2:18" x14ac:dyDescent="0.3">
      <c r="B380" s="6">
        <v>46206</v>
      </c>
      <c r="C380" s="14">
        <v>0.5625</v>
      </c>
      <c r="D380" t="s">
        <v>53</v>
      </c>
      <c r="E380" t="s">
        <v>18</v>
      </c>
      <c r="F380">
        <v>1</v>
      </c>
      <c r="G380">
        <v>1</v>
      </c>
      <c r="H380">
        <v>0</v>
      </c>
      <c r="I380" s="2">
        <v>0</v>
      </c>
      <c r="J380" s="14">
        <v>7.0949074074074074E-3</v>
      </c>
      <c r="K380" s="6">
        <f>INT(Regiones[[#This Row],[Fecha]])</f>
        <v>46206</v>
      </c>
      <c r="L380" s="10">
        <f>IFERROR(Regiones[[#This Row],[Contestadas]]/Regiones[[#This Row],[Ofrecidas]],"")</f>
        <v>1</v>
      </c>
      <c r="M380" s="7">
        <f>IFERROR(Regiones[[#This Row],[Ofrecidas]]*Regiones[[#This Row],[% de nivel de servicio]],"")</f>
        <v>0</v>
      </c>
      <c r="N380" s="7"/>
      <c r="O380" s="12">
        <f>IFERROR(Regiones[[#This Row],[Aten &lt; 20 seg]]/Regiones[[#This Row],[Contestadas]],"")</f>
        <v>0</v>
      </c>
      <c r="P380" s="13">
        <f>IFERROR(Regiones[[#This Row],[AHT]]*86400,"error")</f>
        <v>613</v>
      </c>
      <c r="Q380" s="13" t="str">
        <f>+VLOOKUP(Regiones[[#This Row],[Cola]],Tabla6[#Data],2,0)</f>
        <v>BUPA</v>
      </c>
      <c r="R380" s="13" t="e">
        <f>+VLOOKUP(Regiones[[#This Row],[Cola]],Tabla68[],2,0)</f>
        <v>#N/A</v>
      </c>
    </row>
    <row r="381" spans="2:18" x14ac:dyDescent="0.3">
      <c r="B381" s="6">
        <v>46206</v>
      </c>
      <c r="C381" s="14">
        <v>0.5625</v>
      </c>
      <c r="D381" t="s">
        <v>56</v>
      </c>
      <c r="E381" t="s">
        <v>18</v>
      </c>
      <c r="F381">
        <v>1</v>
      </c>
      <c r="G381">
        <v>1</v>
      </c>
      <c r="H381">
        <v>0</v>
      </c>
      <c r="I381" s="2">
        <v>1</v>
      </c>
      <c r="J381" s="14">
        <v>6.7129629629629625E-4</v>
      </c>
      <c r="K381" s="6">
        <f>INT(Regiones[[#This Row],[Fecha]])</f>
        <v>46206</v>
      </c>
      <c r="L381" s="10">
        <f>IFERROR(Regiones[[#This Row],[Contestadas]]/Regiones[[#This Row],[Ofrecidas]],"")</f>
        <v>1</v>
      </c>
      <c r="M381" s="7">
        <f>IFERROR(Regiones[[#This Row],[Ofrecidas]]*Regiones[[#This Row],[% de nivel de servicio]],"")</f>
        <v>1</v>
      </c>
      <c r="N381" s="7"/>
      <c r="O381" s="12">
        <f>IFERROR(Regiones[[#This Row],[Aten &lt; 20 seg]]/Regiones[[#This Row],[Contestadas]],"")</f>
        <v>1</v>
      </c>
      <c r="P381" s="13">
        <f>IFERROR(Regiones[[#This Row],[AHT]]*86400,"error")</f>
        <v>57.999999999999993</v>
      </c>
      <c r="Q381" s="13" t="str">
        <f>+VLOOKUP(Regiones[[#This Row],[Cola]],Tabla6[#Data],2,0)</f>
        <v>BUPA</v>
      </c>
      <c r="R381" s="13" t="e">
        <f>+VLOOKUP(Regiones[[#This Row],[Cola]],Tabla68[],2,0)</f>
        <v>#N/A</v>
      </c>
    </row>
    <row r="382" spans="2:18" x14ac:dyDescent="0.3">
      <c r="B382" s="6">
        <v>46206</v>
      </c>
      <c r="C382" s="14">
        <v>0.5625</v>
      </c>
      <c r="D382" t="s">
        <v>50</v>
      </c>
      <c r="E382" t="s">
        <v>18</v>
      </c>
      <c r="F382">
        <v>2</v>
      </c>
      <c r="G382">
        <v>1</v>
      </c>
      <c r="H382">
        <v>1</v>
      </c>
      <c r="I382" s="2">
        <v>0</v>
      </c>
      <c r="J382" s="14">
        <v>1.7708333333333332E-3</v>
      </c>
      <c r="K382" s="6">
        <f>INT(Regiones[[#This Row],[Fecha]])</f>
        <v>46206</v>
      </c>
      <c r="L382" s="10">
        <f>IFERROR(Regiones[[#This Row],[Contestadas]]/Regiones[[#This Row],[Ofrecidas]],"")</f>
        <v>0.5</v>
      </c>
      <c r="M382" s="7">
        <f>IFERROR(Regiones[[#This Row],[Ofrecidas]]*Regiones[[#This Row],[% de nivel de servicio]],"")</f>
        <v>0</v>
      </c>
      <c r="N382" s="7"/>
      <c r="O382" s="12">
        <f>IFERROR(Regiones[[#This Row],[Aten &lt; 20 seg]]/Regiones[[#This Row],[Contestadas]],"")</f>
        <v>0</v>
      </c>
      <c r="P382" s="13">
        <f>IFERROR(Regiones[[#This Row],[AHT]]*86400,"error")</f>
        <v>153</v>
      </c>
      <c r="Q382" s="13" t="str">
        <f>+VLOOKUP(Regiones[[#This Row],[Cola]],Tabla6[#Data],2,0)</f>
        <v>BUPA</v>
      </c>
      <c r="R382" s="13" t="e">
        <f>+VLOOKUP(Regiones[[#This Row],[Cola]],Tabla68[],2,0)</f>
        <v>#N/A</v>
      </c>
    </row>
    <row r="383" spans="2:18" x14ac:dyDescent="0.3">
      <c r="B383" s="6">
        <v>46206</v>
      </c>
      <c r="C383" s="14">
        <v>0.58333333333333337</v>
      </c>
      <c r="D383" t="s">
        <v>53</v>
      </c>
      <c r="E383" t="s">
        <v>18</v>
      </c>
      <c r="F383">
        <v>3</v>
      </c>
      <c r="G383">
        <v>1</v>
      </c>
      <c r="H383">
        <v>2</v>
      </c>
      <c r="I383" s="2">
        <v>0</v>
      </c>
      <c r="J383" s="14">
        <v>4.4444444444444444E-3</v>
      </c>
      <c r="K383" s="6">
        <f>INT(Regiones[[#This Row],[Fecha]])</f>
        <v>46206</v>
      </c>
      <c r="L383" s="10">
        <f>IFERROR(Regiones[[#This Row],[Contestadas]]/Regiones[[#This Row],[Ofrecidas]],"")</f>
        <v>0.33333333333333331</v>
      </c>
      <c r="M383" s="7">
        <f>IFERROR(Regiones[[#This Row],[Ofrecidas]]*Regiones[[#This Row],[% de nivel de servicio]],"")</f>
        <v>0</v>
      </c>
      <c r="N383" s="7"/>
      <c r="O383" s="12">
        <f>IFERROR(Regiones[[#This Row],[Aten &lt; 20 seg]]/Regiones[[#This Row],[Contestadas]],"")</f>
        <v>0</v>
      </c>
      <c r="P383" s="13">
        <f>IFERROR(Regiones[[#This Row],[AHT]]*86400,"error")</f>
        <v>384</v>
      </c>
      <c r="Q383" s="13" t="str">
        <f>+VLOOKUP(Regiones[[#This Row],[Cola]],Tabla6[#Data],2,0)</f>
        <v>BUPA</v>
      </c>
      <c r="R383" s="13" t="e">
        <f>+VLOOKUP(Regiones[[#This Row],[Cola]],Tabla68[],2,0)</f>
        <v>#N/A</v>
      </c>
    </row>
    <row r="384" spans="2:18" x14ac:dyDescent="0.3">
      <c r="B384" s="6">
        <v>46206</v>
      </c>
      <c r="C384" s="14">
        <v>0.58333333333333337</v>
      </c>
      <c r="D384" t="s">
        <v>50</v>
      </c>
      <c r="E384" t="s">
        <v>18</v>
      </c>
      <c r="F384">
        <v>3</v>
      </c>
      <c r="G384">
        <v>3</v>
      </c>
      <c r="H384">
        <v>0</v>
      </c>
      <c r="I384" s="2">
        <v>0</v>
      </c>
      <c r="J384" s="14">
        <v>2.1412037037037038E-3</v>
      </c>
      <c r="K384" s="6">
        <f>INT(Regiones[[#This Row],[Fecha]])</f>
        <v>46206</v>
      </c>
      <c r="L384" s="10">
        <f>IFERROR(Regiones[[#This Row],[Contestadas]]/Regiones[[#This Row],[Ofrecidas]],"")</f>
        <v>1</v>
      </c>
      <c r="M384" s="7">
        <f>IFERROR(Regiones[[#This Row],[Ofrecidas]]*Regiones[[#This Row],[% de nivel de servicio]],"")</f>
        <v>0</v>
      </c>
      <c r="N384" s="7"/>
      <c r="O384" s="12">
        <f>IFERROR(Regiones[[#This Row],[Aten &lt; 20 seg]]/Regiones[[#This Row],[Contestadas]],"")</f>
        <v>0</v>
      </c>
      <c r="P384" s="13">
        <f>IFERROR(Regiones[[#This Row],[AHT]]*86400,"error")</f>
        <v>185</v>
      </c>
      <c r="Q384" s="13" t="str">
        <f>+VLOOKUP(Regiones[[#This Row],[Cola]],Tabla6[#Data],2,0)</f>
        <v>BUPA</v>
      </c>
      <c r="R384" s="13" t="e">
        <f>+VLOOKUP(Regiones[[#This Row],[Cola]],Tabla68[],2,0)</f>
        <v>#N/A</v>
      </c>
    </row>
    <row r="385" spans="2:18" x14ac:dyDescent="0.3">
      <c r="B385" s="6">
        <v>46206</v>
      </c>
      <c r="C385" s="14">
        <v>0.58333333333333337</v>
      </c>
      <c r="D385" t="s">
        <v>56</v>
      </c>
      <c r="E385" t="s">
        <v>18</v>
      </c>
      <c r="F385">
        <v>1</v>
      </c>
      <c r="G385">
        <v>1</v>
      </c>
      <c r="H385">
        <v>0</v>
      </c>
      <c r="I385" s="2">
        <v>0</v>
      </c>
      <c r="J385" s="14">
        <v>4.2592592592592595E-3</v>
      </c>
      <c r="K385" s="6">
        <f>INT(Regiones[[#This Row],[Fecha]])</f>
        <v>46206</v>
      </c>
      <c r="L385" s="10">
        <f>IFERROR(Regiones[[#This Row],[Contestadas]]/Regiones[[#This Row],[Ofrecidas]],"")</f>
        <v>1</v>
      </c>
      <c r="M385" s="7">
        <f>IFERROR(Regiones[[#This Row],[Ofrecidas]]*Regiones[[#This Row],[% de nivel de servicio]],"")</f>
        <v>0</v>
      </c>
      <c r="N385" s="7"/>
      <c r="O385" s="12">
        <f>IFERROR(Regiones[[#This Row],[Aten &lt; 20 seg]]/Regiones[[#This Row],[Contestadas]],"")</f>
        <v>0</v>
      </c>
      <c r="P385" s="13">
        <f>IFERROR(Regiones[[#This Row],[AHT]]*86400,"error")</f>
        <v>368</v>
      </c>
      <c r="Q385" s="13" t="str">
        <f>+VLOOKUP(Regiones[[#This Row],[Cola]],Tabla6[#Data],2,0)</f>
        <v>BUPA</v>
      </c>
      <c r="R385" s="13" t="e">
        <f>+VLOOKUP(Regiones[[#This Row],[Cola]],Tabla68[],2,0)</f>
        <v>#N/A</v>
      </c>
    </row>
    <row r="386" spans="2:18" x14ac:dyDescent="0.3">
      <c r="B386" s="6">
        <v>46206</v>
      </c>
      <c r="C386" s="14">
        <v>0.58333333333333337</v>
      </c>
      <c r="D386" t="s">
        <v>54</v>
      </c>
      <c r="E386" t="s">
        <v>18</v>
      </c>
      <c r="F386">
        <v>1</v>
      </c>
      <c r="G386">
        <v>1</v>
      </c>
      <c r="H386">
        <v>0</v>
      </c>
      <c r="I386" s="2">
        <v>0</v>
      </c>
      <c r="J386" s="14">
        <v>4.178240740740741E-3</v>
      </c>
      <c r="K386" s="6">
        <f>INT(Regiones[[#This Row],[Fecha]])</f>
        <v>46206</v>
      </c>
      <c r="L386" s="10">
        <f>IFERROR(Regiones[[#This Row],[Contestadas]]/Regiones[[#This Row],[Ofrecidas]],"")</f>
        <v>1</v>
      </c>
      <c r="M386" s="7">
        <f>IFERROR(Regiones[[#This Row],[Ofrecidas]]*Regiones[[#This Row],[% de nivel de servicio]],"")</f>
        <v>0</v>
      </c>
      <c r="N386" s="7"/>
      <c r="O386" s="12">
        <f>IFERROR(Regiones[[#This Row],[Aten &lt; 20 seg]]/Regiones[[#This Row],[Contestadas]],"")</f>
        <v>0</v>
      </c>
      <c r="P386" s="13">
        <f>IFERROR(Regiones[[#This Row],[AHT]]*86400,"error")</f>
        <v>361</v>
      </c>
      <c r="Q386" s="13" t="str">
        <f>+VLOOKUP(Regiones[[#This Row],[Cola]],Tabla6[#Data],2,0)</f>
        <v>BUPA</v>
      </c>
      <c r="R386" s="13" t="e">
        <f>+VLOOKUP(Regiones[[#This Row],[Cola]],Tabla68[],2,0)</f>
        <v>#N/A</v>
      </c>
    </row>
    <row r="387" spans="2:18" x14ac:dyDescent="0.3">
      <c r="B387" s="6">
        <v>46206</v>
      </c>
      <c r="C387" s="14">
        <v>0.58333333333333337</v>
      </c>
      <c r="D387" t="s">
        <v>47</v>
      </c>
      <c r="E387" t="s">
        <v>18</v>
      </c>
      <c r="F387">
        <v>7</v>
      </c>
      <c r="G387">
        <v>7</v>
      </c>
      <c r="H387">
        <v>0</v>
      </c>
      <c r="I387" s="2">
        <v>0.43</v>
      </c>
      <c r="J387" s="14">
        <v>4.9768518518518521E-3</v>
      </c>
      <c r="K387" s="6">
        <f>INT(Regiones[[#This Row],[Fecha]])</f>
        <v>46206</v>
      </c>
      <c r="L387" s="10">
        <f>IFERROR(Regiones[[#This Row],[Contestadas]]/Regiones[[#This Row],[Ofrecidas]],"")</f>
        <v>1</v>
      </c>
      <c r="M387" s="7">
        <f>IFERROR(Regiones[[#This Row],[Ofrecidas]]*Regiones[[#This Row],[% de nivel de servicio]],"")</f>
        <v>3.01</v>
      </c>
      <c r="N387" s="7"/>
      <c r="O387" s="12">
        <f>IFERROR(Regiones[[#This Row],[Aten &lt; 20 seg]]/Regiones[[#This Row],[Contestadas]],"")</f>
        <v>0.43</v>
      </c>
      <c r="P387" s="13">
        <f>IFERROR(Regiones[[#This Row],[AHT]]*86400,"error")</f>
        <v>430</v>
      </c>
      <c r="Q387" s="13" t="str">
        <f>+VLOOKUP(Regiones[[#This Row],[Cola]],Tabla6[#Data],2,0)</f>
        <v>BUPA</v>
      </c>
      <c r="R387" s="13" t="e">
        <f>+VLOOKUP(Regiones[[#This Row],[Cola]],Tabla68[],2,0)</f>
        <v>#N/A</v>
      </c>
    </row>
    <row r="388" spans="2:18" x14ac:dyDescent="0.3">
      <c r="B388" s="6">
        <v>46206</v>
      </c>
      <c r="C388" s="14">
        <v>0.58333333333333337</v>
      </c>
      <c r="D388" t="s">
        <v>52</v>
      </c>
      <c r="E388" t="s">
        <v>18</v>
      </c>
      <c r="F388">
        <v>2</v>
      </c>
      <c r="G388">
        <v>2</v>
      </c>
      <c r="H388">
        <v>0</v>
      </c>
      <c r="I388" s="2">
        <v>0.5</v>
      </c>
      <c r="J388" s="14">
        <v>4.8842592592592592E-3</v>
      </c>
      <c r="K388" s="6">
        <f>INT(Regiones[[#This Row],[Fecha]])</f>
        <v>46206</v>
      </c>
      <c r="L388" s="10">
        <f>IFERROR(Regiones[[#This Row],[Contestadas]]/Regiones[[#This Row],[Ofrecidas]],"")</f>
        <v>1</v>
      </c>
      <c r="M388" s="7">
        <f>IFERROR(Regiones[[#This Row],[Ofrecidas]]*Regiones[[#This Row],[% de nivel de servicio]],"")</f>
        <v>1</v>
      </c>
      <c r="N388" s="7"/>
      <c r="O388" s="12">
        <f>IFERROR(Regiones[[#This Row],[Aten &lt; 20 seg]]/Regiones[[#This Row],[Contestadas]],"")</f>
        <v>0.5</v>
      </c>
      <c r="P388" s="13">
        <f>IFERROR(Regiones[[#This Row],[AHT]]*86400,"error")</f>
        <v>422</v>
      </c>
      <c r="Q388" s="13" t="str">
        <f>+VLOOKUP(Regiones[[#This Row],[Cola]],Tabla6[#Data],2,0)</f>
        <v>BUPA</v>
      </c>
      <c r="R388" s="13" t="e">
        <f>+VLOOKUP(Regiones[[#This Row],[Cola]],Tabla68[],2,0)</f>
        <v>#N/A</v>
      </c>
    </row>
    <row r="389" spans="2:18" x14ac:dyDescent="0.3">
      <c r="B389" s="6">
        <v>46206</v>
      </c>
      <c r="C389" s="14">
        <v>0.58333333333333337</v>
      </c>
      <c r="D389" t="s">
        <v>48</v>
      </c>
      <c r="E389" t="s">
        <v>18</v>
      </c>
      <c r="F389">
        <v>3</v>
      </c>
      <c r="G389">
        <v>3</v>
      </c>
      <c r="H389">
        <v>0</v>
      </c>
      <c r="I389" s="2">
        <v>0.67</v>
      </c>
      <c r="J389" s="14">
        <v>2.5578703703703705E-3</v>
      </c>
      <c r="K389" s="6">
        <f>INT(Regiones[[#This Row],[Fecha]])</f>
        <v>46206</v>
      </c>
      <c r="L389" s="10">
        <f>IFERROR(Regiones[[#This Row],[Contestadas]]/Regiones[[#This Row],[Ofrecidas]],"")</f>
        <v>1</v>
      </c>
      <c r="M389" s="7">
        <f>IFERROR(Regiones[[#This Row],[Ofrecidas]]*Regiones[[#This Row],[% de nivel de servicio]],"")</f>
        <v>2.0100000000000002</v>
      </c>
      <c r="N389" s="7"/>
      <c r="O389" s="12">
        <f>IFERROR(Regiones[[#This Row],[Aten &lt; 20 seg]]/Regiones[[#This Row],[Contestadas]],"")</f>
        <v>0.67</v>
      </c>
      <c r="P389" s="13">
        <f>IFERROR(Regiones[[#This Row],[AHT]]*86400,"error")</f>
        <v>221</v>
      </c>
      <c r="Q389" s="13" t="str">
        <f>+VLOOKUP(Regiones[[#This Row],[Cola]],Tabla6[#Data],2,0)</f>
        <v>BUPA</v>
      </c>
      <c r="R389" s="13" t="e">
        <f>+VLOOKUP(Regiones[[#This Row],[Cola]],Tabla68[],2,0)</f>
        <v>#N/A</v>
      </c>
    </row>
    <row r="390" spans="2:18" x14ac:dyDescent="0.3">
      <c r="B390" s="6">
        <v>46206</v>
      </c>
      <c r="C390" s="14">
        <v>0.58333333333333337</v>
      </c>
      <c r="D390" t="s">
        <v>46</v>
      </c>
      <c r="E390" t="s">
        <v>18</v>
      </c>
      <c r="F390">
        <v>7</v>
      </c>
      <c r="G390">
        <v>7</v>
      </c>
      <c r="H390">
        <v>0</v>
      </c>
      <c r="I390" s="2">
        <v>0.28999999999999998</v>
      </c>
      <c r="J390" s="14">
        <v>5.4861111111111109E-3</v>
      </c>
      <c r="K390" s="6">
        <f>INT(Regiones[[#This Row],[Fecha]])</f>
        <v>46206</v>
      </c>
      <c r="L390" s="10">
        <f>IFERROR(Regiones[[#This Row],[Contestadas]]/Regiones[[#This Row],[Ofrecidas]],"")</f>
        <v>1</v>
      </c>
      <c r="M390" s="7">
        <f>IFERROR(Regiones[[#This Row],[Ofrecidas]]*Regiones[[#This Row],[% de nivel de servicio]],"")</f>
        <v>2.0299999999999998</v>
      </c>
      <c r="N390" s="7"/>
      <c r="O390" s="12">
        <f>IFERROR(Regiones[[#This Row],[Aten &lt; 20 seg]]/Regiones[[#This Row],[Contestadas]],"")</f>
        <v>0.28999999999999998</v>
      </c>
      <c r="P390" s="13">
        <f>IFERROR(Regiones[[#This Row],[AHT]]*86400,"error")</f>
        <v>474</v>
      </c>
      <c r="Q390" s="13" t="str">
        <f>+VLOOKUP(Regiones[[#This Row],[Cola]],Tabla6[#Data],2,0)</f>
        <v>BUPA</v>
      </c>
      <c r="R390" s="13" t="e">
        <f>+VLOOKUP(Regiones[[#This Row],[Cola]],Tabla68[],2,0)</f>
        <v>#N/A</v>
      </c>
    </row>
    <row r="391" spans="2:18" x14ac:dyDescent="0.3">
      <c r="B391" s="6">
        <v>46206</v>
      </c>
      <c r="C391" s="14">
        <v>0.60416666666666663</v>
      </c>
      <c r="D391" t="s">
        <v>46</v>
      </c>
      <c r="E391" t="s">
        <v>18</v>
      </c>
      <c r="F391">
        <v>1</v>
      </c>
      <c r="G391">
        <v>1</v>
      </c>
      <c r="H391">
        <v>0</v>
      </c>
      <c r="I391" s="2">
        <v>1</v>
      </c>
      <c r="J391" s="14">
        <v>1.2789351851851852E-2</v>
      </c>
      <c r="K391" s="6">
        <f>INT(Regiones[[#This Row],[Fecha]])</f>
        <v>46206</v>
      </c>
      <c r="L391" s="10">
        <f>IFERROR(Regiones[[#This Row],[Contestadas]]/Regiones[[#This Row],[Ofrecidas]],"")</f>
        <v>1</v>
      </c>
      <c r="M391" s="7">
        <f>IFERROR(Regiones[[#This Row],[Ofrecidas]]*Regiones[[#This Row],[% de nivel de servicio]],"")</f>
        <v>1</v>
      </c>
      <c r="N391" s="7"/>
      <c r="O391" s="12">
        <f>IFERROR(Regiones[[#This Row],[Aten &lt; 20 seg]]/Regiones[[#This Row],[Contestadas]],"")</f>
        <v>1</v>
      </c>
      <c r="P391" s="13">
        <f>IFERROR(Regiones[[#This Row],[AHT]]*86400,"error")</f>
        <v>1105</v>
      </c>
      <c r="Q391" s="13" t="str">
        <f>+VLOOKUP(Regiones[[#This Row],[Cola]],Tabla6[#Data],2,0)</f>
        <v>BUPA</v>
      </c>
      <c r="R391" s="13" t="e">
        <f>+VLOOKUP(Regiones[[#This Row],[Cola]],Tabla68[],2,0)</f>
        <v>#N/A</v>
      </c>
    </row>
    <row r="392" spans="2:18" x14ac:dyDescent="0.3">
      <c r="B392" s="6">
        <v>46206</v>
      </c>
      <c r="C392" s="14">
        <v>0.60416666666666663</v>
      </c>
      <c r="D392" t="s">
        <v>57</v>
      </c>
      <c r="E392" t="s">
        <v>18</v>
      </c>
      <c r="F392">
        <v>1</v>
      </c>
      <c r="G392">
        <v>1</v>
      </c>
      <c r="H392">
        <v>0</v>
      </c>
      <c r="I392" s="2">
        <v>1</v>
      </c>
      <c r="J392" s="14">
        <v>3.5069444444444445E-3</v>
      </c>
      <c r="K392" s="6">
        <f>INT(Regiones[[#This Row],[Fecha]])</f>
        <v>46206</v>
      </c>
      <c r="L392" s="10">
        <f>IFERROR(Regiones[[#This Row],[Contestadas]]/Regiones[[#This Row],[Ofrecidas]],"")</f>
        <v>1</v>
      </c>
      <c r="M392" s="7">
        <f>IFERROR(Regiones[[#This Row],[Ofrecidas]]*Regiones[[#This Row],[% de nivel de servicio]],"")</f>
        <v>1</v>
      </c>
      <c r="N392" s="7"/>
      <c r="O392" s="12">
        <f>IFERROR(Regiones[[#This Row],[Aten &lt; 20 seg]]/Regiones[[#This Row],[Contestadas]],"")</f>
        <v>1</v>
      </c>
      <c r="P392" s="13">
        <f>IFERROR(Regiones[[#This Row],[AHT]]*86400,"error")</f>
        <v>303</v>
      </c>
      <c r="Q392" s="13" t="str">
        <f>+VLOOKUP(Regiones[[#This Row],[Cola]],Tabla6[#Data],2,0)</f>
        <v>BUPA</v>
      </c>
      <c r="R392" s="13" t="e">
        <f>+VLOOKUP(Regiones[[#This Row],[Cola]],Tabla68[],2,0)</f>
        <v>#N/A</v>
      </c>
    </row>
    <row r="393" spans="2:18" x14ac:dyDescent="0.3">
      <c r="B393" s="6">
        <v>46206</v>
      </c>
      <c r="C393" s="14">
        <v>0.60416666666666663</v>
      </c>
      <c r="D393" t="s">
        <v>48</v>
      </c>
      <c r="E393" t="s">
        <v>18</v>
      </c>
      <c r="F393">
        <v>1</v>
      </c>
      <c r="G393">
        <v>1</v>
      </c>
      <c r="H393">
        <v>0</v>
      </c>
      <c r="I393" s="2">
        <v>1</v>
      </c>
      <c r="J393" s="14">
        <v>8.3333333333333332E-3</v>
      </c>
      <c r="K393" s="6">
        <f>INT(Regiones[[#This Row],[Fecha]])</f>
        <v>46206</v>
      </c>
      <c r="L393" s="10">
        <f>IFERROR(Regiones[[#This Row],[Contestadas]]/Regiones[[#This Row],[Ofrecidas]],"")</f>
        <v>1</v>
      </c>
      <c r="M393" s="7">
        <f>IFERROR(Regiones[[#This Row],[Ofrecidas]]*Regiones[[#This Row],[% de nivel de servicio]],"")</f>
        <v>1</v>
      </c>
      <c r="N393" s="7"/>
      <c r="O393" s="12">
        <f>IFERROR(Regiones[[#This Row],[Aten &lt; 20 seg]]/Regiones[[#This Row],[Contestadas]],"")</f>
        <v>1</v>
      </c>
      <c r="P393" s="13">
        <f>IFERROR(Regiones[[#This Row],[AHT]]*86400,"error")</f>
        <v>720</v>
      </c>
      <c r="Q393" s="13" t="str">
        <f>+VLOOKUP(Regiones[[#This Row],[Cola]],Tabla6[#Data],2,0)</f>
        <v>BUPA</v>
      </c>
      <c r="R393" s="13" t="e">
        <f>+VLOOKUP(Regiones[[#This Row],[Cola]],Tabla68[],2,0)</f>
        <v>#N/A</v>
      </c>
    </row>
    <row r="394" spans="2:18" x14ac:dyDescent="0.3">
      <c r="B394" s="6">
        <v>46206</v>
      </c>
      <c r="C394" s="14">
        <v>0.60416666666666663</v>
      </c>
      <c r="D394" t="s">
        <v>53</v>
      </c>
      <c r="E394" t="s">
        <v>18</v>
      </c>
      <c r="F394">
        <v>2</v>
      </c>
      <c r="G394">
        <v>2</v>
      </c>
      <c r="H394">
        <v>0</v>
      </c>
      <c r="I394" s="2">
        <v>1</v>
      </c>
      <c r="J394" s="14">
        <v>2.0601851851851853E-3</v>
      </c>
      <c r="K394" s="6">
        <f>INT(Regiones[[#This Row],[Fecha]])</f>
        <v>46206</v>
      </c>
      <c r="L394" s="10">
        <f>IFERROR(Regiones[[#This Row],[Contestadas]]/Regiones[[#This Row],[Ofrecidas]],"")</f>
        <v>1</v>
      </c>
      <c r="M394" s="7">
        <f>IFERROR(Regiones[[#This Row],[Ofrecidas]]*Regiones[[#This Row],[% de nivel de servicio]],"")</f>
        <v>2</v>
      </c>
      <c r="N394" s="7"/>
      <c r="O394" s="12">
        <f>IFERROR(Regiones[[#This Row],[Aten &lt; 20 seg]]/Regiones[[#This Row],[Contestadas]],"")</f>
        <v>1</v>
      </c>
      <c r="P394" s="13">
        <f>IFERROR(Regiones[[#This Row],[AHT]]*86400,"error")</f>
        <v>178</v>
      </c>
      <c r="Q394" s="13" t="str">
        <f>+VLOOKUP(Regiones[[#This Row],[Cola]],Tabla6[#Data],2,0)</f>
        <v>BUPA</v>
      </c>
      <c r="R394" s="13" t="e">
        <f>+VLOOKUP(Regiones[[#This Row],[Cola]],Tabla68[],2,0)</f>
        <v>#N/A</v>
      </c>
    </row>
    <row r="395" spans="2:18" x14ac:dyDescent="0.3">
      <c r="B395" s="6">
        <v>46206</v>
      </c>
      <c r="C395" s="14">
        <v>0.60416666666666663</v>
      </c>
      <c r="D395" t="s">
        <v>56</v>
      </c>
      <c r="E395" t="s">
        <v>18</v>
      </c>
      <c r="F395">
        <v>1</v>
      </c>
      <c r="G395">
        <v>1</v>
      </c>
      <c r="H395">
        <v>0</v>
      </c>
      <c r="I395" s="2">
        <v>1</v>
      </c>
      <c r="J395" s="14">
        <v>1.6435185185185185E-3</v>
      </c>
      <c r="K395" s="6">
        <f>INT(Regiones[[#This Row],[Fecha]])</f>
        <v>46206</v>
      </c>
      <c r="L395" s="10">
        <f>IFERROR(Regiones[[#This Row],[Contestadas]]/Regiones[[#This Row],[Ofrecidas]],"")</f>
        <v>1</v>
      </c>
      <c r="M395" s="7">
        <f>IFERROR(Regiones[[#This Row],[Ofrecidas]]*Regiones[[#This Row],[% de nivel de servicio]],"")</f>
        <v>1</v>
      </c>
      <c r="N395" s="7"/>
      <c r="O395" s="12">
        <f>IFERROR(Regiones[[#This Row],[Aten &lt; 20 seg]]/Regiones[[#This Row],[Contestadas]],"")</f>
        <v>1</v>
      </c>
      <c r="P395" s="13">
        <f>IFERROR(Regiones[[#This Row],[AHT]]*86400,"error")</f>
        <v>142</v>
      </c>
      <c r="Q395" s="13" t="str">
        <f>+VLOOKUP(Regiones[[#This Row],[Cola]],Tabla6[#Data],2,0)</f>
        <v>BUPA</v>
      </c>
      <c r="R395" s="13" t="e">
        <f>+VLOOKUP(Regiones[[#This Row],[Cola]],Tabla68[],2,0)</f>
        <v>#N/A</v>
      </c>
    </row>
    <row r="396" spans="2:18" x14ac:dyDescent="0.3">
      <c r="B396" s="6">
        <v>46206</v>
      </c>
      <c r="C396" s="14">
        <v>0.60416666666666663</v>
      </c>
      <c r="D396" t="s">
        <v>54</v>
      </c>
      <c r="E396" t="s">
        <v>18</v>
      </c>
      <c r="F396">
        <v>1</v>
      </c>
      <c r="G396">
        <v>1</v>
      </c>
      <c r="H396">
        <v>0</v>
      </c>
      <c r="I396" s="2">
        <v>1</v>
      </c>
      <c r="J396" s="14">
        <v>4.0393518518518521E-3</v>
      </c>
      <c r="K396" s="6">
        <f>INT(Regiones[[#This Row],[Fecha]])</f>
        <v>46206</v>
      </c>
      <c r="L396" s="10">
        <f>IFERROR(Regiones[[#This Row],[Contestadas]]/Regiones[[#This Row],[Ofrecidas]],"")</f>
        <v>1</v>
      </c>
      <c r="M396" s="7">
        <f>IFERROR(Regiones[[#This Row],[Ofrecidas]]*Regiones[[#This Row],[% de nivel de servicio]],"")</f>
        <v>1</v>
      </c>
      <c r="N396" s="7"/>
      <c r="O396" s="12">
        <f>IFERROR(Regiones[[#This Row],[Aten &lt; 20 seg]]/Regiones[[#This Row],[Contestadas]],"")</f>
        <v>1</v>
      </c>
      <c r="P396" s="13">
        <f>IFERROR(Regiones[[#This Row],[AHT]]*86400,"error")</f>
        <v>349</v>
      </c>
      <c r="Q396" s="13" t="str">
        <f>+VLOOKUP(Regiones[[#This Row],[Cola]],Tabla6[#Data],2,0)</f>
        <v>BUPA</v>
      </c>
      <c r="R396" s="13" t="e">
        <f>+VLOOKUP(Regiones[[#This Row],[Cola]],Tabla68[],2,0)</f>
        <v>#N/A</v>
      </c>
    </row>
    <row r="397" spans="2:18" x14ac:dyDescent="0.3">
      <c r="B397" s="6">
        <v>46206</v>
      </c>
      <c r="C397" s="14">
        <v>0.60416666666666663</v>
      </c>
      <c r="D397" t="s">
        <v>47</v>
      </c>
      <c r="E397" t="s">
        <v>18</v>
      </c>
      <c r="F397">
        <v>10</v>
      </c>
      <c r="G397">
        <v>10</v>
      </c>
      <c r="H397">
        <v>0</v>
      </c>
      <c r="I397" s="2">
        <v>1</v>
      </c>
      <c r="J397" s="14">
        <v>2.4421296296296296E-3</v>
      </c>
      <c r="K397" s="6">
        <f>INT(Regiones[[#This Row],[Fecha]])</f>
        <v>46206</v>
      </c>
      <c r="L397" s="10">
        <f>IFERROR(Regiones[[#This Row],[Contestadas]]/Regiones[[#This Row],[Ofrecidas]],"")</f>
        <v>1</v>
      </c>
      <c r="M397" s="7">
        <f>IFERROR(Regiones[[#This Row],[Ofrecidas]]*Regiones[[#This Row],[% de nivel de servicio]],"")</f>
        <v>10</v>
      </c>
      <c r="N397" s="7"/>
      <c r="O397" s="12">
        <f>IFERROR(Regiones[[#This Row],[Aten &lt; 20 seg]]/Regiones[[#This Row],[Contestadas]],"")</f>
        <v>1</v>
      </c>
      <c r="P397" s="13">
        <f>IFERROR(Regiones[[#This Row],[AHT]]*86400,"error")</f>
        <v>211</v>
      </c>
      <c r="Q397" s="13" t="str">
        <f>+VLOOKUP(Regiones[[#This Row],[Cola]],Tabla6[#Data],2,0)</f>
        <v>BUPA</v>
      </c>
      <c r="R397" s="13" t="e">
        <f>+VLOOKUP(Regiones[[#This Row],[Cola]],Tabla68[],2,0)</f>
        <v>#N/A</v>
      </c>
    </row>
    <row r="398" spans="2:18" x14ac:dyDescent="0.3">
      <c r="B398" s="6">
        <v>46206</v>
      </c>
      <c r="C398" s="14">
        <v>0.625</v>
      </c>
      <c r="D398" t="s">
        <v>47</v>
      </c>
      <c r="E398" t="s">
        <v>18</v>
      </c>
      <c r="F398">
        <v>7</v>
      </c>
      <c r="G398">
        <v>7</v>
      </c>
      <c r="H398">
        <v>0</v>
      </c>
      <c r="I398" s="2">
        <v>0.56999999999999995</v>
      </c>
      <c r="J398" s="14">
        <v>4.6180555555555558E-3</v>
      </c>
      <c r="K398" s="6">
        <f>INT(Regiones[[#This Row],[Fecha]])</f>
        <v>46206</v>
      </c>
      <c r="L398" s="10">
        <f>IFERROR(Regiones[[#This Row],[Contestadas]]/Regiones[[#This Row],[Ofrecidas]],"")</f>
        <v>1</v>
      </c>
      <c r="M398" s="7">
        <f>IFERROR(Regiones[[#This Row],[Ofrecidas]]*Regiones[[#This Row],[% de nivel de servicio]],"")</f>
        <v>3.9899999999999998</v>
      </c>
      <c r="N398" s="7"/>
      <c r="O398" s="12">
        <f>IFERROR(Regiones[[#This Row],[Aten &lt; 20 seg]]/Regiones[[#This Row],[Contestadas]],"")</f>
        <v>0.56999999999999995</v>
      </c>
      <c r="P398" s="13">
        <f>IFERROR(Regiones[[#This Row],[AHT]]*86400,"error")</f>
        <v>399</v>
      </c>
      <c r="Q398" s="13" t="str">
        <f>+VLOOKUP(Regiones[[#This Row],[Cola]],Tabla6[#Data],2,0)</f>
        <v>BUPA</v>
      </c>
      <c r="R398" s="13" t="e">
        <f>+VLOOKUP(Regiones[[#This Row],[Cola]],Tabla68[],2,0)</f>
        <v>#N/A</v>
      </c>
    </row>
    <row r="399" spans="2:18" x14ac:dyDescent="0.3">
      <c r="B399" s="6">
        <v>46206</v>
      </c>
      <c r="C399" s="14">
        <v>0.625</v>
      </c>
      <c r="D399" t="s">
        <v>48</v>
      </c>
      <c r="E399" t="s">
        <v>18</v>
      </c>
      <c r="F399">
        <v>7</v>
      </c>
      <c r="G399">
        <v>5</v>
      </c>
      <c r="H399">
        <v>2</v>
      </c>
      <c r="I399" s="2">
        <v>0.14000000000000001</v>
      </c>
      <c r="J399" s="14">
        <v>7.9398148148148145E-3</v>
      </c>
      <c r="K399" s="6">
        <f>INT(Regiones[[#This Row],[Fecha]])</f>
        <v>46206</v>
      </c>
      <c r="L399" s="10">
        <f>IFERROR(Regiones[[#This Row],[Contestadas]]/Regiones[[#This Row],[Ofrecidas]],"")</f>
        <v>0.7142857142857143</v>
      </c>
      <c r="M399" s="7">
        <f>IFERROR(Regiones[[#This Row],[Ofrecidas]]*Regiones[[#This Row],[% de nivel de servicio]],"")</f>
        <v>0.98000000000000009</v>
      </c>
      <c r="N399" s="7"/>
      <c r="O399" s="12">
        <f>IFERROR(Regiones[[#This Row],[Aten &lt; 20 seg]]/Regiones[[#This Row],[Contestadas]],"")</f>
        <v>0.19600000000000001</v>
      </c>
      <c r="P399" s="13">
        <f>IFERROR(Regiones[[#This Row],[AHT]]*86400,"error")</f>
        <v>686</v>
      </c>
      <c r="Q399" s="13" t="str">
        <f>+VLOOKUP(Regiones[[#This Row],[Cola]],Tabla6[#Data],2,0)</f>
        <v>BUPA</v>
      </c>
      <c r="R399" s="13" t="e">
        <f>+VLOOKUP(Regiones[[#This Row],[Cola]],Tabla68[],2,0)</f>
        <v>#N/A</v>
      </c>
    </row>
    <row r="400" spans="2:18" x14ac:dyDescent="0.3">
      <c r="B400" s="6">
        <v>46206</v>
      </c>
      <c r="C400" s="14">
        <v>0.625</v>
      </c>
      <c r="D400" t="s">
        <v>46</v>
      </c>
      <c r="E400" t="s">
        <v>18</v>
      </c>
      <c r="F400">
        <v>1</v>
      </c>
      <c r="G400">
        <v>1</v>
      </c>
      <c r="H400">
        <v>0</v>
      </c>
      <c r="I400" s="2">
        <v>1</v>
      </c>
      <c r="J400" s="14" t="s">
        <v>19</v>
      </c>
      <c r="K400" s="6">
        <f>INT(Regiones[[#This Row],[Fecha]])</f>
        <v>46206</v>
      </c>
      <c r="L400" s="10">
        <f>IFERROR(Regiones[[#This Row],[Contestadas]]/Regiones[[#This Row],[Ofrecidas]],"")</f>
        <v>1</v>
      </c>
      <c r="M400" s="7">
        <f>IFERROR(Regiones[[#This Row],[Ofrecidas]]*Regiones[[#This Row],[% de nivel de servicio]],"")</f>
        <v>1</v>
      </c>
      <c r="N400" s="7"/>
      <c r="O400" s="12">
        <f>IFERROR(Regiones[[#This Row],[Aten &lt; 20 seg]]/Regiones[[#This Row],[Contestadas]],"")</f>
        <v>1</v>
      </c>
      <c r="P400" s="13" t="str">
        <f>IFERROR(Regiones[[#This Row],[AHT]]*86400,"error")</f>
        <v>error</v>
      </c>
      <c r="Q400" s="13" t="str">
        <f>+VLOOKUP(Regiones[[#This Row],[Cola]],Tabla6[#Data],2,0)</f>
        <v>BUPA</v>
      </c>
      <c r="R400" s="13" t="e">
        <f>+VLOOKUP(Regiones[[#This Row],[Cola]],Tabla68[],2,0)</f>
        <v>#N/A</v>
      </c>
    </row>
    <row r="401" spans="2:18" x14ac:dyDescent="0.3">
      <c r="B401" s="6">
        <v>46206</v>
      </c>
      <c r="C401" s="14">
        <v>0.625</v>
      </c>
      <c r="D401" t="s">
        <v>50</v>
      </c>
      <c r="E401" t="s">
        <v>18</v>
      </c>
      <c r="F401">
        <v>2</v>
      </c>
      <c r="G401">
        <v>2</v>
      </c>
      <c r="H401">
        <v>0</v>
      </c>
      <c r="I401" s="2">
        <v>0.5</v>
      </c>
      <c r="J401" s="14">
        <v>1.3773148148148147E-3</v>
      </c>
      <c r="K401" s="6">
        <f>INT(Regiones[[#This Row],[Fecha]])</f>
        <v>46206</v>
      </c>
      <c r="L401" s="10">
        <f>IFERROR(Regiones[[#This Row],[Contestadas]]/Regiones[[#This Row],[Ofrecidas]],"")</f>
        <v>1</v>
      </c>
      <c r="M401" s="7">
        <f>IFERROR(Regiones[[#This Row],[Ofrecidas]]*Regiones[[#This Row],[% de nivel de servicio]],"")</f>
        <v>1</v>
      </c>
      <c r="N401" s="7"/>
      <c r="O401" s="12">
        <f>IFERROR(Regiones[[#This Row],[Aten &lt; 20 seg]]/Regiones[[#This Row],[Contestadas]],"")</f>
        <v>0.5</v>
      </c>
      <c r="P401" s="13">
        <f>IFERROR(Regiones[[#This Row],[AHT]]*86400,"error")</f>
        <v>118.99999999999999</v>
      </c>
      <c r="Q401" s="13" t="str">
        <f>+VLOOKUP(Regiones[[#This Row],[Cola]],Tabla6[#Data],2,0)</f>
        <v>BUPA</v>
      </c>
      <c r="R401" s="13" t="e">
        <f>+VLOOKUP(Regiones[[#This Row],[Cola]],Tabla68[],2,0)</f>
        <v>#N/A</v>
      </c>
    </row>
    <row r="402" spans="2:18" x14ac:dyDescent="0.3">
      <c r="B402" s="6">
        <v>46206</v>
      </c>
      <c r="C402" s="14">
        <v>0.625</v>
      </c>
      <c r="D402" t="s">
        <v>53</v>
      </c>
      <c r="E402" t="s">
        <v>18</v>
      </c>
      <c r="F402">
        <v>0</v>
      </c>
      <c r="G402">
        <v>0</v>
      </c>
      <c r="H402">
        <v>0</v>
      </c>
      <c r="I402" s="2" t="s">
        <v>20</v>
      </c>
      <c r="J402" s="14">
        <v>7.2916666666666668E-3</v>
      </c>
      <c r="K402" s="6">
        <f>INT(Regiones[[#This Row],[Fecha]])</f>
        <v>46206</v>
      </c>
      <c r="L402" s="10" t="str">
        <f>IFERROR(Regiones[[#This Row],[Contestadas]]/Regiones[[#This Row],[Ofrecidas]],"")</f>
        <v/>
      </c>
      <c r="M402" s="7" t="str">
        <f>IFERROR(Regiones[[#This Row],[Ofrecidas]]*Regiones[[#This Row],[% de nivel de servicio]],"")</f>
        <v/>
      </c>
      <c r="N402" s="7"/>
      <c r="O402" s="12" t="str">
        <f>IFERROR(Regiones[[#This Row],[Aten &lt; 20 seg]]/Regiones[[#This Row],[Contestadas]],"")</f>
        <v/>
      </c>
      <c r="P402" s="13">
        <f>IFERROR(Regiones[[#This Row],[AHT]]*86400,"error")</f>
        <v>630</v>
      </c>
      <c r="Q402" s="13" t="str">
        <f>+VLOOKUP(Regiones[[#This Row],[Cola]],Tabla6[#Data],2,0)</f>
        <v>BUPA</v>
      </c>
      <c r="R402" s="13" t="e">
        <f>+VLOOKUP(Regiones[[#This Row],[Cola]],Tabla68[],2,0)</f>
        <v>#N/A</v>
      </c>
    </row>
    <row r="403" spans="2:18" x14ac:dyDescent="0.3">
      <c r="B403" s="6">
        <v>46206</v>
      </c>
      <c r="C403" s="14">
        <v>0.625</v>
      </c>
      <c r="D403" t="s">
        <v>56</v>
      </c>
      <c r="E403" t="s">
        <v>18</v>
      </c>
      <c r="F403">
        <v>1</v>
      </c>
      <c r="G403">
        <v>1</v>
      </c>
      <c r="H403">
        <v>0</v>
      </c>
      <c r="I403" s="2">
        <v>0</v>
      </c>
      <c r="J403" s="14">
        <v>5.162037037037037E-3</v>
      </c>
      <c r="K403" s="6">
        <f>INT(Regiones[[#This Row],[Fecha]])</f>
        <v>46206</v>
      </c>
      <c r="L403" s="10">
        <f>IFERROR(Regiones[[#This Row],[Contestadas]]/Regiones[[#This Row],[Ofrecidas]],"")</f>
        <v>1</v>
      </c>
      <c r="M403" s="7">
        <f>IFERROR(Regiones[[#This Row],[Ofrecidas]]*Regiones[[#This Row],[% de nivel de servicio]],"")</f>
        <v>0</v>
      </c>
      <c r="N403" s="7"/>
      <c r="O403" s="12">
        <f>IFERROR(Regiones[[#This Row],[Aten &lt; 20 seg]]/Regiones[[#This Row],[Contestadas]],"")</f>
        <v>0</v>
      </c>
      <c r="P403" s="13">
        <f>IFERROR(Regiones[[#This Row],[AHT]]*86400,"error")</f>
        <v>446</v>
      </c>
      <c r="Q403" s="13" t="str">
        <f>+VLOOKUP(Regiones[[#This Row],[Cola]],Tabla6[#Data],2,0)</f>
        <v>BUPA</v>
      </c>
      <c r="R403" s="13" t="e">
        <f>+VLOOKUP(Regiones[[#This Row],[Cola]],Tabla68[],2,0)</f>
        <v>#N/A</v>
      </c>
    </row>
    <row r="404" spans="2:18" x14ac:dyDescent="0.3">
      <c r="B404" s="6">
        <v>46206</v>
      </c>
      <c r="C404" s="14">
        <v>0.625</v>
      </c>
      <c r="D404" t="s">
        <v>52</v>
      </c>
      <c r="E404" t="s">
        <v>18</v>
      </c>
      <c r="F404">
        <v>2</v>
      </c>
      <c r="G404">
        <v>2</v>
      </c>
      <c r="H404">
        <v>0</v>
      </c>
      <c r="I404" s="2">
        <v>0</v>
      </c>
      <c r="J404" s="14">
        <v>3.6458333333333334E-3</v>
      </c>
      <c r="K404" s="6">
        <f>INT(Regiones[[#This Row],[Fecha]])</f>
        <v>46206</v>
      </c>
      <c r="L404" s="10">
        <f>IFERROR(Regiones[[#This Row],[Contestadas]]/Regiones[[#This Row],[Ofrecidas]],"")</f>
        <v>1</v>
      </c>
      <c r="M404" s="7">
        <f>IFERROR(Regiones[[#This Row],[Ofrecidas]]*Regiones[[#This Row],[% de nivel de servicio]],"")</f>
        <v>0</v>
      </c>
      <c r="N404" s="7"/>
      <c r="O404" s="12">
        <f>IFERROR(Regiones[[#This Row],[Aten &lt; 20 seg]]/Regiones[[#This Row],[Contestadas]],"")</f>
        <v>0</v>
      </c>
      <c r="P404" s="13">
        <f>IFERROR(Regiones[[#This Row],[AHT]]*86400,"error")</f>
        <v>315</v>
      </c>
      <c r="Q404" s="13" t="str">
        <f>+VLOOKUP(Regiones[[#This Row],[Cola]],Tabla6[#Data],2,0)</f>
        <v>BUPA</v>
      </c>
      <c r="R404" s="13" t="e">
        <f>+VLOOKUP(Regiones[[#This Row],[Cola]],Tabla68[],2,0)</f>
        <v>#N/A</v>
      </c>
    </row>
    <row r="405" spans="2:18" x14ac:dyDescent="0.3">
      <c r="B405" s="6">
        <v>46206</v>
      </c>
      <c r="C405" s="14">
        <v>0.64583333333333337</v>
      </c>
      <c r="D405" t="s">
        <v>54</v>
      </c>
      <c r="E405" t="s">
        <v>18</v>
      </c>
      <c r="F405">
        <v>2</v>
      </c>
      <c r="G405">
        <v>2</v>
      </c>
      <c r="H405">
        <v>0</v>
      </c>
      <c r="I405" s="2">
        <v>1</v>
      </c>
      <c r="J405" s="14">
        <v>3.7731481481481483E-3</v>
      </c>
      <c r="K405" s="6">
        <f>INT(Regiones[[#This Row],[Fecha]])</f>
        <v>46206</v>
      </c>
      <c r="L405" s="10">
        <f>IFERROR(Regiones[[#This Row],[Contestadas]]/Regiones[[#This Row],[Ofrecidas]],"")</f>
        <v>1</v>
      </c>
      <c r="M405" s="7">
        <f>IFERROR(Regiones[[#This Row],[Ofrecidas]]*Regiones[[#This Row],[% de nivel de servicio]],"")</f>
        <v>2</v>
      </c>
      <c r="N405" s="7"/>
      <c r="O405" s="12">
        <f>IFERROR(Regiones[[#This Row],[Aten &lt; 20 seg]]/Regiones[[#This Row],[Contestadas]],"")</f>
        <v>1</v>
      </c>
      <c r="P405" s="13">
        <f>IFERROR(Regiones[[#This Row],[AHT]]*86400,"error")</f>
        <v>326</v>
      </c>
      <c r="Q405" s="13" t="str">
        <f>+VLOOKUP(Regiones[[#This Row],[Cola]],Tabla6[#Data],2,0)</f>
        <v>BUPA</v>
      </c>
      <c r="R405" s="13" t="e">
        <f>+VLOOKUP(Regiones[[#This Row],[Cola]],Tabla68[],2,0)</f>
        <v>#N/A</v>
      </c>
    </row>
    <row r="406" spans="2:18" x14ac:dyDescent="0.3">
      <c r="B406" s="6">
        <v>46206</v>
      </c>
      <c r="C406" s="14">
        <v>0.64583333333333337</v>
      </c>
      <c r="D406" t="s">
        <v>50</v>
      </c>
      <c r="E406" t="s">
        <v>18</v>
      </c>
      <c r="F406">
        <v>0</v>
      </c>
      <c r="G406">
        <v>0</v>
      </c>
      <c r="H406">
        <v>0</v>
      </c>
      <c r="I406" s="2" t="s">
        <v>20</v>
      </c>
      <c r="J406" s="14">
        <v>1.5775462962962963E-2</v>
      </c>
      <c r="K406" s="6">
        <f>INT(Regiones[[#This Row],[Fecha]])</f>
        <v>46206</v>
      </c>
      <c r="L406" s="10" t="str">
        <f>IFERROR(Regiones[[#This Row],[Contestadas]]/Regiones[[#This Row],[Ofrecidas]],"")</f>
        <v/>
      </c>
      <c r="M406" s="7" t="str">
        <f>IFERROR(Regiones[[#This Row],[Ofrecidas]]*Regiones[[#This Row],[% de nivel de servicio]],"")</f>
        <v/>
      </c>
      <c r="N406" s="7"/>
      <c r="O406" s="12" t="str">
        <f>IFERROR(Regiones[[#This Row],[Aten &lt; 20 seg]]/Regiones[[#This Row],[Contestadas]],"")</f>
        <v/>
      </c>
      <c r="P406" s="13">
        <f>IFERROR(Regiones[[#This Row],[AHT]]*86400,"error")</f>
        <v>1363</v>
      </c>
      <c r="Q406" s="13" t="str">
        <f>+VLOOKUP(Regiones[[#This Row],[Cola]],Tabla6[#Data],2,0)</f>
        <v>BUPA</v>
      </c>
      <c r="R406" s="13" t="e">
        <f>+VLOOKUP(Regiones[[#This Row],[Cola]],Tabla68[],2,0)</f>
        <v>#N/A</v>
      </c>
    </row>
    <row r="407" spans="2:18" x14ac:dyDescent="0.3">
      <c r="B407" s="6">
        <v>46206</v>
      </c>
      <c r="C407" s="14">
        <v>0.64583333333333337</v>
      </c>
      <c r="D407" t="s">
        <v>53</v>
      </c>
      <c r="E407" t="s">
        <v>18</v>
      </c>
      <c r="F407">
        <v>1</v>
      </c>
      <c r="G407">
        <v>1</v>
      </c>
      <c r="H407">
        <v>0</v>
      </c>
      <c r="I407" s="2">
        <v>0</v>
      </c>
      <c r="J407" s="14">
        <v>3.8657407407407408E-3</v>
      </c>
      <c r="K407" s="6">
        <f>INT(Regiones[[#This Row],[Fecha]])</f>
        <v>46206</v>
      </c>
      <c r="L407" s="10">
        <f>IFERROR(Regiones[[#This Row],[Contestadas]]/Regiones[[#This Row],[Ofrecidas]],"")</f>
        <v>1</v>
      </c>
      <c r="M407" s="7">
        <f>IFERROR(Regiones[[#This Row],[Ofrecidas]]*Regiones[[#This Row],[% de nivel de servicio]],"")</f>
        <v>0</v>
      </c>
      <c r="N407" s="7"/>
      <c r="O407" s="12">
        <f>IFERROR(Regiones[[#This Row],[Aten &lt; 20 seg]]/Regiones[[#This Row],[Contestadas]],"")</f>
        <v>0</v>
      </c>
      <c r="P407" s="13">
        <f>IFERROR(Regiones[[#This Row],[AHT]]*86400,"error")</f>
        <v>334</v>
      </c>
      <c r="Q407" s="13" t="str">
        <f>+VLOOKUP(Regiones[[#This Row],[Cola]],Tabla6[#Data],2,0)</f>
        <v>BUPA</v>
      </c>
      <c r="R407" s="13" t="e">
        <f>+VLOOKUP(Regiones[[#This Row],[Cola]],Tabla68[],2,0)</f>
        <v>#N/A</v>
      </c>
    </row>
    <row r="408" spans="2:18" x14ac:dyDescent="0.3">
      <c r="B408" s="6">
        <v>46206</v>
      </c>
      <c r="C408" s="14">
        <v>0.64583333333333337</v>
      </c>
      <c r="D408" t="s">
        <v>56</v>
      </c>
      <c r="E408" t="s">
        <v>18</v>
      </c>
      <c r="F408">
        <v>1</v>
      </c>
      <c r="G408">
        <v>1</v>
      </c>
      <c r="H408">
        <v>0</v>
      </c>
      <c r="I408" s="2">
        <v>1</v>
      </c>
      <c r="J408" s="14" t="s">
        <v>19</v>
      </c>
      <c r="K408" s="6">
        <f>INT(Regiones[[#This Row],[Fecha]])</f>
        <v>46206</v>
      </c>
      <c r="L408" s="10">
        <f>IFERROR(Regiones[[#This Row],[Contestadas]]/Regiones[[#This Row],[Ofrecidas]],"")</f>
        <v>1</v>
      </c>
      <c r="M408" s="7">
        <f>IFERROR(Regiones[[#This Row],[Ofrecidas]]*Regiones[[#This Row],[% de nivel de servicio]],"")</f>
        <v>1</v>
      </c>
      <c r="N408" s="7"/>
      <c r="O408" s="12">
        <f>IFERROR(Regiones[[#This Row],[Aten &lt; 20 seg]]/Regiones[[#This Row],[Contestadas]],"")</f>
        <v>1</v>
      </c>
      <c r="P408" s="13" t="str">
        <f>IFERROR(Regiones[[#This Row],[AHT]]*86400,"error")</f>
        <v>error</v>
      </c>
      <c r="Q408" s="13" t="str">
        <f>+VLOOKUP(Regiones[[#This Row],[Cola]],Tabla6[#Data],2,0)</f>
        <v>BUPA</v>
      </c>
      <c r="R408" s="13" t="e">
        <f>+VLOOKUP(Regiones[[#This Row],[Cola]],Tabla68[],2,0)</f>
        <v>#N/A</v>
      </c>
    </row>
    <row r="409" spans="2:18" x14ac:dyDescent="0.3">
      <c r="B409" s="6">
        <v>46206</v>
      </c>
      <c r="C409" s="14">
        <v>0.64583333333333337</v>
      </c>
      <c r="D409" t="s">
        <v>47</v>
      </c>
      <c r="E409" t="s">
        <v>18</v>
      </c>
      <c r="F409">
        <v>4</v>
      </c>
      <c r="G409">
        <v>4</v>
      </c>
      <c r="H409">
        <v>0</v>
      </c>
      <c r="I409" s="2">
        <v>1</v>
      </c>
      <c r="J409" s="14">
        <v>2.3148148148148147E-3</v>
      </c>
      <c r="K409" s="6">
        <f>INT(Regiones[[#This Row],[Fecha]])</f>
        <v>46206</v>
      </c>
      <c r="L409" s="10">
        <f>IFERROR(Regiones[[#This Row],[Contestadas]]/Regiones[[#This Row],[Ofrecidas]],"")</f>
        <v>1</v>
      </c>
      <c r="M409" s="7">
        <f>IFERROR(Regiones[[#This Row],[Ofrecidas]]*Regiones[[#This Row],[% de nivel de servicio]],"")</f>
        <v>4</v>
      </c>
      <c r="N409" s="7"/>
      <c r="O409" s="12">
        <f>IFERROR(Regiones[[#This Row],[Aten &lt; 20 seg]]/Regiones[[#This Row],[Contestadas]],"")</f>
        <v>1</v>
      </c>
      <c r="P409" s="13">
        <f>IFERROR(Regiones[[#This Row],[AHT]]*86400,"error")</f>
        <v>200</v>
      </c>
      <c r="Q409" s="13" t="str">
        <f>+VLOOKUP(Regiones[[#This Row],[Cola]],Tabla6[#Data],2,0)</f>
        <v>BUPA</v>
      </c>
      <c r="R409" s="13" t="e">
        <f>+VLOOKUP(Regiones[[#This Row],[Cola]],Tabla68[],2,0)</f>
        <v>#N/A</v>
      </c>
    </row>
    <row r="410" spans="2:18" x14ac:dyDescent="0.3">
      <c r="B410" s="6">
        <v>46206</v>
      </c>
      <c r="C410" s="14">
        <v>0.64583333333333337</v>
      </c>
      <c r="D410" t="s">
        <v>48</v>
      </c>
      <c r="E410" t="s">
        <v>18</v>
      </c>
      <c r="F410">
        <v>2</v>
      </c>
      <c r="G410">
        <v>2</v>
      </c>
      <c r="H410">
        <v>0</v>
      </c>
      <c r="I410" s="2">
        <v>1</v>
      </c>
      <c r="J410" s="14">
        <v>2.5115740740740741E-3</v>
      </c>
      <c r="K410" s="6">
        <f>INT(Regiones[[#This Row],[Fecha]])</f>
        <v>46206</v>
      </c>
      <c r="L410" s="10">
        <f>IFERROR(Regiones[[#This Row],[Contestadas]]/Regiones[[#This Row],[Ofrecidas]],"")</f>
        <v>1</v>
      </c>
      <c r="M410" s="7">
        <f>IFERROR(Regiones[[#This Row],[Ofrecidas]]*Regiones[[#This Row],[% de nivel de servicio]],"")</f>
        <v>2</v>
      </c>
      <c r="N410" s="7"/>
      <c r="O410" s="12">
        <f>IFERROR(Regiones[[#This Row],[Aten &lt; 20 seg]]/Regiones[[#This Row],[Contestadas]],"")</f>
        <v>1</v>
      </c>
      <c r="P410" s="13">
        <f>IFERROR(Regiones[[#This Row],[AHT]]*86400,"error")</f>
        <v>217</v>
      </c>
      <c r="Q410" s="13" t="str">
        <f>+VLOOKUP(Regiones[[#This Row],[Cola]],Tabla6[#Data],2,0)</f>
        <v>BUPA</v>
      </c>
      <c r="R410" s="13" t="e">
        <f>+VLOOKUP(Regiones[[#This Row],[Cola]],Tabla68[],2,0)</f>
        <v>#N/A</v>
      </c>
    </row>
    <row r="411" spans="2:18" x14ac:dyDescent="0.3">
      <c r="B411" s="6">
        <v>46206</v>
      </c>
      <c r="C411" s="14">
        <v>0.64583333333333337</v>
      </c>
      <c r="D411" t="s">
        <v>57</v>
      </c>
      <c r="E411" t="s">
        <v>18</v>
      </c>
      <c r="F411">
        <v>1</v>
      </c>
      <c r="G411">
        <v>1</v>
      </c>
      <c r="H411">
        <v>0</v>
      </c>
      <c r="I411" s="2">
        <v>1</v>
      </c>
      <c r="J411" s="14" t="s">
        <v>19</v>
      </c>
      <c r="K411" s="6">
        <f>INT(Regiones[[#This Row],[Fecha]])</f>
        <v>46206</v>
      </c>
      <c r="L411" s="10">
        <f>IFERROR(Regiones[[#This Row],[Contestadas]]/Regiones[[#This Row],[Ofrecidas]],"")</f>
        <v>1</v>
      </c>
      <c r="M411" s="7">
        <f>IFERROR(Regiones[[#This Row],[Ofrecidas]]*Regiones[[#This Row],[% de nivel de servicio]],"")</f>
        <v>1</v>
      </c>
      <c r="N411" s="7"/>
      <c r="O411" s="12">
        <f>IFERROR(Regiones[[#This Row],[Aten &lt; 20 seg]]/Regiones[[#This Row],[Contestadas]],"")</f>
        <v>1</v>
      </c>
      <c r="P411" s="13" t="str">
        <f>IFERROR(Regiones[[#This Row],[AHT]]*86400,"error")</f>
        <v>error</v>
      </c>
      <c r="Q411" s="13" t="str">
        <f>+VLOOKUP(Regiones[[#This Row],[Cola]],Tabla6[#Data],2,0)</f>
        <v>BUPA</v>
      </c>
      <c r="R411" s="13" t="e">
        <f>+VLOOKUP(Regiones[[#This Row],[Cola]],Tabla68[],2,0)</f>
        <v>#N/A</v>
      </c>
    </row>
    <row r="412" spans="2:18" x14ac:dyDescent="0.3">
      <c r="B412" s="6">
        <v>46206</v>
      </c>
      <c r="C412" s="14">
        <v>0.64583333333333337</v>
      </c>
      <c r="D412" t="s">
        <v>46</v>
      </c>
      <c r="E412" t="s">
        <v>18</v>
      </c>
      <c r="F412">
        <v>6</v>
      </c>
      <c r="G412">
        <v>6</v>
      </c>
      <c r="H412">
        <v>0</v>
      </c>
      <c r="I412" s="2">
        <v>0.83</v>
      </c>
      <c r="J412" s="14">
        <v>5.5439814814814813E-3</v>
      </c>
      <c r="K412" s="6">
        <f>INT(Regiones[[#This Row],[Fecha]])</f>
        <v>46206</v>
      </c>
      <c r="L412" s="10">
        <f>IFERROR(Regiones[[#This Row],[Contestadas]]/Regiones[[#This Row],[Ofrecidas]],"")</f>
        <v>1</v>
      </c>
      <c r="M412" s="7">
        <f>IFERROR(Regiones[[#This Row],[Ofrecidas]]*Regiones[[#This Row],[% de nivel de servicio]],"")</f>
        <v>4.9799999999999995</v>
      </c>
      <c r="N412" s="7"/>
      <c r="O412" s="12">
        <f>IFERROR(Regiones[[#This Row],[Aten &lt; 20 seg]]/Regiones[[#This Row],[Contestadas]],"")</f>
        <v>0.83</v>
      </c>
      <c r="P412" s="13">
        <f>IFERROR(Regiones[[#This Row],[AHT]]*86400,"error")</f>
        <v>479</v>
      </c>
      <c r="Q412" s="13" t="str">
        <f>+VLOOKUP(Regiones[[#This Row],[Cola]],Tabla6[#Data],2,0)</f>
        <v>BUPA</v>
      </c>
      <c r="R412" s="13" t="e">
        <f>+VLOOKUP(Regiones[[#This Row],[Cola]],Tabla68[],2,0)</f>
        <v>#N/A</v>
      </c>
    </row>
    <row r="413" spans="2:18" x14ac:dyDescent="0.3">
      <c r="B413" s="6">
        <v>46206</v>
      </c>
      <c r="C413" s="14">
        <v>0.66666666666666663</v>
      </c>
      <c r="D413" t="s">
        <v>54</v>
      </c>
      <c r="E413" t="s">
        <v>18</v>
      </c>
      <c r="F413">
        <v>2</v>
      </c>
      <c r="G413">
        <v>2</v>
      </c>
      <c r="H413">
        <v>0</v>
      </c>
      <c r="I413" s="2">
        <v>1</v>
      </c>
      <c r="J413" s="14">
        <v>1.8287037037037037E-3</v>
      </c>
      <c r="K413" s="6">
        <f>INT(Regiones[[#This Row],[Fecha]])</f>
        <v>46206</v>
      </c>
      <c r="L413" s="10">
        <f>IFERROR(Regiones[[#This Row],[Contestadas]]/Regiones[[#This Row],[Ofrecidas]],"")</f>
        <v>1</v>
      </c>
      <c r="M413" s="7">
        <f>IFERROR(Regiones[[#This Row],[Ofrecidas]]*Regiones[[#This Row],[% de nivel de servicio]],"")</f>
        <v>2</v>
      </c>
      <c r="N413" s="7"/>
      <c r="O413" s="12">
        <f>IFERROR(Regiones[[#This Row],[Aten &lt; 20 seg]]/Regiones[[#This Row],[Contestadas]],"")</f>
        <v>1</v>
      </c>
      <c r="P413" s="13">
        <f>IFERROR(Regiones[[#This Row],[AHT]]*86400,"error")</f>
        <v>158</v>
      </c>
      <c r="Q413" s="13" t="str">
        <f>+VLOOKUP(Regiones[[#This Row],[Cola]],Tabla6[#Data],2,0)</f>
        <v>BUPA</v>
      </c>
      <c r="R413" s="13" t="e">
        <f>+VLOOKUP(Regiones[[#This Row],[Cola]],Tabla68[],2,0)</f>
        <v>#N/A</v>
      </c>
    </row>
    <row r="414" spans="2:18" x14ac:dyDescent="0.3">
      <c r="B414" s="6">
        <v>46206</v>
      </c>
      <c r="C414" s="14">
        <v>0.66666666666666663</v>
      </c>
      <c r="D414" t="s">
        <v>46</v>
      </c>
      <c r="E414" t="s">
        <v>18</v>
      </c>
      <c r="F414">
        <v>5</v>
      </c>
      <c r="G414">
        <v>5</v>
      </c>
      <c r="H414">
        <v>0</v>
      </c>
      <c r="I414" s="2">
        <v>0.6</v>
      </c>
      <c r="J414" s="14">
        <v>7.6388888888888886E-3</v>
      </c>
      <c r="K414" s="6">
        <f>INT(Regiones[[#This Row],[Fecha]])</f>
        <v>46206</v>
      </c>
      <c r="L414" s="10">
        <f>IFERROR(Regiones[[#This Row],[Contestadas]]/Regiones[[#This Row],[Ofrecidas]],"")</f>
        <v>1</v>
      </c>
      <c r="M414" s="7">
        <f>IFERROR(Regiones[[#This Row],[Ofrecidas]]*Regiones[[#This Row],[% de nivel de servicio]],"")</f>
        <v>3</v>
      </c>
      <c r="N414" s="7"/>
      <c r="O414" s="12">
        <f>IFERROR(Regiones[[#This Row],[Aten &lt; 20 seg]]/Regiones[[#This Row],[Contestadas]],"")</f>
        <v>0.6</v>
      </c>
      <c r="P414" s="13">
        <f>IFERROR(Regiones[[#This Row],[AHT]]*86400,"error")</f>
        <v>660</v>
      </c>
      <c r="Q414" s="13" t="str">
        <f>+VLOOKUP(Regiones[[#This Row],[Cola]],Tabla6[#Data],2,0)</f>
        <v>BUPA</v>
      </c>
      <c r="R414" s="13" t="e">
        <f>+VLOOKUP(Regiones[[#This Row],[Cola]],Tabla68[],2,0)</f>
        <v>#N/A</v>
      </c>
    </row>
    <row r="415" spans="2:18" x14ac:dyDescent="0.3">
      <c r="B415" s="6">
        <v>46206</v>
      </c>
      <c r="C415" s="14">
        <v>0.66666666666666663</v>
      </c>
      <c r="D415" t="s">
        <v>48</v>
      </c>
      <c r="E415" t="s">
        <v>18</v>
      </c>
      <c r="F415">
        <v>2</v>
      </c>
      <c r="G415">
        <v>2</v>
      </c>
      <c r="H415">
        <v>0</v>
      </c>
      <c r="I415" s="2">
        <v>1</v>
      </c>
      <c r="J415" s="14">
        <v>4.3518518518518515E-3</v>
      </c>
      <c r="K415" s="6">
        <f>INT(Regiones[[#This Row],[Fecha]])</f>
        <v>46206</v>
      </c>
      <c r="L415" s="10">
        <f>IFERROR(Regiones[[#This Row],[Contestadas]]/Regiones[[#This Row],[Ofrecidas]],"")</f>
        <v>1</v>
      </c>
      <c r="M415" s="7">
        <f>IFERROR(Regiones[[#This Row],[Ofrecidas]]*Regiones[[#This Row],[% de nivel de servicio]],"")</f>
        <v>2</v>
      </c>
      <c r="N415" s="7"/>
      <c r="O415" s="12">
        <f>IFERROR(Regiones[[#This Row],[Aten &lt; 20 seg]]/Regiones[[#This Row],[Contestadas]],"")</f>
        <v>1</v>
      </c>
      <c r="P415" s="13">
        <f>IFERROR(Regiones[[#This Row],[AHT]]*86400,"error")</f>
        <v>376</v>
      </c>
      <c r="Q415" s="13" t="str">
        <f>+VLOOKUP(Regiones[[#This Row],[Cola]],Tabla6[#Data],2,0)</f>
        <v>BUPA</v>
      </c>
      <c r="R415" s="13" t="e">
        <f>+VLOOKUP(Regiones[[#This Row],[Cola]],Tabla68[],2,0)</f>
        <v>#N/A</v>
      </c>
    </row>
    <row r="416" spans="2:18" x14ac:dyDescent="0.3">
      <c r="B416" s="6">
        <v>46206</v>
      </c>
      <c r="C416" s="14">
        <v>0.66666666666666663</v>
      </c>
      <c r="D416" t="s">
        <v>57</v>
      </c>
      <c r="E416" t="s">
        <v>18</v>
      </c>
      <c r="F416">
        <v>1</v>
      </c>
      <c r="G416">
        <v>1</v>
      </c>
      <c r="H416">
        <v>0</v>
      </c>
      <c r="I416" s="2">
        <v>1</v>
      </c>
      <c r="J416" s="14">
        <v>4.5023148148148149E-3</v>
      </c>
      <c r="K416" s="6">
        <f>INT(Regiones[[#This Row],[Fecha]])</f>
        <v>46206</v>
      </c>
      <c r="L416" s="10">
        <f>IFERROR(Regiones[[#This Row],[Contestadas]]/Regiones[[#This Row],[Ofrecidas]],"")</f>
        <v>1</v>
      </c>
      <c r="M416" s="7">
        <f>IFERROR(Regiones[[#This Row],[Ofrecidas]]*Regiones[[#This Row],[% de nivel de servicio]],"")</f>
        <v>1</v>
      </c>
      <c r="N416" s="7"/>
      <c r="O416" s="12">
        <f>IFERROR(Regiones[[#This Row],[Aten &lt; 20 seg]]/Regiones[[#This Row],[Contestadas]],"")</f>
        <v>1</v>
      </c>
      <c r="P416" s="13">
        <f>IFERROR(Regiones[[#This Row],[AHT]]*86400,"error")</f>
        <v>389</v>
      </c>
      <c r="Q416" s="13" t="str">
        <f>+VLOOKUP(Regiones[[#This Row],[Cola]],Tabla6[#Data],2,0)</f>
        <v>BUPA</v>
      </c>
      <c r="R416" s="13" t="e">
        <f>+VLOOKUP(Regiones[[#This Row],[Cola]],Tabla68[],2,0)</f>
        <v>#N/A</v>
      </c>
    </row>
    <row r="417" spans="2:18" x14ac:dyDescent="0.3">
      <c r="B417" s="6">
        <v>46206</v>
      </c>
      <c r="C417" s="14">
        <v>0.66666666666666663</v>
      </c>
      <c r="D417" t="s">
        <v>49</v>
      </c>
      <c r="E417" t="s">
        <v>18</v>
      </c>
      <c r="F417">
        <v>1</v>
      </c>
      <c r="G417">
        <v>1</v>
      </c>
      <c r="H417">
        <v>0</v>
      </c>
      <c r="I417" s="2">
        <v>1</v>
      </c>
      <c r="J417" s="14">
        <v>3.1250000000000001E-4</v>
      </c>
      <c r="K417" s="6">
        <f>INT(Regiones[[#This Row],[Fecha]])</f>
        <v>46206</v>
      </c>
      <c r="L417" s="10">
        <f>IFERROR(Regiones[[#This Row],[Contestadas]]/Regiones[[#This Row],[Ofrecidas]],"")</f>
        <v>1</v>
      </c>
      <c r="M417" s="7">
        <f>IFERROR(Regiones[[#This Row],[Ofrecidas]]*Regiones[[#This Row],[% de nivel de servicio]],"")</f>
        <v>1</v>
      </c>
      <c r="N417" s="7"/>
      <c r="O417" s="12">
        <f>IFERROR(Regiones[[#This Row],[Aten &lt; 20 seg]]/Regiones[[#This Row],[Contestadas]],"")</f>
        <v>1</v>
      </c>
      <c r="P417" s="13">
        <f>IFERROR(Regiones[[#This Row],[AHT]]*86400,"error")</f>
        <v>27</v>
      </c>
      <c r="Q417" s="13" t="str">
        <f>+VLOOKUP(Regiones[[#This Row],[Cola]],Tabla6[#Data],2,0)</f>
        <v>BUPA</v>
      </c>
      <c r="R417" s="13" t="e">
        <f>+VLOOKUP(Regiones[[#This Row],[Cola]],Tabla68[],2,0)</f>
        <v>#N/A</v>
      </c>
    </row>
    <row r="418" spans="2:18" x14ac:dyDescent="0.3">
      <c r="B418" s="6">
        <v>46206</v>
      </c>
      <c r="C418" s="14">
        <v>0.66666666666666663</v>
      </c>
      <c r="D418" t="s">
        <v>53</v>
      </c>
      <c r="E418" t="s">
        <v>18</v>
      </c>
      <c r="F418">
        <v>1</v>
      </c>
      <c r="G418">
        <v>1</v>
      </c>
      <c r="H418">
        <v>0</v>
      </c>
      <c r="I418" s="2">
        <v>1</v>
      </c>
      <c r="J418" s="14">
        <v>7.9398148148148145E-3</v>
      </c>
      <c r="K418" s="6">
        <f>INT(Regiones[[#This Row],[Fecha]])</f>
        <v>46206</v>
      </c>
      <c r="L418" s="10">
        <f>IFERROR(Regiones[[#This Row],[Contestadas]]/Regiones[[#This Row],[Ofrecidas]],"")</f>
        <v>1</v>
      </c>
      <c r="M418" s="7">
        <f>IFERROR(Regiones[[#This Row],[Ofrecidas]]*Regiones[[#This Row],[% de nivel de servicio]],"")</f>
        <v>1</v>
      </c>
      <c r="N418" s="7"/>
      <c r="O418" s="12">
        <f>IFERROR(Regiones[[#This Row],[Aten &lt; 20 seg]]/Regiones[[#This Row],[Contestadas]],"")</f>
        <v>1</v>
      </c>
      <c r="P418" s="13">
        <f>IFERROR(Regiones[[#This Row],[AHT]]*86400,"error")</f>
        <v>686</v>
      </c>
      <c r="Q418" s="13" t="str">
        <f>+VLOOKUP(Regiones[[#This Row],[Cola]],Tabla6[#Data],2,0)</f>
        <v>BUPA</v>
      </c>
      <c r="R418" s="13" t="e">
        <f>+VLOOKUP(Regiones[[#This Row],[Cola]],Tabla68[],2,0)</f>
        <v>#N/A</v>
      </c>
    </row>
    <row r="419" spans="2:18" x14ac:dyDescent="0.3">
      <c r="B419" s="6">
        <v>46206</v>
      </c>
      <c r="C419" s="14">
        <v>0.66666666666666663</v>
      </c>
      <c r="D419" t="s">
        <v>56</v>
      </c>
      <c r="E419" t="s">
        <v>18</v>
      </c>
      <c r="F419">
        <v>0</v>
      </c>
      <c r="G419">
        <v>0</v>
      </c>
      <c r="H419">
        <v>0</v>
      </c>
      <c r="I419" s="2" t="s">
        <v>20</v>
      </c>
      <c r="J419" s="14">
        <v>1.3206018518518518E-2</v>
      </c>
      <c r="K419" s="6">
        <f>INT(Regiones[[#This Row],[Fecha]])</f>
        <v>46206</v>
      </c>
      <c r="L419" s="10" t="str">
        <f>IFERROR(Regiones[[#This Row],[Contestadas]]/Regiones[[#This Row],[Ofrecidas]],"")</f>
        <v/>
      </c>
      <c r="M419" s="7" t="str">
        <f>IFERROR(Regiones[[#This Row],[Ofrecidas]]*Regiones[[#This Row],[% de nivel de servicio]],"")</f>
        <v/>
      </c>
      <c r="N419" s="7"/>
      <c r="O419" s="12" t="str">
        <f>IFERROR(Regiones[[#This Row],[Aten &lt; 20 seg]]/Regiones[[#This Row],[Contestadas]],"")</f>
        <v/>
      </c>
      <c r="P419" s="13">
        <f>IFERROR(Regiones[[#This Row],[AHT]]*86400,"error")</f>
        <v>1141</v>
      </c>
      <c r="Q419" s="13" t="str">
        <f>+VLOOKUP(Regiones[[#This Row],[Cola]],Tabla6[#Data],2,0)</f>
        <v>BUPA</v>
      </c>
      <c r="R419" s="13" t="e">
        <f>+VLOOKUP(Regiones[[#This Row],[Cola]],Tabla68[],2,0)</f>
        <v>#N/A</v>
      </c>
    </row>
    <row r="420" spans="2:18" x14ac:dyDescent="0.3">
      <c r="B420" s="6">
        <v>46206</v>
      </c>
      <c r="C420" s="14">
        <v>0.66666666666666663</v>
      </c>
      <c r="D420" t="s">
        <v>52</v>
      </c>
      <c r="E420" t="s">
        <v>18</v>
      </c>
      <c r="F420">
        <v>1</v>
      </c>
      <c r="G420">
        <v>1</v>
      </c>
      <c r="H420">
        <v>0</v>
      </c>
      <c r="I420" s="2">
        <v>1</v>
      </c>
      <c r="J420" s="14">
        <v>3.9583333333333337E-3</v>
      </c>
      <c r="K420" s="6">
        <f>INT(Regiones[[#This Row],[Fecha]])</f>
        <v>46206</v>
      </c>
      <c r="L420" s="10">
        <f>IFERROR(Regiones[[#This Row],[Contestadas]]/Regiones[[#This Row],[Ofrecidas]],"")</f>
        <v>1</v>
      </c>
      <c r="M420" s="7">
        <f>IFERROR(Regiones[[#This Row],[Ofrecidas]]*Regiones[[#This Row],[% de nivel de servicio]],"")</f>
        <v>1</v>
      </c>
      <c r="N420" s="7"/>
      <c r="O420" s="12">
        <f>IFERROR(Regiones[[#This Row],[Aten &lt; 20 seg]]/Regiones[[#This Row],[Contestadas]],"")</f>
        <v>1</v>
      </c>
      <c r="P420" s="13">
        <f>IFERROR(Regiones[[#This Row],[AHT]]*86400,"error")</f>
        <v>342.00000000000006</v>
      </c>
      <c r="Q420" s="13" t="str">
        <f>+VLOOKUP(Regiones[[#This Row],[Cola]],Tabla6[#Data],2,0)</f>
        <v>BUPA</v>
      </c>
      <c r="R420" s="13" t="e">
        <f>+VLOOKUP(Regiones[[#This Row],[Cola]],Tabla68[],2,0)</f>
        <v>#N/A</v>
      </c>
    </row>
    <row r="421" spans="2:18" x14ac:dyDescent="0.3">
      <c r="B421" s="6">
        <v>46206</v>
      </c>
      <c r="C421" s="14">
        <v>0.66666666666666663</v>
      </c>
      <c r="D421" t="s">
        <v>47</v>
      </c>
      <c r="E421" t="s">
        <v>18</v>
      </c>
      <c r="F421">
        <v>11</v>
      </c>
      <c r="G421">
        <v>10</v>
      </c>
      <c r="H421">
        <v>1</v>
      </c>
      <c r="I421" s="2">
        <v>0.82</v>
      </c>
      <c r="J421" s="14">
        <v>3.9120370370370368E-3</v>
      </c>
      <c r="K421" s="6">
        <f>INT(Regiones[[#This Row],[Fecha]])</f>
        <v>46206</v>
      </c>
      <c r="L421" s="10">
        <f>IFERROR(Regiones[[#This Row],[Contestadas]]/Regiones[[#This Row],[Ofrecidas]],"")</f>
        <v>0.90909090909090906</v>
      </c>
      <c r="M421" s="7">
        <f>IFERROR(Regiones[[#This Row],[Ofrecidas]]*Regiones[[#This Row],[% de nivel de servicio]],"")</f>
        <v>9.02</v>
      </c>
      <c r="N421" s="7"/>
      <c r="O421" s="12">
        <f>IFERROR(Regiones[[#This Row],[Aten &lt; 20 seg]]/Regiones[[#This Row],[Contestadas]],"")</f>
        <v>0.90199999999999991</v>
      </c>
      <c r="P421" s="13">
        <f>IFERROR(Regiones[[#This Row],[AHT]]*86400,"error")</f>
        <v>338</v>
      </c>
      <c r="Q421" s="13" t="str">
        <f>+VLOOKUP(Regiones[[#This Row],[Cola]],Tabla6[#Data],2,0)</f>
        <v>BUPA</v>
      </c>
      <c r="R421" s="13" t="e">
        <f>+VLOOKUP(Regiones[[#This Row],[Cola]],Tabla68[],2,0)</f>
        <v>#N/A</v>
      </c>
    </row>
    <row r="422" spans="2:18" x14ac:dyDescent="0.3">
      <c r="B422" s="6">
        <v>46206</v>
      </c>
      <c r="C422" s="14">
        <v>0.6875</v>
      </c>
      <c r="D422" t="s">
        <v>47</v>
      </c>
      <c r="E422" t="s">
        <v>18</v>
      </c>
      <c r="F422">
        <v>3</v>
      </c>
      <c r="G422">
        <v>3</v>
      </c>
      <c r="H422">
        <v>0</v>
      </c>
      <c r="I422" s="2">
        <v>1</v>
      </c>
      <c r="J422" s="14">
        <v>3.2754629629629631E-3</v>
      </c>
      <c r="K422" s="6">
        <f>INT(Regiones[[#This Row],[Fecha]])</f>
        <v>46206</v>
      </c>
      <c r="L422" s="10">
        <f>IFERROR(Regiones[[#This Row],[Contestadas]]/Regiones[[#This Row],[Ofrecidas]],"")</f>
        <v>1</v>
      </c>
      <c r="M422" s="7">
        <f>IFERROR(Regiones[[#This Row],[Ofrecidas]]*Regiones[[#This Row],[% de nivel de servicio]],"")</f>
        <v>3</v>
      </c>
      <c r="N422" s="7"/>
      <c r="O422" s="12">
        <f>IFERROR(Regiones[[#This Row],[Aten &lt; 20 seg]]/Regiones[[#This Row],[Contestadas]],"")</f>
        <v>1</v>
      </c>
      <c r="P422" s="13">
        <f>IFERROR(Regiones[[#This Row],[AHT]]*86400,"error")</f>
        <v>283</v>
      </c>
      <c r="Q422" s="13" t="str">
        <f>+VLOOKUP(Regiones[[#This Row],[Cola]],Tabla6[#Data],2,0)</f>
        <v>BUPA</v>
      </c>
      <c r="R422" s="13" t="e">
        <f>+VLOOKUP(Regiones[[#This Row],[Cola]],Tabla68[],2,0)</f>
        <v>#N/A</v>
      </c>
    </row>
    <row r="423" spans="2:18" x14ac:dyDescent="0.3">
      <c r="B423" s="6">
        <v>46206</v>
      </c>
      <c r="C423" s="14">
        <v>0.6875</v>
      </c>
      <c r="D423" t="s">
        <v>46</v>
      </c>
      <c r="E423" t="s">
        <v>18</v>
      </c>
      <c r="F423">
        <v>7</v>
      </c>
      <c r="G423">
        <v>7</v>
      </c>
      <c r="H423">
        <v>0</v>
      </c>
      <c r="I423" s="2">
        <v>1</v>
      </c>
      <c r="J423" s="14">
        <v>3.2060185185185186E-3</v>
      </c>
      <c r="K423" s="6">
        <f>INT(Regiones[[#This Row],[Fecha]])</f>
        <v>46206</v>
      </c>
      <c r="L423" s="10">
        <f>IFERROR(Regiones[[#This Row],[Contestadas]]/Regiones[[#This Row],[Ofrecidas]],"")</f>
        <v>1</v>
      </c>
      <c r="M423" s="7">
        <f>IFERROR(Regiones[[#This Row],[Ofrecidas]]*Regiones[[#This Row],[% de nivel de servicio]],"")</f>
        <v>7</v>
      </c>
      <c r="N423" s="7"/>
      <c r="O423" s="12">
        <f>IFERROR(Regiones[[#This Row],[Aten &lt; 20 seg]]/Regiones[[#This Row],[Contestadas]],"")</f>
        <v>1</v>
      </c>
      <c r="P423" s="13">
        <f>IFERROR(Regiones[[#This Row],[AHT]]*86400,"error")</f>
        <v>277</v>
      </c>
      <c r="Q423" s="13" t="str">
        <f>+VLOOKUP(Regiones[[#This Row],[Cola]],Tabla6[#Data],2,0)</f>
        <v>BUPA</v>
      </c>
      <c r="R423" s="13" t="e">
        <f>+VLOOKUP(Regiones[[#This Row],[Cola]],Tabla68[],2,0)</f>
        <v>#N/A</v>
      </c>
    </row>
    <row r="424" spans="2:18" x14ac:dyDescent="0.3">
      <c r="B424" s="6">
        <v>46206</v>
      </c>
      <c r="C424" s="14">
        <v>0.6875</v>
      </c>
      <c r="D424" t="s">
        <v>48</v>
      </c>
      <c r="E424" t="s">
        <v>18</v>
      </c>
      <c r="F424">
        <v>2</v>
      </c>
      <c r="G424">
        <v>2</v>
      </c>
      <c r="H424">
        <v>0</v>
      </c>
      <c r="I424" s="2">
        <v>1</v>
      </c>
      <c r="J424" s="14">
        <v>7.3842592592592597E-3</v>
      </c>
      <c r="K424" s="6">
        <f>INT(Regiones[[#This Row],[Fecha]])</f>
        <v>46206</v>
      </c>
      <c r="L424" s="10">
        <f>IFERROR(Regiones[[#This Row],[Contestadas]]/Regiones[[#This Row],[Ofrecidas]],"")</f>
        <v>1</v>
      </c>
      <c r="M424" s="7">
        <f>IFERROR(Regiones[[#This Row],[Ofrecidas]]*Regiones[[#This Row],[% de nivel de servicio]],"")</f>
        <v>2</v>
      </c>
      <c r="N424" s="7"/>
      <c r="O424" s="12">
        <f>IFERROR(Regiones[[#This Row],[Aten &lt; 20 seg]]/Regiones[[#This Row],[Contestadas]],"")</f>
        <v>1</v>
      </c>
      <c r="P424" s="13">
        <f>IFERROR(Regiones[[#This Row],[AHT]]*86400,"error")</f>
        <v>638</v>
      </c>
      <c r="Q424" s="13" t="str">
        <f>+VLOOKUP(Regiones[[#This Row],[Cola]],Tabla6[#Data],2,0)</f>
        <v>BUPA</v>
      </c>
      <c r="R424" s="13" t="e">
        <f>+VLOOKUP(Regiones[[#This Row],[Cola]],Tabla68[],2,0)</f>
        <v>#N/A</v>
      </c>
    </row>
    <row r="425" spans="2:18" x14ac:dyDescent="0.3">
      <c r="B425" s="6">
        <v>46206</v>
      </c>
      <c r="C425" s="14">
        <v>0.6875</v>
      </c>
      <c r="D425" t="s">
        <v>49</v>
      </c>
      <c r="E425" t="s">
        <v>18</v>
      </c>
      <c r="F425">
        <v>1</v>
      </c>
      <c r="G425">
        <v>1</v>
      </c>
      <c r="H425">
        <v>0</v>
      </c>
      <c r="I425" s="2">
        <v>1</v>
      </c>
      <c r="J425" s="14">
        <v>8.6689814814814806E-3</v>
      </c>
      <c r="K425" s="6">
        <f>INT(Regiones[[#This Row],[Fecha]])</f>
        <v>46206</v>
      </c>
      <c r="L425" s="10">
        <f>IFERROR(Regiones[[#This Row],[Contestadas]]/Regiones[[#This Row],[Ofrecidas]],"")</f>
        <v>1</v>
      </c>
      <c r="M425" s="7">
        <f>IFERROR(Regiones[[#This Row],[Ofrecidas]]*Regiones[[#This Row],[% de nivel de servicio]],"")</f>
        <v>1</v>
      </c>
      <c r="N425" s="7"/>
      <c r="O425" s="12">
        <f>IFERROR(Regiones[[#This Row],[Aten &lt; 20 seg]]/Regiones[[#This Row],[Contestadas]],"")</f>
        <v>1</v>
      </c>
      <c r="P425" s="13">
        <f>IFERROR(Regiones[[#This Row],[AHT]]*86400,"error")</f>
        <v>748.99999999999989</v>
      </c>
      <c r="Q425" s="13" t="str">
        <f>+VLOOKUP(Regiones[[#This Row],[Cola]],Tabla6[#Data],2,0)</f>
        <v>BUPA</v>
      </c>
      <c r="R425" s="13" t="e">
        <f>+VLOOKUP(Regiones[[#This Row],[Cola]],Tabla68[],2,0)</f>
        <v>#N/A</v>
      </c>
    </row>
    <row r="426" spans="2:18" x14ac:dyDescent="0.3">
      <c r="B426" s="6">
        <v>46206</v>
      </c>
      <c r="C426" s="14">
        <v>0.6875</v>
      </c>
      <c r="D426" t="s">
        <v>50</v>
      </c>
      <c r="E426" t="s">
        <v>18</v>
      </c>
      <c r="F426">
        <v>1</v>
      </c>
      <c r="G426">
        <v>0</v>
      </c>
      <c r="H426">
        <v>1</v>
      </c>
      <c r="I426" s="2">
        <v>0</v>
      </c>
      <c r="J426" s="14" t="s">
        <v>19</v>
      </c>
      <c r="K426" s="6">
        <f>INT(Regiones[[#This Row],[Fecha]])</f>
        <v>46206</v>
      </c>
      <c r="L426" s="10">
        <f>IFERROR(Regiones[[#This Row],[Contestadas]]/Regiones[[#This Row],[Ofrecidas]],"")</f>
        <v>0</v>
      </c>
      <c r="M426" s="7">
        <f>IFERROR(Regiones[[#This Row],[Ofrecidas]]*Regiones[[#This Row],[% de nivel de servicio]],"")</f>
        <v>0</v>
      </c>
      <c r="N426" s="7"/>
      <c r="O426" s="12" t="str">
        <f>IFERROR(Regiones[[#This Row],[Aten &lt; 20 seg]]/Regiones[[#This Row],[Contestadas]],"")</f>
        <v/>
      </c>
      <c r="P426" s="13" t="str">
        <f>IFERROR(Regiones[[#This Row],[AHT]]*86400,"error")</f>
        <v>error</v>
      </c>
      <c r="Q426" s="13" t="str">
        <f>+VLOOKUP(Regiones[[#This Row],[Cola]],Tabla6[#Data],2,0)</f>
        <v>BUPA</v>
      </c>
      <c r="R426" s="13" t="e">
        <f>+VLOOKUP(Regiones[[#This Row],[Cola]],Tabla68[],2,0)</f>
        <v>#N/A</v>
      </c>
    </row>
    <row r="427" spans="2:18" x14ac:dyDescent="0.3">
      <c r="B427" s="6">
        <v>46206</v>
      </c>
      <c r="C427" s="14">
        <v>0.6875</v>
      </c>
      <c r="D427" t="s">
        <v>52</v>
      </c>
      <c r="E427" t="s">
        <v>18</v>
      </c>
      <c r="F427">
        <v>1</v>
      </c>
      <c r="G427">
        <v>1</v>
      </c>
      <c r="H427">
        <v>0</v>
      </c>
      <c r="I427" s="2">
        <v>1</v>
      </c>
      <c r="J427" s="14">
        <v>2.9629629629629628E-3</v>
      </c>
      <c r="K427" s="6">
        <f>INT(Regiones[[#This Row],[Fecha]])</f>
        <v>46206</v>
      </c>
      <c r="L427" s="10">
        <f>IFERROR(Regiones[[#This Row],[Contestadas]]/Regiones[[#This Row],[Ofrecidas]],"")</f>
        <v>1</v>
      </c>
      <c r="M427" s="7">
        <f>IFERROR(Regiones[[#This Row],[Ofrecidas]]*Regiones[[#This Row],[% de nivel de servicio]],"")</f>
        <v>1</v>
      </c>
      <c r="N427" s="7"/>
      <c r="O427" s="12">
        <f>IFERROR(Regiones[[#This Row],[Aten &lt; 20 seg]]/Regiones[[#This Row],[Contestadas]],"")</f>
        <v>1</v>
      </c>
      <c r="P427" s="13">
        <f>IFERROR(Regiones[[#This Row],[AHT]]*86400,"error")</f>
        <v>256</v>
      </c>
      <c r="Q427" s="13" t="str">
        <f>+VLOOKUP(Regiones[[#This Row],[Cola]],Tabla6[#Data],2,0)</f>
        <v>BUPA</v>
      </c>
      <c r="R427" s="13" t="e">
        <f>+VLOOKUP(Regiones[[#This Row],[Cola]],Tabla68[],2,0)</f>
        <v>#N/A</v>
      </c>
    </row>
    <row r="428" spans="2:18" x14ac:dyDescent="0.3">
      <c r="B428" s="6">
        <v>46206</v>
      </c>
      <c r="C428" s="14">
        <v>0.70833333333333337</v>
      </c>
      <c r="D428" t="s">
        <v>53</v>
      </c>
      <c r="E428" t="s">
        <v>18</v>
      </c>
      <c r="F428">
        <v>2</v>
      </c>
      <c r="G428">
        <v>0</v>
      </c>
      <c r="H428">
        <v>1</v>
      </c>
      <c r="I428" s="2">
        <v>0</v>
      </c>
      <c r="J428" s="14" t="s">
        <v>19</v>
      </c>
      <c r="K428" s="6">
        <f>INT(Regiones[[#This Row],[Fecha]])</f>
        <v>46206</v>
      </c>
      <c r="L428" s="10">
        <f>IFERROR(Regiones[[#This Row],[Contestadas]]/Regiones[[#This Row],[Ofrecidas]],"")</f>
        <v>0</v>
      </c>
      <c r="M428" s="7">
        <f>IFERROR(Regiones[[#This Row],[Ofrecidas]]*Regiones[[#This Row],[% de nivel de servicio]],"")</f>
        <v>0</v>
      </c>
      <c r="N428" s="7"/>
      <c r="O428" s="12" t="str">
        <f>IFERROR(Regiones[[#This Row],[Aten &lt; 20 seg]]/Regiones[[#This Row],[Contestadas]],"")</f>
        <v/>
      </c>
      <c r="P428" s="13" t="str">
        <f>IFERROR(Regiones[[#This Row],[AHT]]*86400,"error")</f>
        <v>error</v>
      </c>
      <c r="Q428" s="13" t="str">
        <f>+VLOOKUP(Regiones[[#This Row],[Cola]],Tabla6[#Data],2,0)</f>
        <v>BUPA</v>
      </c>
      <c r="R428" s="13" t="e">
        <f>+VLOOKUP(Regiones[[#This Row],[Cola]],Tabla68[],2,0)</f>
        <v>#N/A</v>
      </c>
    </row>
    <row r="429" spans="2:18" x14ac:dyDescent="0.3">
      <c r="B429" s="6">
        <v>46206</v>
      </c>
      <c r="C429" s="14">
        <v>0.70833333333333337</v>
      </c>
      <c r="D429" t="s">
        <v>52</v>
      </c>
      <c r="E429" t="s">
        <v>18</v>
      </c>
      <c r="F429">
        <v>2</v>
      </c>
      <c r="G429">
        <v>1</v>
      </c>
      <c r="H429">
        <v>0</v>
      </c>
      <c r="I429" s="2">
        <v>0</v>
      </c>
      <c r="J429" s="14" t="s">
        <v>19</v>
      </c>
      <c r="K429" s="6">
        <f>INT(Regiones[[#This Row],[Fecha]])</f>
        <v>46206</v>
      </c>
      <c r="L429" s="10">
        <f>IFERROR(Regiones[[#This Row],[Contestadas]]/Regiones[[#This Row],[Ofrecidas]],"")</f>
        <v>0.5</v>
      </c>
      <c r="M429" s="7">
        <f>IFERROR(Regiones[[#This Row],[Ofrecidas]]*Regiones[[#This Row],[% de nivel de servicio]],"")</f>
        <v>0</v>
      </c>
      <c r="N429" s="7"/>
      <c r="O429" s="12">
        <f>IFERROR(Regiones[[#This Row],[Aten &lt; 20 seg]]/Regiones[[#This Row],[Contestadas]],"")</f>
        <v>0</v>
      </c>
      <c r="P429" s="13" t="str">
        <f>IFERROR(Regiones[[#This Row],[AHT]]*86400,"error")</f>
        <v>error</v>
      </c>
      <c r="Q429" s="13" t="str">
        <f>+VLOOKUP(Regiones[[#This Row],[Cola]],Tabla6[#Data],2,0)</f>
        <v>BUPA</v>
      </c>
      <c r="R429" s="13" t="e">
        <f>+VLOOKUP(Regiones[[#This Row],[Cola]],Tabla68[],2,0)</f>
        <v>#N/A</v>
      </c>
    </row>
    <row r="430" spans="2:18" x14ac:dyDescent="0.3">
      <c r="B430" s="6">
        <v>46206</v>
      </c>
      <c r="C430" s="14">
        <v>0.70833333333333337</v>
      </c>
      <c r="D430" t="s">
        <v>47</v>
      </c>
      <c r="E430" t="s">
        <v>18</v>
      </c>
      <c r="F430">
        <v>7</v>
      </c>
      <c r="G430">
        <v>5</v>
      </c>
      <c r="H430">
        <v>1</v>
      </c>
      <c r="I430" s="2">
        <v>0</v>
      </c>
      <c r="J430" s="14">
        <v>3.6921296296296298E-3</v>
      </c>
      <c r="K430" s="6">
        <f>INT(Regiones[[#This Row],[Fecha]])</f>
        <v>46206</v>
      </c>
      <c r="L430" s="10">
        <f>IFERROR(Regiones[[#This Row],[Contestadas]]/Regiones[[#This Row],[Ofrecidas]],"")</f>
        <v>0.7142857142857143</v>
      </c>
      <c r="M430" s="7">
        <f>IFERROR(Regiones[[#This Row],[Ofrecidas]]*Regiones[[#This Row],[% de nivel de servicio]],"")</f>
        <v>0</v>
      </c>
      <c r="N430" s="7"/>
      <c r="O430" s="12">
        <f>IFERROR(Regiones[[#This Row],[Aten &lt; 20 seg]]/Regiones[[#This Row],[Contestadas]],"")</f>
        <v>0</v>
      </c>
      <c r="P430" s="13">
        <f>IFERROR(Regiones[[#This Row],[AHT]]*86400,"error")</f>
        <v>319</v>
      </c>
      <c r="Q430" s="13" t="str">
        <f>+VLOOKUP(Regiones[[#This Row],[Cola]],Tabla6[#Data],2,0)</f>
        <v>BUPA</v>
      </c>
      <c r="R430" s="13" t="e">
        <f>+VLOOKUP(Regiones[[#This Row],[Cola]],Tabla68[],2,0)</f>
        <v>#N/A</v>
      </c>
    </row>
    <row r="431" spans="2:18" x14ac:dyDescent="0.3">
      <c r="B431" s="6">
        <v>46206</v>
      </c>
      <c r="C431" s="14">
        <v>0.70833333333333337</v>
      </c>
      <c r="D431" t="s">
        <v>48</v>
      </c>
      <c r="E431" t="s">
        <v>18</v>
      </c>
      <c r="F431">
        <v>10</v>
      </c>
      <c r="G431">
        <v>6</v>
      </c>
      <c r="H431">
        <v>2</v>
      </c>
      <c r="I431" s="2">
        <v>0</v>
      </c>
      <c r="J431" s="14">
        <v>4.6180555555555558E-3</v>
      </c>
      <c r="K431" s="6">
        <f>INT(Regiones[[#This Row],[Fecha]])</f>
        <v>46206</v>
      </c>
      <c r="L431" s="10">
        <f>IFERROR(Regiones[[#This Row],[Contestadas]]/Regiones[[#This Row],[Ofrecidas]],"")</f>
        <v>0.6</v>
      </c>
      <c r="M431" s="7">
        <f>IFERROR(Regiones[[#This Row],[Ofrecidas]]*Regiones[[#This Row],[% de nivel de servicio]],"")</f>
        <v>0</v>
      </c>
      <c r="N431" s="7"/>
      <c r="O431" s="12">
        <f>IFERROR(Regiones[[#This Row],[Aten &lt; 20 seg]]/Regiones[[#This Row],[Contestadas]],"")</f>
        <v>0</v>
      </c>
      <c r="P431" s="13">
        <f>IFERROR(Regiones[[#This Row],[AHT]]*86400,"error")</f>
        <v>399</v>
      </c>
      <c r="Q431" s="13" t="str">
        <f>+VLOOKUP(Regiones[[#This Row],[Cola]],Tabla6[#Data],2,0)</f>
        <v>BUPA</v>
      </c>
      <c r="R431" s="13" t="e">
        <f>+VLOOKUP(Regiones[[#This Row],[Cola]],Tabla68[],2,0)</f>
        <v>#N/A</v>
      </c>
    </row>
    <row r="432" spans="2:18" x14ac:dyDescent="0.3">
      <c r="B432" s="6">
        <v>46206</v>
      </c>
      <c r="C432" s="14">
        <v>0.70833333333333337</v>
      </c>
      <c r="D432" t="s">
        <v>46</v>
      </c>
      <c r="E432" t="s">
        <v>18</v>
      </c>
      <c r="F432">
        <v>8</v>
      </c>
      <c r="G432">
        <v>6</v>
      </c>
      <c r="H432">
        <v>2</v>
      </c>
      <c r="I432" s="2">
        <v>0.25</v>
      </c>
      <c r="J432" s="14">
        <v>7.0949074074074074E-3</v>
      </c>
      <c r="K432" s="6">
        <f>INT(Regiones[[#This Row],[Fecha]])</f>
        <v>46206</v>
      </c>
      <c r="L432" s="10">
        <f>IFERROR(Regiones[[#This Row],[Contestadas]]/Regiones[[#This Row],[Ofrecidas]],"")</f>
        <v>0.75</v>
      </c>
      <c r="M432" s="7">
        <f>IFERROR(Regiones[[#This Row],[Ofrecidas]]*Regiones[[#This Row],[% de nivel de servicio]],"")</f>
        <v>2</v>
      </c>
      <c r="N432" s="7"/>
      <c r="O432" s="12">
        <f>IFERROR(Regiones[[#This Row],[Aten &lt; 20 seg]]/Regiones[[#This Row],[Contestadas]],"")</f>
        <v>0.33333333333333331</v>
      </c>
      <c r="P432" s="13">
        <f>IFERROR(Regiones[[#This Row],[AHT]]*86400,"error")</f>
        <v>613</v>
      </c>
      <c r="Q432" s="13" t="str">
        <f>+VLOOKUP(Regiones[[#This Row],[Cola]],Tabla6[#Data],2,0)</f>
        <v>BUPA</v>
      </c>
      <c r="R432" s="13" t="e">
        <f>+VLOOKUP(Regiones[[#This Row],[Cola]],Tabla68[],2,0)</f>
        <v>#N/A</v>
      </c>
    </row>
    <row r="433" spans="2:18" x14ac:dyDescent="0.3">
      <c r="B433" s="6">
        <v>46206</v>
      </c>
      <c r="C433" s="14">
        <v>0.72916666666666663</v>
      </c>
      <c r="D433" t="s">
        <v>49</v>
      </c>
      <c r="E433" t="s">
        <v>18</v>
      </c>
      <c r="F433">
        <v>2</v>
      </c>
      <c r="G433">
        <v>1</v>
      </c>
      <c r="H433">
        <v>1</v>
      </c>
      <c r="I433" s="2">
        <v>0.5</v>
      </c>
      <c r="J433" s="14">
        <v>4.3518518518518515E-3</v>
      </c>
      <c r="K433" s="6">
        <f>INT(Regiones[[#This Row],[Fecha]])</f>
        <v>46206</v>
      </c>
      <c r="L433" s="10">
        <f>IFERROR(Regiones[[#This Row],[Contestadas]]/Regiones[[#This Row],[Ofrecidas]],"")</f>
        <v>0.5</v>
      </c>
      <c r="M433" s="7">
        <f>IFERROR(Regiones[[#This Row],[Ofrecidas]]*Regiones[[#This Row],[% de nivel de servicio]],"")</f>
        <v>1</v>
      </c>
      <c r="N433" s="7"/>
      <c r="O433" s="12">
        <f>IFERROR(Regiones[[#This Row],[Aten &lt; 20 seg]]/Regiones[[#This Row],[Contestadas]],"")</f>
        <v>1</v>
      </c>
      <c r="P433" s="13">
        <f>IFERROR(Regiones[[#This Row],[AHT]]*86400,"error")</f>
        <v>376</v>
      </c>
      <c r="Q433" s="13" t="str">
        <f>+VLOOKUP(Regiones[[#This Row],[Cola]],Tabla6[#Data],2,0)</f>
        <v>BUPA</v>
      </c>
      <c r="R433" s="13" t="e">
        <f>+VLOOKUP(Regiones[[#This Row],[Cola]],Tabla68[],2,0)</f>
        <v>#N/A</v>
      </c>
    </row>
    <row r="434" spans="2:18" x14ac:dyDescent="0.3">
      <c r="B434" s="6">
        <v>46206</v>
      </c>
      <c r="C434" s="14">
        <v>0.72916666666666663</v>
      </c>
      <c r="D434" t="s">
        <v>48</v>
      </c>
      <c r="E434" t="s">
        <v>18</v>
      </c>
      <c r="F434">
        <v>7</v>
      </c>
      <c r="G434">
        <v>7</v>
      </c>
      <c r="H434">
        <v>2</v>
      </c>
      <c r="I434" s="2">
        <v>0.44</v>
      </c>
      <c r="J434" s="14">
        <v>3.6921296296296298E-3</v>
      </c>
      <c r="K434" s="6">
        <f>INT(Regiones[[#This Row],[Fecha]])</f>
        <v>46206</v>
      </c>
      <c r="L434" s="10">
        <f>IFERROR(Regiones[[#This Row],[Contestadas]]/Regiones[[#This Row],[Ofrecidas]],"")</f>
        <v>1</v>
      </c>
      <c r="M434" s="7">
        <f>IFERROR(Regiones[[#This Row],[Ofrecidas]]*Regiones[[#This Row],[% de nivel de servicio]],"")</f>
        <v>3.08</v>
      </c>
      <c r="N434" s="7"/>
      <c r="O434" s="12">
        <f>IFERROR(Regiones[[#This Row],[Aten &lt; 20 seg]]/Regiones[[#This Row],[Contestadas]],"")</f>
        <v>0.44</v>
      </c>
      <c r="P434" s="13">
        <f>IFERROR(Regiones[[#This Row],[AHT]]*86400,"error")</f>
        <v>319</v>
      </c>
      <c r="Q434" s="13" t="str">
        <f>+VLOOKUP(Regiones[[#This Row],[Cola]],Tabla6[#Data],2,0)</f>
        <v>BUPA</v>
      </c>
      <c r="R434" s="13" t="e">
        <f>+VLOOKUP(Regiones[[#This Row],[Cola]],Tabla68[],2,0)</f>
        <v>#N/A</v>
      </c>
    </row>
    <row r="435" spans="2:18" x14ac:dyDescent="0.3">
      <c r="B435" s="6">
        <v>46206</v>
      </c>
      <c r="C435" s="14">
        <v>0.72916666666666663</v>
      </c>
      <c r="D435" t="s">
        <v>46</v>
      </c>
      <c r="E435" t="s">
        <v>18</v>
      </c>
      <c r="F435">
        <v>5</v>
      </c>
      <c r="G435">
        <v>3</v>
      </c>
      <c r="H435">
        <v>2</v>
      </c>
      <c r="I435" s="2">
        <v>0.2</v>
      </c>
      <c r="J435" s="14">
        <v>6.898148148148148E-3</v>
      </c>
      <c r="K435" s="6">
        <f>INT(Regiones[[#This Row],[Fecha]])</f>
        <v>46206</v>
      </c>
      <c r="L435" s="10">
        <f>IFERROR(Regiones[[#This Row],[Contestadas]]/Regiones[[#This Row],[Ofrecidas]],"")</f>
        <v>0.6</v>
      </c>
      <c r="M435" s="7">
        <f>IFERROR(Regiones[[#This Row],[Ofrecidas]]*Regiones[[#This Row],[% de nivel de servicio]],"")</f>
        <v>1</v>
      </c>
      <c r="N435" s="7"/>
      <c r="O435" s="12">
        <f>IFERROR(Regiones[[#This Row],[Aten &lt; 20 seg]]/Regiones[[#This Row],[Contestadas]],"")</f>
        <v>0.33333333333333331</v>
      </c>
      <c r="P435" s="13">
        <f>IFERROR(Regiones[[#This Row],[AHT]]*86400,"error")</f>
        <v>596</v>
      </c>
      <c r="Q435" s="13" t="str">
        <f>+VLOOKUP(Regiones[[#This Row],[Cola]],Tabla6[#Data],2,0)</f>
        <v>BUPA</v>
      </c>
      <c r="R435" s="13" t="e">
        <f>+VLOOKUP(Regiones[[#This Row],[Cola]],Tabla68[],2,0)</f>
        <v>#N/A</v>
      </c>
    </row>
    <row r="436" spans="2:18" x14ac:dyDescent="0.3">
      <c r="B436" s="6">
        <v>46206</v>
      </c>
      <c r="C436" s="14">
        <v>0.72916666666666663</v>
      </c>
      <c r="D436" t="s">
        <v>47</v>
      </c>
      <c r="E436" t="s">
        <v>18</v>
      </c>
      <c r="F436">
        <v>5</v>
      </c>
      <c r="G436">
        <v>4</v>
      </c>
      <c r="H436">
        <v>2</v>
      </c>
      <c r="I436" s="2">
        <v>0.33</v>
      </c>
      <c r="J436" s="14">
        <v>5.138888888888889E-3</v>
      </c>
      <c r="K436" s="6">
        <f>INT(Regiones[[#This Row],[Fecha]])</f>
        <v>46206</v>
      </c>
      <c r="L436" s="10">
        <f>IFERROR(Regiones[[#This Row],[Contestadas]]/Regiones[[#This Row],[Ofrecidas]],"")</f>
        <v>0.8</v>
      </c>
      <c r="M436" s="7">
        <f>IFERROR(Regiones[[#This Row],[Ofrecidas]]*Regiones[[#This Row],[% de nivel de servicio]],"")</f>
        <v>1.6500000000000001</v>
      </c>
      <c r="N436" s="7"/>
      <c r="O436" s="12">
        <f>IFERROR(Regiones[[#This Row],[Aten &lt; 20 seg]]/Regiones[[#This Row],[Contestadas]],"")</f>
        <v>0.41250000000000003</v>
      </c>
      <c r="P436" s="13">
        <f>IFERROR(Regiones[[#This Row],[AHT]]*86400,"error")</f>
        <v>444</v>
      </c>
      <c r="Q436" s="13" t="str">
        <f>+VLOOKUP(Regiones[[#This Row],[Cola]],Tabla6[#Data],2,0)</f>
        <v>BUPA</v>
      </c>
      <c r="R436" s="13" t="e">
        <f>+VLOOKUP(Regiones[[#This Row],[Cola]],Tabla68[],2,0)</f>
        <v>#N/A</v>
      </c>
    </row>
    <row r="437" spans="2:18" x14ac:dyDescent="0.3">
      <c r="B437" s="6">
        <v>46206</v>
      </c>
      <c r="C437" s="14">
        <v>0.72916666666666663</v>
      </c>
      <c r="D437" t="s">
        <v>52</v>
      </c>
      <c r="E437" t="s">
        <v>18</v>
      </c>
      <c r="F437">
        <v>1</v>
      </c>
      <c r="G437">
        <v>2</v>
      </c>
      <c r="H437">
        <v>0</v>
      </c>
      <c r="I437" s="2">
        <v>0</v>
      </c>
      <c r="J437" s="14">
        <v>4.9652777777777777E-3</v>
      </c>
      <c r="K437" s="6">
        <f>INT(Regiones[[#This Row],[Fecha]])</f>
        <v>46206</v>
      </c>
      <c r="L437" s="10">
        <f>IFERROR(Regiones[[#This Row],[Contestadas]]/Regiones[[#This Row],[Ofrecidas]],"")</f>
        <v>2</v>
      </c>
      <c r="M437" s="7">
        <f>IFERROR(Regiones[[#This Row],[Ofrecidas]]*Regiones[[#This Row],[% de nivel de servicio]],"")</f>
        <v>0</v>
      </c>
      <c r="N437" s="7"/>
      <c r="O437" s="12">
        <f>IFERROR(Regiones[[#This Row],[Aten &lt; 20 seg]]/Regiones[[#This Row],[Contestadas]],"")</f>
        <v>0</v>
      </c>
      <c r="P437" s="13">
        <f>IFERROR(Regiones[[#This Row],[AHT]]*86400,"error")</f>
        <v>429</v>
      </c>
      <c r="Q437" s="13" t="str">
        <f>+VLOOKUP(Regiones[[#This Row],[Cola]],Tabla6[#Data],2,0)</f>
        <v>BUPA</v>
      </c>
      <c r="R437" s="13" t="e">
        <f>+VLOOKUP(Regiones[[#This Row],[Cola]],Tabla68[],2,0)</f>
        <v>#N/A</v>
      </c>
    </row>
    <row r="438" spans="2:18" x14ac:dyDescent="0.3">
      <c r="B438" s="6">
        <v>46206</v>
      </c>
      <c r="C438" s="14">
        <v>0.72916666666666663</v>
      </c>
      <c r="D438" t="s">
        <v>53</v>
      </c>
      <c r="E438" t="s">
        <v>18</v>
      </c>
      <c r="F438">
        <v>1</v>
      </c>
      <c r="G438">
        <v>1</v>
      </c>
      <c r="H438">
        <v>1</v>
      </c>
      <c r="I438" s="2">
        <v>0</v>
      </c>
      <c r="J438" s="14">
        <v>7.1064814814814819E-3</v>
      </c>
      <c r="K438" s="6">
        <f>INT(Regiones[[#This Row],[Fecha]])</f>
        <v>46206</v>
      </c>
      <c r="L438" s="10">
        <f>IFERROR(Regiones[[#This Row],[Contestadas]]/Regiones[[#This Row],[Ofrecidas]],"")</f>
        <v>1</v>
      </c>
      <c r="M438" s="7">
        <f>IFERROR(Regiones[[#This Row],[Ofrecidas]]*Regiones[[#This Row],[% de nivel de servicio]],"")</f>
        <v>0</v>
      </c>
      <c r="N438" s="7"/>
      <c r="O438" s="12">
        <f>IFERROR(Regiones[[#This Row],[Aten &lt; 20 seg]]/Regiones[[#This Row],[Contestadas]],"")</f>
        <v>0</v>
      </c>
      <c r="P438" s="13">
        <f>IFERROR(Regiones[[#This Row],[AHT]]*86400,"error")</f>
        <v>614</v>
      </c>
      <c r="Q438" s="13" t="str">
        <f>+VLOOKUP(Regiones[[#This Row],[Cola]],Tabla6[#Data],2,0)</f>
        <v>BUPA</v>
      </c>
      <c r="R438" s="13" t="e">
        <f>+VLOOKUP(Regiones[[#This Row],[Cola]],Tabla68[],2,0)</f>
        <v>#N/A</v>
      </c>
    </row>
    <row r="439" spans="2:18" x14ac:dyDescent="0.3">
      <c r="B439" s="6">
        <v>46206</v>
      </c>
      <c r="C439" s="14">
        <v>0.75</v>
      </c>
      <c r="D439" t="s">
        <v>48</v>
      </c>
      <c r="E439" t="s">
        <v>18</v>
      </c>
      <c r="F439">
        <v>0</v>
      </c>
      <c r="G439">
        <v>0</v>
      </c>
      <c r="H439">
        <v>0</v>
      </c>
      <c r="I439" s="2" t="s">
        <v>20</v>
      </c>
      <c r="J439" s="14">
        <v>4.9537037037037041E-3</v>
      </c>
      <c r="K439" s="6">
        <f>INT(Regiones[[#This Row],[Fecha]])</f>
        <v>46206</v>
      </c>
      <c r="L439" s="10" t="str">
        <f>IFERROR(Regiones[[#This Row],[Contestadas]]/Regiones[[#This Row],[Ofrecidas]],"")</f>
        <v/>
      </c>
      <c r="M439" s="7" t="str">
        <f>IFERROR(Regiones[[#This Row],[Ofrecidas]]*Regiones[[#This Row],[% de nivel de servicio]],"")</f>
        <v/>
      </c>
      <c r="N439" s="7"/>
      <c r="O439" s="12" t="str">
        <f>IFERROR(Regiones[[#This Row],[Aten &lt; 20 seg]]/Regiones[[#This Row],[Contestadas]],"")</f>
        <v/>
      </c>
      <c r="P439" s="13">
        <f>IFERROR(Regiones[[#This Row],[AHT]]*86400,"error")</f>
        <v>428.00000000000006</v>
      </c>
      <c r="Q439" s="13" t="str">
        <f>+VLOOKUP(Regiones[[#This Row],[Cola]],Tabla6[#Data],2,0)</f>
        <v>BUPA</v>
      </c>
      <c r="R439" s="13" t="e">
        <f>+VLOOKUP(Regiones[[#This Row],[Cola]],Tabla68[],2,0)</f>
        <v>#N/A</v>
      </c>
    </row>
    <row r="440" spans="2:18" x14ac:dyDescent="0.3">
      <c r="B440" s="6">
        <v>46207</v>
      </c>
      <c r="C440" s="14">
        <v>0.45833333333333331</v>
      </c>
      <c r="D440" t="s">
        <v>47</v>
      </c>
      <c r="E440" t="s">
        <v>18</v>
      </c>
      <c r="F440">
        <v>1</v>
      </c>
      <c r="G440">
        <v>0</v>
      </c>
      <c r="H440">
        <v>0</v>
      </c>
      <c r="I440" s="2" t="s">
        <v>20</v>
      </c>
      <c r="J440" s="14" t="s">
        <v>19</v>
      </c>
      <c r="K440" s="6">
        <f>INT(Regiones[[#This Row],[Fecha]])</f>
        <v>46207</v>
      </c>
      <c r="L440" s="10">
        <f>IFERROR(Regiones[[#This Row],[Contestadas]]/Regiones[[#This Row],[Ofrecidas]],"")</f>
        <v>0</v>
      </c>
      <c r="M440" s="7" t="str">
        <f>IFERROR(Regiones[[#This Row],[Ofrecidas]]*Regiones[[#This Row],[% de nivel de servicio]],"")</f>
        <v/>
      </c>
      <c r="N440" s="7"/>
      <c r="O440" s="12" t="str">
        <f>IFERROR(Regiones[[#This Row],[Aten &lt; 20 seg]]/Regiones[[#This Row],[Contestadas]],"")</f>
        <v/>
      </c>
      <c r="P440" s="13" t="str">
        <f>IFERROR(Regiones[[#This Row],[AHT]]*86400,"error")</f>
        <v>error</v>
      </c>
      <c r="Q440" s="13" t="str">
        <f>+VLOOKUP(Regiones[[#This Row],[Cola]],Tabla6[#Data],2,0)</f>
        <v>BUPA</v>
      </c>
      <c r="R440" s="13" t="e">
        <f>+VLOOKUP(Regiones[[#This Row],[Cola]],Tabla68[],2,0)</f>
        <v>#N/A</v>
      </c>
    </row>
    <row r="441" spans="2:18" x14ac:dyDescent="0.3">
      <c r="B441" s="6">
        <v>46207</v>
      </c>
      <c r="C441" s="14">
        <v>0.47916666666666669</v>
      </c>
      <c r="D441" t="s">
        <v>47</v>
      </c>
      <c r="E441" t="s">
        <v>18</v>
      </c>
      <c r="F441">
        <v>1</v>
      </c>
      <c r="G441">
        <v>0</v>
      </c>
      <c r="H441">
        <v>1</v>
      </c>
      <c r="I441" s="2">
        <v>0</v>
      </c>
      <c r="J441" s="14" t="s">
        <v>19</v>
      </c>
      <c r="K441" s="6">
        <f>INT(Regiones[[#This Row],[Fecha]])</f>
        <v>46207</v>
      </c>
      <c r="L441" s="10">
        <f>IFERROR(Regiones[[#This Row],[Contestadas]]/Regiones[[#This Row],[Ofrecidas]],"")</f>
        <v>0</v>
      </c>
      <c r="M441" s="7">
        <f>IFERROR(Regiones[[#This Row],[Ofrecidas]]*Regiones[[#This Row],[% de nivel de servicio]],"")</f>
        <v>0</v>
      </c>
      <c r="N441" s="7"/>
      <c r="O441" s="12" t="str">
        <f>IFERROR(Regiones[[#This Row],[Aten &lt; 20 seg]]/Regiones[[#This Row],[Contestadas]],"")</f>
        <v/>
      </c>
      <c r="P441" s="13" t="str">
        <f>IFERROR(Regiones[[#This Row],[AHT]]*86400,"error")</f>
        <v>error</v>
      </c>
      <c r="Q441" s="13" t="str">
        <f>+VLOOKUP(Regiones[[#This Row],[Cola]],Tabla6[#Data],2,0)</f>
        <v>BUPA</v>
      </c>
      <c r="R441" s="13" t="e">
        <f>+VLOOKUP(Regiones[[#This Row],[Cola]],Tabla68[],2,0)</f>
        <v>#N/A</v>
      </c>
    </row>
    <row r="442" spans="2:18" x14ac:dyDescent="0.3">
      <c r="B442" s="6">
        <v>46207</v>
      </c>
      <c r="C442" s="14">
        <v>0.47916666666666669</v>
      </c>
      <c r="D442" t="s">
        <v>49</v>
      </c>
      <c r="E442" t="s">
        <v>18</v>
      </c>
      <c r="F442">
        <v>1</v>
      </c>
      <c r="G442">
        <v>0</v>
      </c>
      <c r="H442">
        <v>1</v>
      </c>
      <c r="I442" s="2">
        <v>0</v>
      </c>
      <c r="J442" s="14" t="s">
        <v>19</v>
      </c>
      <c r="K442" s="6">
        <f>INT(Regiones[[#This Row],[Fecha]])</f>
        <v>46207</v>
      </c>
      <c r="L442" s="10">
        <f>IFERROR(Regiones[[#This Row],[Contestadas]]/Regiones[[#This Row],[Ofrecidas]],"")</f>
        <v>0</v>
      </c>
      <c r="M442" s="7">
        <f>IFERROR(Regiones[[#This Row],[Ofrecidas]]*Regiones[[#This Row],[% de nivel de servicio]],"")</f>
        <v>0</v>
      </c>
      <c r="N442" s="7"/>
      <c r="O442" s="12" t="str">
        <f>IFERROR(Regiones[[#This Row],[Aten &lt; 20 seg]]/Regiones[[#This Row],[Contestadas]],"")</f>
        <v/>
      </c>
      <c r="P442" s="13" t="str">
        <f>IFERROR(Regiones[[#This Row],[AHT]]*86400,"error")</f>
        <v>error</v>
      </c>
      <c r="Q442" s="13" t="str">
        <f>+VLOOKUP(Regiones[[#This Row],[Cola]],Tabla6[#Data],2,0)</f>
        <v>BUPA</v>
      </c>
      <c r="R442" s="13" t="e">
        <f>+VLOOKUP(Regiones[[#This Row],[Cola]],Tabla68[],2,0)</f>
        <v>#N/A</v>
      </c>
    </row>
    <row r="443" spans="2:18" x14ac:dyDescent="0.3">
      <c r="B443" s="6">
        <v>46207</v>
      </c>
      <c r="C443" s="14">
        <v>0.5</v>
      </c>
      <c r="D443" t="s">
        <v>47</v>
      </c>
      <c r="E443" t="s">
        <v>18</v>
      </c>
      <c r="F443">
        <v>1</v>
      </c>
      <c r="G443">
        <v>0</v>
      </c>
      <c r="H443">
        <v>1</v>
      </c>
      <c r="I443" s="2">
        <v>0</v>
      </c>
      <c r="J443" s="14" t="s">
        <v>19</v>
      </c>
      <c r="K443" s="6">
        <f>INT(Regiones[[#This Row],[Fecha]])</f>
        <v>46207</v>
      </c>
      <c r="L443" s="10">
        <f>IFERROR(Regiones[[#This Row],[Contestadas]]/Regiones[[#This Row],[Ofrecidas]],"")</f>
        <v>0</v>
      </c>
      <c r="M443" s="7">
        <f>IFERROR(Regiones[[#This Row],[Ofrecidas]]*Regiones[[#This Row],[% de nivel de servicio]],"")</f>
        <v>0</v>
      </c>
      <c r="N443" s="7"/>
      <c r="O443" s="12" t="str">
        <f>IFERROR(Regiones[[#This Row],[Aten &lt; 20 seg]]/Regiones[[#This Row],[Contestadas]],"")</f>
        <v/>
      </c>
      <c r="P443" s="13" t="str">
        <f>IFERROR(Regiones[[#This Row],[AHT]]*86400,"error")</f>
        <v>error</v>
      </c>
      <c r="Q443" s="13" t="str">
        <f>+VLOOKUP(Regiones[[#This Row],[Cola]],Tabla6[#Data],2,0)</f>
        <v>BUPA</v>
      </c>
      <c r="R443" s="13" t="e">
        <f>+VLOOKUP(Regiones[[#This Row],[Cola]],Tabla68[],2,0)</f>
        <v>#N/A</v>
      </c>
    </row>
    <row r="444" spans="2:18" x14ac:dyDescent="0.3">
      <c r="B444" s="6">
        <v>46207</v>
      </c>
      <c r="C444" s="14">
        <v>0.52083333333333337</v>
      </c>
      <c r="D444" t="s">
        <v>47</v>
      </c>
      <c r="E444" t="s">
        <v>18</v>
      </c>
      <c r="F444">
        <v>2</v>
      </c>
      <c r="G444">
        <v>0</v>
      </c>
      <c r="H444">
        <v>3</v>
      </c>
      <c r="I444" s="2">
        <v>0</v>
      </c>
      <c r="J444" s="14" t="s">
        <v>19</v>
      </c>
      <c r="K444" s="6">
        <f>INT(Regiones[[#This Row],[Fecha]])</f>
        <v>46207</v>
      </c>
      <c r="L444" s="10">
        <f>IFERROR(Regiones[[#This Row],[Contestadas]]/Regiones[[#This Row],[Ofrecidas]],"")</f>
        <v>0</v>
      </c>
      <c r="M444" s="7">
        <f>IFERROR(Regiones[[#This Row],[Ofrecidas]]*Regiones[[#This Row],[% de nivel de servicio]],"")</f>
        <v>0</v>
      </c>
      <c r="N444" s="7"/>
      <c r="O444" s="12" t="str">
        <f>IFERROR(Regiones[[#This Row],[Aten &lt; 20 seg]]/Regiones[[#This Row],[Contestadas]],"")</f>
        <v/>
      </c>
      <c r="P444" s="13" t="str">
        <f>IFERROR(Regiones[[#This Row],[AHT]]*86400,"error")</f>
        <v>error</v>
      </c>
      <c r="Q444" s="13" t="str">
        <f>+VLOOKUP(Regiones[[#This Row],[Cola]],Tabla6[#Data],2,0)</f>
        <v>BUPA</v>
      </c>
      <c r="R444" s="13" t="e">
        <f>+VLOOKUP(Regiones[[#This Row],[Cola]],Tabla68[],2,0)</f>
        <v>#N/A</v>
      </c>
    </row>
    <row r="445" spans="2:18" x14ac:dyDescent="0.3">
      <c r="B445" s="6">
        <v>46207</v>
      </c>
      <c r="C445" s="14">
        <v>0.54166666666666663</v>
      </c>
      <c r="D445" t="s">
        <v>49</v>
      </c>
      <c r="E445" t="s">
        <v>18</v>
      </c>
      <c r="F445">
        <v>1</v>
      </c>
      <c r="G445">
        <v>0</v>
      </c>
      <c r="H445">
        <v>0</v>
      </c>
      <c r="I445" s="2" t="s">
        <v>20</v>
      </c>
      <c r="J445" s="14" t="s">
        <v>19</v>
      </c>
      <c r="K445" s="6">
        <f>INT(Regiones[[#This Row],[Fecha]])</f>
        <v>46207</v>
      </c>
      <c r="L445" s="10">
        <f>IFERROR(Regiones[[#This Row],[Contestadas]]/Regiones[[#This Row],[Ofrecidas]],"")</f>
        <v>0</v>
      </c>
      <c r="M445" s="7" t="str">
        <f>IFERROR(Regiones[[#This Row],[Ofrecidas]]*Regiones[[#This Row],[% de nivel de servicio]],"")</f>
        <v/>
      </c>
      <c r="N445" s="7"/>
      <c r="O445" s="12" t="str">
        <f>IFERROR(Regiones[[#This Row],[Aten &lt; 20 seg]]/Regiones[[#This Row],[Contestadas]],"")</f>
        <v/>
      </c>
      <c r="P445" s="13" t="str">
        <f>IFERROR(Regiones[[#This Row],[AHT]]*86400,"error")</f>
        <v>error</v>
      </c>
      <c r="Q445" s="13" t="str">
        <f>+VLOOKUP(Regiones[[#This Row],[Cola]],Tabla6[#Data],2,0)</f>
        <v>BUPA</v>
      </c>
      <c r="R445" s="13" t="e">
        <f>+VLOOKUP(Regiones[[#This Row],[Cola]],Tabla68[],2,0)</f>
        <v>#N/A</v>
      </c>
    </row>
    <row r="446" spans="2:18" x14ac:dyDescent="0.3">
      <c r="B446" s="6">
        <v>46207</v>
      </c>
      <c r="C446" s="14">
        <v>0.5625</v>
      </c>
      <c r="D446" t="s">
        <v>49</v>
      </c>
      <c r="E446" t="s">
        <v>18</v>
      </c>
      <c r="F446">
        <v>0</v>
      </c>
      <c r="G446">
        <v>0</v>
      </c>
      <c r="H446">
        <v>1</v>
      </c>
      <c r="I446" s="2">
        <v>0</v>
      </c>
      <c r="J446" s="14" t="s">
        <v>19</v>
      </c>
      <c r="K446" s="6">
        <f>INT(Regiones[[#This Row],[Fecha]])</f>
        <v>46207</v>
      </c>
      <c r="L446" s="10" t="str">
        <f>IFERROR(Regiones[[#This Row],[Contestadas]]/Regiones[[#This Row],[Ofrecidas]],"")</f>
        <v/>
      </c>
      <c r="M446" s="7">
        <f>IFERROR(Regiones[[#This Row],[Ofrecidas]]*Regiones[[#This Row],[% de nivel de servicio]],"")</f>
        <v>0</v>
      </c>
      <c r="N446" s="7"/>
      <c r="O446" s="12" t="str">
        <f>IFERROR(Regiones[[#This Row],[Aten &lt; 20 seg]]/Regiones[[#This Row],[Contestadas]],"")</f>
        <v/>
      </c>
      <c r="P446" s="13" t="str">
        <f>IFERROR(Regiones[[#This Row],[AHT]]*86400,"error")</f>
        <v>error</v>
      </c>
      <c r="Q446" s="13" t="str">
        <f>+VLOOKUP(Regiones[[#This Row],[Cola]],Tabla6[#Data],2,0)</f>
        <v>BUPA</v>
      </c>
      <c r="R446" s="13" t="e">
        <f>+VLOOKUP(Regiones[[#This Row],[Cola]],Tabla68[],2,0)</f>
        <v>#N/A</v>
      </c>
    </row>
    <row r="447" spans="2:18" x14ac:dyDescent="0.3">
      <c r="B447" s="6">
        <v>46207</v>
      </c>
      <c r="C447" s="14">
        <v>0.5625</v>
      </c>
      <c r="D447" t="s">
        <v>48</v>
      </c>
      <c r="E447" t="s">
        <v>18</v>
      </c>
      <c r="F447">
        <v>1</v>
      </c>
      <c r="G447">
        <v>0</v>
      </c>
      <c r="H447">
        <v>1</v>
      </c>
      <c r="I447" s="2">
        <v>0</v>
      </c>
      <c r="J447" s="14" t="s">
        <v>19</v>
      </c>
      <c r="K447" s="6">
        <f>INT(Regiones[[#This Row],[Fecha]])</f>
        <v>46207</v>
      </c>
      <c r="L447" s="10">
        <f>IFERROR(Regiones[[#This Row],[Contestadas]]/Regiones[[#This Row],[Ofrecidas]],"")</f>
        <v>0</v>
      </c>
      <c r="M447" s="7">
        <f>IFERROR(Regiones[[#This Row],[Ofrecidas]]*Regiones[[#This Row],[% de nivel de servicio]],"")</f>
        <v>0</v>
      </c>
      <c r="N447" s="7"/>
      <c r="O447" s="12" t="str">
        <f>IFERROR(Regiones[[#This Row],[Aten &lt; 20 seg]]/Regiones[[#This Row],[Contestadas]],"")</f>
        <v/>
      </c>
      <c r="P447" s="13" t="str">
        <f>IFERROR(Regiones[[#This Row],[AHT]]*86400,"error")</f>
        <v>error</v>
      </c>
      <c r="Q447" s="13" t="str">
        <f>+VLOOKUP(Regiones[[#This Row],[Cola]],Tabla6[#Data],2,0)</f>
        <v>BUPA</v>
      </c>
      <c r="R447" s="13" t="e">
        <f>+VLOOKUP(Regiones[[#This Row],[Cola]],Tabla68[],2,0)</f>
        <v>#N/A</v>
      </c>
    </row>
  </sheetData>
  <phoneticPr fontId="5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C174-46E6-434E-B37E-B019BCFBB445}">
  <dimension ref="B1:AU1493"/>
  <sheetViews>
    <sheetView showGridLines="0" topLeftCell="U10" zoomScale="70" zoomScaleNormal="70" workbookViewId="0">
      <selection activeCell="AB28" sqref="AB28"/>
    </sheetView>
  </sheetViews>
  <sheetFormatPr baseColWidth="10" defaultColWidth="11.44140625" defaultRowHeight="14.4" outlineLevelCol="1" x14ac:dyDescent="0.3"/>
  <cols>
    <col min="1" max="1" width="1.33203125" style="19" customWidth="1"/>
    <col min="2" max="2" width="14.5546875" style="19" hidden="1" customWidth="1" outlineLevel="1"/>
    <col min="3" max="3" width="17.44140625" style="19" hidden="1" customWidth="1" outlineLevel="1"/>
    <col min="4" max="10" width="9.5546875" style="19" hidden="1" customWidth="1" outlineLevel="1"/>
    <col min="11" max="11" width="1.6640625" style="19" customWidth="1" collapsed="1"/>
    <col min="12" max="12" width="17.88671875" style="19" bestFit="1" customWidth="1"/>
    <col min="13" max="13" width="9.109375" style="19" bestFit="1" customWidth="1"/>
    <col min="14" max="14" width="12.109375" style="19" bestFit="1" customWidth="1"/>
    <col min="15" max="15" width="12.109375" style="19" customWidth="1"/>
    <col min="16" max="16" width="9.88671875" style="19" bestFit="1" customWidth="1"/>
    <col min="17" max="17" width="8" style="19" bestFit="1" customWidth="1"/>
    <col min="18" max="18" width="12.5546875" style="19" bestFit="1" customWidth="1"/>
    <col min="19" max="19" width="14.5546875" style="19" bestFit="1" customWidth="1"/>
    <col min="20" max="20" width="8.88671875" style="19" bestFit="1" customWidth="1"/>
    <col min="21" max="21" width="9.33203125" style="19" bestFit="1" customWidth="1"/>
    <col min="22" max="22" width="8.6640625" style="19" bestFit="1" customWidth="1"/>
    <col min="23" max="23" width="14.5546875" style="19" bestFit="1" customWidth="1"/>
    <col min="24" max="24" width="14.33203125" style="19" customWidth="1"/>
    <col min="25" max="25" width="14.6640625" style="19" hidden="1" customWidth="1"/>
    <col min="26" max="27" width="14.33203125" style="19" customWidth="1"/>
    <col min="28" max="28" width="11.6640625" style="19" bestFit="1" customWidth="1"/>
    <col min="29" max="29" width="8.6640625" style="19" bestFit="1" customWidth="1"/>
    <col min="30" max="30" width="16.88671875" style="19" bestFit="1" customWidth="1"/>
    <col min="31" max="32" width="12.33203125" style="19" customWidth="1"/>
    <col min="33" max="39" width="11.44140625" style="19"/>
    <col min="40" max="40" width="17.44140625" style="19" bestFit="1" customWidth="1"/>
    <col min="41" max="41" width="11.5546875" style="19" bestFit="1" customWidth="1"/>
    <col min="42" max="43" width="11.44140625" style="19"/>
    <col min="44" max="44" width="11.5546875" style="19" hidden="1" customWidth="1"/>
    <col min="45" max="45" width="20.44140625" style="19" hidden="1" customWidth="1"/>
    <col min="46" max="47" width="11.5546875" style="19" hidden="1" customWidth="1"/>
    <col min="48" max="49" width="0" style="19" hidden="1" customWidth="1"/>
    <col min="50" max="16384" width="11.44140625" style="19"/>
  </cols>
  <sheetData>
    <row r="1" spans="2:47" hidden="1" x14ac:dyDescent="0.3"/>
    <row r="2" spans="2:47" ht="15" thickBot="1" x14ac:dyDescent="0.35">
      <c r="X2" s="57" t="s">
        <v>22</v>
      </c>
      <c r="Y2" s="31"/>
      <c r="Z2" s="31"/>
      <c r="AA2" s="31"/>
    </row>
    <row r="3" spans="2:47" ht="15" thickBot="1" x14ac:dyDescent="0.35">
      <c r="L3" s="58" t="s">
        <v>51</v>
      </c>
      <c r="M3" s="59"/>
      <c r="W3" s="43" t="s">
        <v>23</v>
      </c>
      <c r="X3" s="66">
        <v>46209</v>
      </c>
      <c r="AS3" s="19">
        <v>1</v>
      </c>
      <c r="AT3" s="19">
        <v>6</v>
      </c>
      <c r="AU3" s="19">
        <v>15</v>
      </c>
    </row>
    <row r="4" spans="2:47" s="64" customFormat="1" ht="18" customHeight="1" x14ac:dyDescent="0.3">
      <c r="L4" s="48" t="s">
        <v>24</v>
      </c>
      <c r="M4" s="48" t="s">
        <v>25</v>
      </c>
      <c r="N4" s="48" t="s">
        <v>26</v>
      </c>
      <c r="O4" s="48" t="s">
        <v>58</v>
      </c>
      <c r="P4" s="48" t="s">
        <v>27</v>
      </c>
      <c r="Q4" s="48" t="s">
        <v>28</v>
      </c>
      <c r="R4" s="48" t="s">
        <v>29</v>
      </c>
      <c r="S4" s="48" t="s">
        <v>30</v>
      </c>
      <c r="T4" s="48" t="s">
        <v>31</v>
      </c>
      <c r="U4" s="48" t="s">
        <v>32</v>
      </c>
      <c r="W4" s="51" t="s">
        <v>33</v>
      </c>
      <c r="X4" s="52" t="s">
        <v>34</v>
      </c>
      <c r="Y4" s="52" t="s">
        <v>35</v>
      </c>
      <c r="Z4" s="52" t="s">
        <v>36</v>
      </c>
      <c r="AA4" s="53" t="s">
        <v>37</v>
      </c>
      <c r="AB4" s="54" t="s">
        <v>38</v>
      </c>
      <c r="AS4" s="64" t="e" cm="1">
        <f t="array" ref="AS4">SUMPRODUCT(_xlfn.CHOOSECOLS(_xlfn._xlws.FILTER(_xlfn.CHOOSECOLS(Regiones[#Data],1,6,15),_xlfn.CHOOSECOLS(_xlfn.CHOOSECOLS(Regiones[#Data],1,6,15),1)=L7),2),_xlfn.CHOOSECOLS(_xlfn._xlws.FILTER(_xlfn.CHOOSECOLS(Regiones[#Data],1,6,15),_xlfn.CHOOSECOLS(_xlfn.CHOOSECOLS(Regiones[#Data],1,6,15),1)=L7),3)/SUM(_xlfn.CHOOSECOLS(_xlfn._xlws.FILTER(_xlfn.CHOOSECOLS(Regiones[#Data],1,6,15),_xlfn.CHOOSECOLS(_xlfn.CHOOSECOLS(Regiones[#Data],1,6,15),1)=L7),2)))</f>
        <v>#VALUE!</v>
      </c>
    </row>
    <row r="5" spans="2:47" x14ac:dyDescent="0.3">
      <c r="B5" s="37" t="s">
        <v>0</v>
      </c>
      <c r="C5" s="38" t="s">
        <v>1</v>
      </c>
      <c r="D5" s="39" t="s">
        <v>26</v>
      </c>
      <c r="E5" s="39" t="s">
        <v>39</v>
      </c>
      <c r="F5" s="39" t="s">
        <v>25</v>
      </c>
      <c r="G5" s="39" t="s">
        <v>14</v>
      </c>
      <c r="H5" s="39" t="s">
        <v>40</v>
      </c>
      <c r="I5" s="39" t="s">
        <v>41</v>
      </c>
      <c r="L5" s="40">
        <v>46204</v>
      </c>
      <c r="M5" s="41">
        <f>+SUMIFS(Tabla54[Forecast],Tabla54[Fecha],$L5)</f>
        <v>664.46310155517267</v>
      </c>
      <c r="N5" s="41">
        <f>+SUMIFS(Regiones[Ofrecidas],Regiones[Fecha2],'BUPA Seguros'!$L5,Regiones[Skill],'BUPA Seguros'!$L$3)</f>
        <v>687</v>
      </c>
      <c r="O5" s="67">
        <f>N5/M5-1</f>
        <v>3.3917456653469236E-2</v>
      </c>
      <c r="P5" s="41">
        <f>+SUMIFS(Regiones[Contestadas],Regiones[Fecha2],'BUPA Seguros'!$L5,Regiones[Skill],'BUPA Seguros'!$L$3)</f>
        <v>614</v>
      </c>
      <c r="Q5" s="41">
        <f>+SUMIFS(Regiones[Aten &lt; 20 seg],Regiones[Fecha2],'BUPA Seguros'!$L5,Regiones[Skill],'BUPA Seguros'!$L$3)</f>
        <v>307.91000000000003</v>
      </c>
      <c r="R5" s="41">
        <f t="shared" ref="R5:R35" si="0">+N5-P5</f>
        <v>73</v>
      </c>
      <c r="S5" s="42">
        <f t="shared" ref="S5:S36" si="1">IFERROR(R5/N5,"")</f>
        <v>0.10625909752547306</v>
      </c>
      <c r="T5" s="42">
        <f t="shared" ref="T5:T36" si="2">IFERROR(Q5/N5,"")</f>
        <v>0.4481950509461427</v>
      </c>
      <c r="U5" s="42">
        <f t="shared" ref="U5:U36" si="3">IFERROR(P5/N5,"")</f>
        <v>0.89374090247452698</v>
      </c>
      <c r="W5" s="49">
        <v>0.27083333333333298</v>
      </c>
      <c r="X5" s="22">
        <f>+SUMIFS(Tabla54[Recibidas],Tabla54[Fecha],$X$3,Tabla54[Intervalo],$W5)</f>
        <v>0</v>
      </c>
      <c r="Y5" s="23">
        <f>+SUMIFS(Tabla54[Forecast],Tabla54[Fecha],$X$3,Tabla54[Intervalo],$W5)</f>
        <v>0</v>
      </c>
      <c r="Z5" s="22">
        <f>+SUMIFS(Tabla54[Atendidas],Tabla54[Fecha],$X$3,Tabla54[Intervalo],$W5)</f>
        <v>0</v>
      </c>
      <c r="AA5" s="24">
        <f>+X5-Z5</f>
        <v>0</v>
      </c>
      <c r="AB5" s="55">
        <f>+SUMIFS(Regiones[Aten &lt; 20 seg],Regiones[Fecha],'BUPA Seguros'!$X$3,Regiones[Intervalo],'BUPA Seguros'!$W5,Regiones[Skill],'BUPA Seguros'!$L$3)</f>
        <v>0</v>
      </c>
      <c r="AE5" s="60"/>
      <c r="AS5" s="19" t="e" cm="1">
        <f t="array" ref="AS5">SUMPRODUCT(_xlfn.CHOOSECOLS(_xlfn._xlws.FILTER(_xlfn.CHOOSECOLS(Regiones[#Data],1,6,15),_xlfn.CHOOSECOLS(_xlfn.CHOOSECOLS(Regiones[#Data],1,6,15),1)=L8),2),_xlfn.CHOOSECOLS(_xlfn._xlws.FILTER(_xlfn.CHOOSECOLS(Regiones[#Data],1,6,15),_xlfn.CHOOSECOLS(_xlfn.CHOOSECOLS(Regiones[#Data],1,6,15),1)=L8),3)/SUM(_xlfn.CHOOSECOLS(_xlfn._xlws.FILTER(_xlfn.CHOOSECOLS(Regiones[#Data],1,6,15),_xlfn.CHOOSECOLS(_xlfn.CHOOSECOLS(Regiones[#Data],1,6,15),1)=L8),2)))</f>
        <v>#VALUE!</v>
      </c>
    </row>
    <row r="6" spans="2:47" ht="15" thickBot="1" x14ac:dyDescent="0.35">
      <c r="B6" s="17">
        <v>46204</v>
      </c>
      <c r="C6" s="18">
        <v>0</v>
      </c>
      <c r="D6" s="19">
        <f>+SUMIFS(Regiones[Ofrecidas],Regiones[Fecha],Tabla54[[#This Row],[Fecha]],Regiones[Intervalo],Tabla54[[#This Row],[Intervalo]],Regiones[Skill],'BUPA Seguros'!$L$3)</f>
        <v>0</v>
      </c>
      <c r="E6" s="19">
        <f>+SUMIFS(Regiones[Contestadas],Regiones[Fecha],Tabla54[[#This Row],[Fecha]],Regiones[Intervalo],Tabla54[[#This Row],[Intervalo]],Regiones[Skill],'BUPA Seguros'!$L$3)</f>
        <v>0</v>
      </c>
      <c r="F6" s="20">
        <v>0</v>
      </c>
      <c r="G6" s="19">
        <f>IFERROR(SUMIFS(Regiones[TMO],Regiones[Fecha],Tabla54[[#This Row],[Fecha]],Regiones[Intervalo],Tabla54[[#This Row],[Intervalo]],Regiones[Skill],'BUPA Seguros'!$L$3)/Tabla54[[#This Row],[Atendidas]],0)</f>
        <v>0</v>
      </c>
      <c r="H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" s="21">
        <f>IFERROR(Tabla54[[#This Row],[Atendidas]]/Tabla54[[#This Row],[Recibidas]],0)</f>
        <v>0</v>
      </c>
      <c r="L6" s="40">
        <f>+L5+1</f>
        <v>46205</v>
      </c>
      <c r="M6" s="41">
        <f>+SUMIFS(Tabla54[Forecast],Tabla54[Fecha],$L6)</f>
        <v>496.21216195829737</v>
      </c>
      <c r="N6" s="41">
        <f>+SUMIFS(Regiones[Ofrecidas],Regiones[Fecha2],'BUPA Seguros'!$L6,Regiones[Skill],'BUPA Seguros'!$L$3)</f>
        <v>576</v>
      </c>
      <c r="O6" s="67">
        <f t="shared" ref="O6:O7" si="4">N6/M6-1</f>
        <v>0.16079379781184833</v>
      </c>
      <c r="P6" s="41">
        <f>+SUMIFS(Regiones[Contestadas],Regiones[Fecha2],'BUPA Seguros'!$L6,Regiones[Skill],'BUPA Seguros'!$L$3)</f>
        <v>529</v>
      </c>
      <c r="Q6" s="41">
        <f>+SUMIFS(Regiones[Aten &lt; 20 seg],Regiones[Fecha2],'BUPA Seguros'!$L6,Regiones[Skill],'BUPA Seguros'!$L$3)</f>
        <v>342.95000000000005</v>
      </c>
      <c r="R6" s="41">
        <f t="shared" si="0"/>
        <v>47</v>
      </c>
      <c r="S6" s="42">
        <f t="shared" si="1"/>
        <v>8.1597222222222224E-2</v>
      </c>
      <c r="T6" s="42">
        <f t="shared" si="2"/>
        <v>0.59539930555555565</v>
      </c>
      <c r="U6" s="42">
        <f t="shared" si="3"/>
        <v>0.91840277777777779</v>
      </c>
      <c r="W6" s="49">
        <v>0.29166666666666702</v>
      </c>
      <c r="X6" s="22">
        <f>+SUMIFS(Tabla54[Recibidas],Tabla54[Fecha],$X$3,Tabla54[Intervalo],$W6)</f>
        <v>0</v>
      </c>
      <c r="Y6" s="23">
        <f>+SUMIFS(Tabla54[Forecast],Tabla54[Fecha],$X$3,Tabla54[Intervalo],$W6)</f>
        <v>0</v>
      </c>
      <c r="Z6" s="22">
        <f>+SUMIFS(Tabla54[Atendidas],Tabla54[Fecha],$X$3,Tabla54[Intervalo],$W6)</f>
        <v>0</v>
      </c>
      <c r="AA6" s="24">
        <f t="shared" ref="AA6:AA32" si="5">+X6-Z6</f>
        <v>0</v>
      </c>
      <c r="AB6" s="55">
        <f>+SUMIFS(Regiones[Aten &lt; 20 seg],Regiones[Fecha],'BUPA Seguros'!$X$3,Regiones[Intervalo],'BUPA Seguros'!$W6,Regiones[Skill],'BUPA Seguros'!$L$3)</f>
        <v>0</v>
      </c>
    </row>
    <row r="7" spans="2:47" x14ac:dyDescent="0.3">
      <c r="B7" s="25">
        <f>+B6</f>
        <v>46204</v>
      </c>
      <c r="C7" s="26">
        <v>2.0833333333333332E-2</v>
      </c>
      <c r="D7" s="19">
        <f>+SUMIFS(Regiones[Ofrecidas],Regiones[Fecha],Tabla54[[#This Row],[Fecha]],Regiones[Intervalo],Tabla54[[#This Row],[Intervalo]],Regiones[Skill],'BUPA Seguros'!$L$3)</f>
        <v>0</v>
      </c>
      <c r="E7" s="19">
        <f>+SUMIFS(Regiones[Contestadas],Regiones[Fecha],Tabla54[[#This Row],[Fecha]],Regiones[Intervalo],Tabla54[[#This Row],[Intervalo]],Regiones[Skill],'BUPA Seguros'!$L$3)</f>
        <v>0</v>
      </c>
      <c r="F7" s="20">
        <v>0</v>
      </c>
      <c r="G7" s="19">
        <f>IFERROR(SUMIFS(Regiones[TMO],Regiones[Fecha],Tabla54[[#This Row],[Fecha]],Regiones[Intervalo],Tabla54[[#This Row],[Intervalo]],Regiones[Skill],'BUPA Seguros'!$L$3)/Tabla54[[#This Row],[Atendidas]],0)</f>
        <v>0</v>
      </c>
      <c r="H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" s="21">
        <f>IFERROR(Tabla54[[#This Row],[Atendidas]]/Tabla54[[#This Row],[Recibidas]],0)</f>
        <v>0</v>
      </c>
      <c r="L7" s="40">
        <f t="shared" ref="L7:L34" si="6">+L6+1</f>
        <v>46206</v>
      </c>
      <c r="M7" s="41">
        <f>+SUMIFS(Tabla54[Forecast],Tabla54[Fecha],$L7)</f>
        <v>532.93698633731071</v>
      </c>
      <c r="N7" s="41">
        <f>+SUMIFS(Regiones[Ofrecidas],Regiones[Fecha2],'BUPA Seguros'!$L7,Regiones[Skill],'BUPA Seguros'!$L$3)</f>
        <v>525</v>
      </c>
      <c r="O7" s="67">
        <f t="shared" si="4"/>
        <v>-1.4892917062969913E-2</v>
      </c>
      <c r="P7" s="41">
        <f>+SUMIFS(Regiones[Contestadas],Regiones[Fecha2],'BUPA Seguros'!$L7,Regiones[Skill],'BUPA Seguros'!$L$3)</f>
        <v>485</v>
      </c>
      <c r="Q7" s="41">
        <f>+SUMIFS(Regiones[Aten &lt; 20 seg],Regiones[Fecha2],'BUPA Seguros'!$L7,Regiones[Skill],'BUPA Seguros'!$L$3)</f>
        <v>292.27</v>
      </c>
      <c r="R7" s="41">
        <f t="shared" si="0"/>
        <v>40</v>
      </c>
      <c r="S7" s="42">
        <f t="shared" si="1"/>
        <v>7.6190476190476197E-2</v>
      </c>
      <c r="T7" s="42">
        <f t="shared" si="2"/>
        <v>0.55670476190476192</v>
      </c>
      <c r="U7" s="42">
        <f t="shared" si="3"/>
        <v>0.92380952380952386</v>
      </c>
      <c r="W7" s="49">
        <v>0.3125</v>
      </c>
      <c r="X7" s="22">
        <f>+SUMIFS(Tabla54[Recibidas],Tabla54[Fecha],$X$3,Tabla54[Intervalo],$W7)</f>
        <v>0</v>
      </c>
      <c r="Y7" s="23">
        <f>+SUMIFS(Tabla54[Forecast],Tabla54[Fecha],$X$3,Tabla54[Intervalo],$W7)</f>
        <v>0</v>
      </c>
      <c r="Z7" s="22">
        <f>+SUMIFS(Tabla54[Atendidas],Tabla54[Fecha],$X$3,Tabla54[Intervalo],$W7)</f>
        <v>0</v>
      </c>
      <c r="AA7" s="24">
        <f t="shared" si="5"/>
        <v>0</v>
      </c>
      <c r="AB7" s="55">
        <f>+SUMIFS(Regiones[Aten &lt; 20 seg],Regiones[Fecha],'BUPA Seguros'!$X$3,Regiones[Intervalo],'BUPA Seguros'!$W7,Regiones[Skill],'BUPA Seguros'!$L$3)</f>
        <v>0</v>
      </c>
      <c r="AN7" s="43" t="s">
        <v>42</v>
      </c>
      <c r="AO7" s="44" t="e">
        <f>+SUM(AB5:AB32)/SUM(X5:X32)</f>
        <v>#DIV/0!</v>
      </c>
      <c r="AR7" s="61">
        <f t="shared" ref="AR7:AR12" si="7">+AS7/86400</f>
        <v>4.3830660557464679E-3</v>
      </c>
      <c r="AS7" s="19" cm="1">
        <f t="array" ref="AS7">SUMPRODUCT(_xlfn.CHOOSECOLS(_xlfn._xlws.FILTER(_xlfn.CHOOSECOLS(Regiones[#Data],1,6,15,16),(_xlfn.CHOOSECOLS(_xlfn.CHOOSECOLS(Regiones[#Data],1,6,15,16),1)=L7)*(_xlfn.CHOOSECOLS(_xlfn.CHOOSECOLS(Regiones[#Data],1,6,15,16),4)=$L$3)),2),_xlfn.CHOOSECOLS(_xlfn._xlws.FILTER(_xlfn.CHOOSECOLS(Regiones[#Data],1,6,15,16),(_xlfn.CHOOSECOLS(_xlfn.CHOOSECOLS(Regiones[#Data],1,6,15,16),1)=L7)*(_xlfn.CHOOSECOLS(_xlfn.CHOOSECOLS(Regiones[#Data],1,6,15,16),4)=$L$3)),3))/SUM(_xlfn.CHOOSECOLS(_xlfn._xlws.FILTER(_xlfn.CHOOSECOLS(Regiones[#Data],1,6,15,16),(_xlfn.CHOOSECOLS(_xlfn.CHOOSECOLS(Regiones[#Data],1,6,15,16),1)=L7)*(_xlfn.CHOOSECOLS(_xlfn.CHOOSECOLS(Regiones[#Data],1,6,15,16),4)=$L$3)),2))</f>
        <v>378.69690721649482</v>
      </c>
      <c r="AT7" s="19" t="s">
        <v>43</v>
      </c>
    </row>
    <row r="8" spans="2:47" ht="15" thickBot="1" x14ac:dyDescent="0.35">
      <c r="B8" s="27">
        <f t="shared" ref="B8:B53" si="8">+B7</f>
        <v>46204</v>
      </c>
      <c r="C8" s="18">
        <v>4.1666666666666699E-2</v>
      </c>
      <c r="D8" s="19">
        <f>+SUMIFS(Regiones[Ofrecidas],Regiones[Fecha],Tabla54[[#This Row],[Fecha]],Regiones[Intervalo],Tabla54[[#This Row],[Intervalo]],Regiones[Skill],'BUPA Seguros'!$L$3)</f>
        <v>0</v>
      </c>
      <c r="E8" s="19">
        <f>+SUMIFS(Regiones[Contestadas],Regiones[Fecha],Tabla54[[#This Row],[Fecha]],Regiones[Intervalo],Tabla54[[#This Row],[Intervalo]],Regiones[Skill],'BUPA Seguros'!$L$3)</f>
        <v>0</v>
      </c>
      <c r="F8" s="20">
        <v>0</v>
      </c>
      <c r="G8" s="19">
        <f>IFERROR(SUMIFS(Regiones[TMO],Regiones[Fecha],Tabla54[[#This Row],[Fecha]],Regiones[Intervalo],Tabla54[[#This Row],[Intervalo]],Regiones[Skill],'BUPA Seguros'!$L$3)/Tabla54[[#This Row],[Atendidas]],0)</f>
        <v>0</v>
      </c>
      <c r="H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" s="21">
        <f>IFERROR(Tabla54[[#This Row],[Atendidas]]/Tabla54[[#This Row],[Recibidas]],0)</f>
        <v>0</v>
      </c>
      <c r="L8" s="40">
        <f t="shared" si="6"/>
        <v>46207</v>
      </c>
      <c r="M8" s="41">
        <f>+SUMIFS(Tabla54[Forecast],Tabla54[Fecha],$L8)</f>
        <v>0</v>
      </c>
      <c r="N8" s="41">
        <v>0</v>
      </c>
      <c r="O8" s="41"/>
      <c r="P8" s="41">
        <f>+SUMIFS(Regiones[Contestadas],Regiones[Fecha2],'BUPA Seguros'!$L8,Regiones[Skill],'BUPA Seguros'!$L$3)</f>
        <v>0</v>
      </c>
      <c r="Q8" s="41">
        <f>+SUMIFS(Regiones[Aten &lt; 20 seg],Regiones[Fecha2],'BUPA Seguros'!$L8,Regiones[Skill],'BUPA Seguros'!$L$3)</f>
        <v>0</v>
      </c>
      <c r="R8" s="41">
        <f t="shared" si="0"/>
        <v>0</v>
      </c>
      <c r="S8" s="42" t="str">
        <f t="shared" si="1"/>
        <v/>
      </c>
      <c r="T8" s="42" t="str">
        <f t="shared" si="2"/>
        <v/>
      </c>
      <c r="U8" s="42" t="str">
        <f t="shared" si="3"/>
        <v/>
      </c>
      <c r="W8" s="49">
        <v>0.33333333333333298</v>
      </c>
      <c r="X8" s="22">
        <f>+SUMIFS(Tabla54[Recibidas],Tabla54[Fecha],$X$3,Tabla54[Intervalo],$W8)</f>
        <v>0</v>
      </c>
      <c r="Y8" s="23">
        <f>+SUMIFS(Tabla54[Forecast],Tabla54[Fecha],$X$3,Tabla54[Intervalo],$W8)</f>
        <v>0</v>
      </c>
      <c r="Z8" s="22">
        <f>+SUMIFS(Tabla54[Atendidas],Tabla54[Fecha],$X$3,Tabla54[Intervalo],$W8)</f>
        <v>0</v>
      </c>
      <c r="AA8" s="24">
        <f t="shared" si="5"/>
        <v>0</v>
      </c>
      <c r="AB8" s="55">
        <f>+SUMIFS(Regiones[Aten &lt; 20 seg],Regiones[Fecha],'BUPA Seguros'!$X$3,Regiones[Intervalo],'BUPA Seguros'!$W8,Regiones[Skill],'BUPA Seguros'!$L$3)</f>
        <v>0</v>
      </c>
      <c r="AN8" s="45" t="s">
        <v>44</v>
      </c>
      <c r="AO8" s="46" t="e">
        <f>+SUM(Z5:Z32)/SUM(X5:X32)</f>
        <v>#DIV/0!</v>
      </c>
      <c r="AR8" s="61" t="e">
        <f t="shared" si="7"/>
        <v>#DIV/0!</v>
      </c>
      <c r="AS8" s="19" t="e" cm="1">
        <f t="array" ref="AS8">SUMPRODUCT(_xlfn.CHOOSECOLS(_xlfn._xlws.FILTER(_xlfn.CHOOSECOLS(Regiones[#Data],1,6,15,16),(_xlfn.CHOOSECOLS(_xlfn.CHOOSECOLS(Regiones[#Data],1,6,15,16),1)=L8)*(_xlfn.CHOOSECOLS(_xlfn.CHOOSECOLS(Regiones[#Data],1,6,15,16),4)=$L$3)),2),_xlfn.CHOOSECOLS(_xlfn._xlws.FILTER(_xlfn.CHOOSECOLS(Regiones[#Data],1,6,15,16),(_xlfn.CHOOSECOLS(_xlfn.CHOOSECOLS(Regiones[#Data],1,6,15,16),1)=L8)*(_xlfn.CHOOSECOLS(_xlfn.CHOOSECOLS(Regiones[#Data],1,6,15,16),4)=$L$3)),3))/SUM(_xlfn.CHOOSECOLS(_xlfn._xlws.FILTER(_xlfn.CHOOSECOLS(Regiones[#Data],1,6,15,16),(_xlfn.CHOOSECOLS(_xlfn.CHOOSECOLS(Regiones[#Data],1,6,15,16),1)=L8)*(_xlfn.CHOOSECOLS(_xlfn.CHOOSECOLS(Regiones[#Data],1,6,15,16),4)=$L$3)),2))</f>
        <v>#DIV/0!</v>
      </c>
    </row>
    <row r="9" spans="2:47" x14ac:dyDescent="0.3">
      <c r="B9" s="25">
        <f t="shared" si="8"/>
        <v>46204</v>
      </c>
      <c r="C9" s="26">
        <v>6.25E-2</v>
      </c>
      <c r="D9" s="19">
        <f>+SUMIFS(Regiones[Ofrecidas],Regiones[Fecha],Tabla54[[#This Row],[Fecha]],Regiones[Intervalo],Tabla54[[#This Row],[Intervalo]],Regiones[Skill],'BUPA Seguros'!$L$3)</f>
        <v>0</v>
      </c>
      <c r="E9" s="19">
        <f>+SUMIFS(Regiones[Contestadas],Regiones[Fecha],Tabla54[[#This Row],[Fecha]],Regiones[Intervalo],Tabla54[[#This Row],[Intervalo]],Regiones[Skill],'BUPA Seguros'!$L$3)</f>
        <v>0</v>
      </c>
      <c r="F9" s="20">
        <v>0</v>
      </c>
      <c r="G9" s="19">
        <f>IFERROR(SUMIFS(Regiones[TMO],Regiones[Fecha],Tabla54[[#This Row],[Fecha]],Regiones[Intervalo],Tabla54[[#This Row],[Intervalo]],Regiones[Skill],'BUPA Seguros'!$L$3)/Tabla54[[#This Row],[Atendidas]],0)</f>
        <v>0</v>
      </c>
      <c r="H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" s="21">
        <f>IFERROR(Tabla54[[#This Row],[Atendidas]]/Tabla54[[#This Row],[Recibidas]],0)</f>
        <v>0</v>
      </c>
      <c r="L9" s="40">
        <f t="shared" si="6"/>
        <v>46208</v>
      </c>
      <c r="M9" s="41">
        <f>+SUMIFS(Tabla54[Forecast],Tabla54[Fecha],$L9)</f>
        <v>0</v>
      </c>
      <c r="N9" s="41">
        <f>+SUMIFS(Regiones[Ofrecidas],Regiones[Fecha2],'BUPA Seguros'!$L9,Regiones[Skill],'BUPA Seguros'!$L$3)</f>
        <v>0</v>
      </c>
      <c r="O9" s="41"/>
      <c r="P9" s="41">
        <f>+SUMIFS(Regiones[Contestadas],Regiones[Fecha2],'BUPA Seguros'!$L9,Regiones[Skill],'BUPA Seguros'!$L$3)</f>
        <v>0</v>
      </c>
      <c r="Q9" s="41">
        <f>+SUMIFS(Regiones[Aten &lt; 20 seg],Regiones[Fecha2],'BUPA Seguros'!$L9,Regiones[Skill],'BUPA Seguros'!$L$3)</f>
        <v>0</v>
      </c>
      <c r="R9" s="41">
        <f t="shared" si="0"/>
        <v>0</v>
      </c>
      <c r="S9" s="42" t="str">
        <f t="shared" si="1"/>
        <v/>
      </c>
      <c r="T9" s="42" t="str">
        <f t="shared" si="2"/>
        <v/>
      </c>
      <c r="U9" s="42" t="str">
        <f t="shared" si="3"/>
        <v/>
      </c>
      <c r="W9" s="49">
        <v>0.35416666666666702</v>
      </c>
      <c r="X9" s="22">
        <f>+SUMIFS(Tabla54[Recibidas],Tabla54[Fecha],$X$3,Tabla54[Intervalo],$W9)</f>
        <v>0</v>
      </c>
      <c r="Y9" s="23">
        <f>+SUMIFS(Tabla54[Forecast],Tabla54[Fecha],$X$3,Tabla54[Intervalo],$W9)</f>
        <v>0</v>
      </c>
      <c r="Z9" s="22">
        <f>+SUMIFS(Tabla54[Atendidas],Tabla54[Fecha],$X$3,Tabla54[Intervalo],$W9)</f>
        <v>0</v>
      </c>
      <c r="AA9" s="24">
        <f t="shared" si="5"/>
        <v>0</v>
      </c>
      <c r="AB9" s="55">
        <f>+SUMIFS(Regiones[Aten &lt; 20 seg],Regiones[Fecha],'BUPA Seguros'!$X$3,Regiones[Intervalo],'BUPA Seguros'!$W9,Regiones[Skill],'BUPA Seguros'!$L$3)</f>
        <v>0</v>
      </c>
      <c r="AC9" s="31"/>
      <c r="AD9" s="60"/>
      <c r="AR9" s="61" t="e" vm="1">
        <f t="shared" si="7"/>
        <v>#VALUE!</v>
      </c>
      <c r="AS9" s="19" t="e" cm="1" vm="2">
        <f t="array" ref="AS9">SUMPRODUCT(_xlfn.CHOOSECOLS(_xlfn._xlws.FILTER(_xlfn.CHOOSECOLS(Regiones[#Data],1,6,15,16),(_xlfn.CHOOSECOLS(_xlfn.CHOOSECOLS(Regiones[#Data],1,6,15,16),1)=L9)*(_xlfn.CHOOSECOLS(_xlfn.CHOOSECOLS(Regiones[#Data],1,6,15,16),4)=$L$3)),2),_xlfn.CHOOSECOLS(_xlfn._xlws.FILTER(_xlfn.CHOOSECOLS(Regiones[#Data],1,6,15,16),(_xlfn.CHOOSECOLS(_xlfn.CHOOSECOLS(Regiones[#Data],1,6,15,16),1)=L9)*(_xlfn.CHOOSECOLS(_xlfn.CHOOSECOLS(Regiones[#Data],1,6,15,16),4)=$L$3)),3))/SUM(_xlfn.CHOOSECOLS(_xlfn._xlws.FILTER(_xlfn.CHOOSECOLS(Regiones[#Data],1,6,15,16),(_xlfn.CHOOSECOLS(_xlfn.CHOOSECOLS(Regiones[#Data],1,6,15,16),1)=L9)*(_xlfn.CHOOSECOLS(_xlfn.CHOOSECOLS(Regiones[#Data],1,6,15,16),4)=$L$3)),2))</f>
        <v>#VALUE!</v>
      </c>
    </row>
    <row r="10" spans="2:47" x14ac:dyDescent="0.3">
      <c r="B10" s="27">
        <f t="shared" si="8"/>
        <v>46204</v>
      </c>
      <c r="C10" s="18">
        <v>8.3333333333333301E-2</v>
      </c>
      <c r="D10" s="19">
        <f>+SUMIFS(Regiones[Ofrecidas],Regiones[Fecha],Tabla54[[#This Row],[Fecha]],Regiones[Intervalo],Tabla54[[#This Row],[Intervalo]],Regiones[Skill],'BUPA Seguros'!$L$3)</f>
        <v>0</v>
      </c>
      <c r="E10" s="19">
        <f>+SUMIFS(Regiones[Contestadas],Regiones[Fecha],Tabla54[[#This Row],[Fecha]],Regiones[Intervalo],Tabla54[[#This Row],[Intervalo]],Regiones[Skill],'BUPA Seguros'!$L$3)</f>
        <v>0</v>
      </c>
      <c r="F10" s="20">
        <v>0</v>
      </c>
      <c r="G10" s="19">
        <f>IFERROR(SUMIFS(Regiones[TMO],Regiones[Fecha],Tabla54[[#This Row],[Fecha]],Regiones[Intervalo],Tabla54[[#This Row],[Intervalo]],Regiones[Skill],'BUPA Seguros'!$L$3)/Tabla54[[#This Row],[Atendidas]],0)</f>
        <v>0</v>
      </c>
      <c r="H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" s="21">
        <f>IFERROR(Tabla54[[#This Row],[Atendidas]]/Tabla54[[#This Row],[Recibidas]],0)</f>
        <v>0</v>
      </c>
      <c r="L10" s="40">
        <f t="shared" si="6"/>
        <v>46209</v>
      </c>
      <c r="M10" s="41">
        <f>+SUMIFS(Tabla54[Forecast],Tabla54[Fecha],$L10)</f>
        <v>829.29777841911641</v>
      </c>
      <c r="N10" s="41">
        <v>720</v>
      </c>
      <c r="O10" s="67">
        <f t="shared" ref="O10" si="9">N10/M10-1</f>
        <v>-0.13179557604443348</v>
      </c>
      <c r="P10" s="41">
        <v>559</v>
      </c>
      <c r="Q10" s="41">
        <v>146</v>
      </c>
      <c r="R10" s="41">
        <f t="shared" si="0"/>
        <v>161</v>
      </c>
      <c r="S10" s="42">
        <f t="shared" si="1"/>
        <v>0.22361111111111112</v>
      </c>
      <c r="T10" s="42">
        <f t="shared" si="2"/>
        <v>0.20277777777777778</v>
      </c>
      <c r="U10" s="42">
        <f t="shared" si="3"/>
        <v>0.77638888888888891</v>
      </c>
      <c r="W10" s="49">
        <v>0.375</v>
      </c>
      <c r="X10" s="22">
        <f>+SUMIFS(Tabla54[Recibidas],Tabla54[Fecha],$X$3,Tabla54[Intervalo],$W10)</f>
        <v>0</v>
      </c>
      <c r="Y10" s="23">
        <f>+SUMIFS(Tabla54[Forecast],Tabla54[Fecha],$X$3,Tabla54[Intervalo],$W10)</f>
        <v>51.985086338529541</v>
      </c>
      <c r="Z10" s="22">
        <f>+SUMIFS(Tabla54[Atendidas],Tabla54[Fecha],$X$3,Tabla54[Intervalo],$W10)</f>
        <v>0</v>
      </c>
      <c r="AA10" s="24">
        <f t="shared" si="5"/>
        <v>0</v>
      </c>
      <c r="AB10" s="55">
        <f>+SUMIFS(Regiones[Aten &lt; 20 seg],Regiones[Fecha],'BUPA Seguros'!$X$3,Regiones[Intervalo],'BUPA Seguros'!$W10,Regiones[Skill],'BUPA Seguros'!$L$3)</f>
        <v>0</v>
      </c>
      <c r="AR10" s="61" t="e" vm="1">
        <f t="shared" si="7"/>
        <v>#VALUE!</v>
      </c>
      <c r="AS10" s="19" t="e" cm="1" vm="2">
        <f t="array" ref="AS10">SUMPRODUCT(_xlfn.CHOOSECOLS(_xlfn._xlws.FILTER(_xlfn.CHOOSECOLS(Regiones[#Data],1,6,15,16),(_xlfn.CHOOSECOLS(_xlfn.CHOOSECOLS(Regiones[#Data],1,6,15,16),1)=L10)*(_xlfn.CHOOSECOLS(_xlfn.CHOOSECOLS(Regiones[#Data],1,6,15,16),4)=$L$3)),2),_xlfn.CHOOSECOLS(_xlfn._xlws.FILTER(_xlfn.CHOOSECOLS(Regiones[#Data],1,6,15,16),(_xlfn.CHOOSECOLS(_xlfn.CHOOSECOLS(Regiones[#Data],1,6,15,16),1)=L10)*(_xlfn.CHOOSECOLS(_xlfn.CHOOSECOLS(Regiones[#Data],1,6,15,16),4)=$L$3)),3))/SUM(_xlfn.CHOOSECOLS(_xlfn._xlws.FILTER(_xlfn.CHOOSECOLS(Regiones[#Data],1,6,15,16),(_xlfn.CHOOSECOLS(_xlfn.CHOOSECOLS(Regiones[#Data],1,6,15,16),1)=L10)*(_xlfn.CHOOSECOLS(_xlfn.CHOOSECOLS(Regiones[#Data],1,6,15,16),4)=$L$3)),2))</f>
        <v>#VALUE!</v>
      </c>
    </row>
    <row r="11" spans="2:47" x14ac:dyDescent="0.3">
      <c r="B11" s="25">
        <f t="shared" si="8"/>
        <v>46204</v>
      </c>
      <c r="C11" s="26">
        <v>0.104166666666667</v>
      </c>
      <c r="D11" s="19">
        <f>+SUMIFS(Regiones[Ofrecidas],Regiones[Fecha],Tabla54[[#This Row],[Fecha]],Regiones[Intervalo],Tabla54[[#This Row],[Intervalo]],Regiones[Skill],'BUPA Seguros'!$L$3)</f>
        <v>0</v>
      </c>
      <c r="E11" s="19">
        <f>+SUMIFS(Regiones[Contestadas],Regiones[Fecha],Tabla54[[#This Row],[Fecha]],Regiones[Intervalo],Tabla54[[#This Row],[Intervalo]],Regiones[Skill],'BUPA Seguros'!$L$3)</f>
        <v>0</v>
      </c>
      <c r="F11" s="20">
        <v>0</v>
      </c>
      <c r="G11" s="19">
        <f>IFERROR(SUMIFS(Regiones[TMO],Regiones[Fecha],Tabla54[[#This Row],[Fecha]],Regiones[Intervalo],Tabla54[[#This Row],[Intervalo]],Regiones[Skill],'BUPA Seguros'!$L$3)/Tabla54[[#This Row],[Atendidas]],0)</f>
        <v>0</v>
      </c>
      <c r="H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" s="21">
        <f>IFERROR(Tabla54[[#This Row],[Atendidas]]/Tabla54[[#This Row],[Recibidas]],0)</f>
        <v>0</v>
      </c>
      <c r="L11" s="40">
        <f t="shared" si="6"/>
        <v>46210</v>
      </c>
      <c r="M11" s="41">
        <f>+SUMIFS(Tabla54[Forecast],Tabla54[Fecha],$L11)</f>
        <v>712.29077981621333</v>
      </c>
      <c r="N11" s="41">
        <f>+SUMIFS(Regiones[Ofrecidas],Regiones[Fecha2],'BUPA Seguros'!$L11,Regiones[Skill],'BUPA Seguros'!$L$3)</f>
        <v>0</v>
      </c>
      <c r="O11" s="41"/>
      <c r="P11" s="41">
        <f>+SUMIFS(Regiones[Contestadas],Regiones[Fecha2],'BUPA Seguros'!$L11,Regiones[Skill],'BUPA Seguros'!$L$3)</f>
        <v>0</v>
      </c>
      <c r="Q11" s="41">
        <f>+SUMIFS(Regiones[Aten &lt; 20 seg],Regiones[Fecha2],'BUPA Seguros'!$L11,Regiones[Skill],'BUPA Seguros'!$L$3)</f>
        <v>0</v>
      </c>
      <c r="R11" s="41">
        <f t="shared" si="0"/>
        <v>0</v>
      </c>
      <c r="S11" s="42" t="str">
        <f t="shared" si="1"/>
        <v/>
      </c>
      <c r="T11" s="42" t="str">
        <f t="shared" si="2"/>
        <v/>
      </c>
      <c r="U11" s="42" t="str">
        <f t="shared" si="3"/>
        <v/>
      </c>
      <c r="W11" s="49">
        <v>0.39583333333333298</v>
      </c>
      <c r="X11" s="22">
        <f>+SUMIFS(Tabla54[Recibidas],Tabla54[Fecha],$X$3,Tabla54[Intervalo],$W11)</f>
        <v>0</v>
      </c>
      <c r="Y11" s="23">
        <f>+SUMIFS(Tabla54[Forecast],Tabla54[Fecha],$X$3,Tabla54[Intervalo],$W11)</f>
        <v>52.405167844295427</v>
      </c>
      <c r="Z11" s="22">
        <f>+SUMIFS(Tabla54[Atendidas],Tabla54[Fecha],$X$3,Tabla54[Intervalo],$W11)</f>
        <v>0</v>
      </c>
      <c r="AA11" s="24">
        <f t="shared" si="5"/>
        <v>0</v>
      </c>
      <c r="AB11" s="55">
        <f>+SUMIFS(Regiones[Aten &lt; 20 seg],Regiones[Fecha],'BUPA Seguros'!$X$3,Regiones[Intervalo],'BUPA Seguros'!$W11,Regiones[Skill],'BUPA Seguros'!$L$3)</f>
        <v>0</v>
      </c>
      <c r="AR11" s="61" t="e" vm="1">
        <f t="shared" si="7"/>
        <v>#VALUE!</v>
      </c>
      <c r="AS11" s="19" t="e" cm="1" vm="2">
        <f t="array" ref="AS11">SUMPRODUCT(_xlfn.CHOOSECOLS(_xlfn._xlws.FILTER(_xlfn.CHOOSECOLS(Regiones[#Data],1,6,15,16),(_xlfn.CHOOSECOLS(_xlfn.CHOOSECOLS(Regiones[#Data],1,6,15,16),1)=L11)*(_xlfn.CHOOSECOLS(_xlfn.CHOOSECOLS(Regiones[#Data],1,6,15,16),4)=$L$3)),2),_xlfn.CHOOSECOLS(_xlfn._xlws.FILTER(_xlfn.CHOOSECOLS(Regiones[#Data],1,6,15,16),(_xlfn.CHOOSECOLS(_xlfn.CHOOSECOLS(Regiones[#Data],1,6,15,16),1)=L11)*(_xlfn.CHOOSECOLS(_xlfn.CHOOSECOLS(Regiones[#Data],1,6,15,16),4)=$L$3)),3))/SUM(_xlfn.CHOOSECOLS(_xlfn._xlws.FILTER(_xlfn.CHOOSECOLS(Regiones[#Data],1,6,15,16),(_xlfn.CHOOSECOLS(_xlfn.CHOOSECOLS(Regiones[#Data],1,6,15,16),1)=L11)*(_xlfn.CHOOSECOLS(_xlfn.CHOOSECOLS(Regiones[#Data],1,6,15,16),4)=$L$3)),2))</f>
        <v>#VALUE!</v>
      </c>
    </row>
    <row r="12" spans="2:47" x14ac:dyDescent="0.3">
      <c r="B12" s="27">
        <f t="shared" si="8"/>
        <v>46204</v>
      </c>
      <c r="C12" s="18">
        <v>0.125</v>
      </c>
      <c r="D12" s="19">
        <f>+SUMIFS(Regiones[Ofrecidas],Regiones[Fecha],Tabla54[[#This Row],[Fecha]],Regiones[Intervalo],Tabla54[[#This Row],[Intervalo]],Regiones[Skill],'BUPA Seguros'!$L$3)</f>
        <v>0</v>
      </c>
      <c r="E12" s="19">
        <f>+SUMIFS(Regiones[Contestadas],Regiones[Fecha],Tabla54[[#This Row],[Fecha]],Regiones[Intervalo],Tabla54[[#This Row],[Intervalo]],Regiones[Skill],'BUPA Seguros'!$L$3)</f>
        <v>0</v>
      </c>
      <c r="F12" s="20">
        <v>0</v>
      </c>
      <c r="G12" s="19">
        <f>IFERROR(SUMIFS(Regiones[TMO],Regiones[Fecha],Tabla54[[#This Row],[Fecha]],Regiones[Intervalo],Tabla54[[#This Row],[Intervalo]],Regiones[Skill],'BUPA Seguros'!$L$3)/Tabla54[[#This Row],[Atendidas]],0)</f>
        <v>0</v>
      </c>
      <c r="H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" s="21">
        <f>IFERROR(Tabla54[[#This Row],[Atendidas]]/Tabla54[[#This Row],[Recibidas]],0)</f>
        <v>0</v>
      </c>
      <c r="L12" s="40">
        <f t="shared" si="6"/>
        <v>46211</v>
      </c>
      <c r="M12" s="41">
        <f>+SUMIFS(Tabla54[Forecast],Tabla54[Fecha],$L12)</f>
        <v>568.80774503309124</v>
      </c>
      <c r="N12" s="41">
        <f>+SUMIFS(Regiones[Ofrecidas],Regiones[Fecha2],'BUPA Seguros'!$L12,Regiones[Skill],'BUPA Seguros'!$L$3)</f>
        <v>0</v>
      </c>
      <c r="O12" s="41"/>
      <c r="P12" s="41">
        <f>+SUMIFS(Regiones[Contestadas],Regiones[Fecha2],'BUPA Seguros'!$L12,Regiones[Skill],'BUPA Seguros'!$L$3)</f>
        <v>0</v>
      </c>
      <c r="Q12" s="41">
        <f>+SUMIFS(Regiones[Aten &lt; 20 seg],Regiones[Fecha2],'BUPA Seguros'!$L12,Regiones[Skill],'BUPA Seguros'!$L$3)</f>
        <v>0</v>
      </c>
      <c r="R12" s="41">
        <f t="shared" si="0"/>
        <v>0</v>
      </c>
      <c r="S12" s="42" t="str">
        <f t="shared" si="1"/>
        <v/>
      </c>
      <c r="T12" s="42" t="str">
        <f t="shared" si="2"/>
        <v/>
      </c>
      <c r="U12" s="42" t="str">
        <f t="shared" si="3"/>
        <v/>
      </c>
      <c r="W12" s="49">
        <v>0.41666666666666702</v>
      </c>
      <c r="X12" s="22">
        <f>+SUMIFS(Tabla54[Recibidas],Tabla54[Fecha],$X$3,Tabla54[Intervalo],$W12)</f>
        <v>0</v>
      </c>
      <c r="Y12" s="23">
        <f>+SUMIFS(Tabla54[Forecast],Tabla54[Fecha],$X$3,Tabla54[Intervalo],$W12)</f>
        <v>53.429116514599805</v>
      </c>
      <c r="Z12" s="22">
        <f>+SUMIFS(Tabla54[Atendidas],Tabla54[Fecha],$X$3,Tabla54[Intervalo],$W12)</f>
        <v>0</v>
      </c>
      <c r="AA12" s="24">
        <f t="shared" si="5"/>
        <v>0</v>
      </c>
      <c r="AB12" s="55">
        <f>+SUMIFS(Regiones[Aten &lt; 20 seg],Regiones[Fecha],'BUPA Seguros'!$X$3,Regiones[Intervalo],'BUPA Seguros'!$W12,Regiones[Skill],'BUPA Seguros'!$L$3)</f>
        <v>0</v>
      </c>
      <c r="AR12" s="61" t="e" vm="1">
        <f t="shared" si="7"/>
        <v>#VALUE!</v>
      </c>
      <c r="AS12" s="19" t="e" cm="1" vm="2">
        <f t="array" ref="AS12">SUMPRODUCT(_xlfn.CHOOSECOLS(_xlfn._xlws.FILTER(_xlfn.CHOOSECOLS(Regiones[#Data],1,6,15,16),(_xlfn.CHOOSECOLS(_xlfn.CHOOSECOLS(Regiones[#Data],1,6,15,16),1)=L12)*(_xlfn.CHOOSECOLS(_xlfn.CHOOSECOLS(Regiones[#Data],1,6,15,16),4)=$L$3)),2),_xlfn.CHOOSECOLS(_xlfn._xlws.FILTER(_xlfn.CHOOSECOLS(Regiones[#Data],1,6,15,16),(_xlfn.CHOOSECOLS(_xlfn.CHOOSECOLS(Regiones[#Data],1,6,15,16),1)=L12)*(_xlfn.CHOOSECOLS(_xlfn.CHOOSECOLS(Regiones[#Data],1,6,15,16),4)=$L$3)),3))/SUM(_xlfn.CHOOSECOLS(_xlfn._xlws.FILTER(_xlfn.CHOOSECOLS(Regiones[#Data],1,6,15,16),(_xlfn.CHOOSECOLS(_xlfn.CHOOSECOLS(Regiones[#Data],1,6,15,16),1)=L12)*(_xlfn.CHOOSECOLS(_xlfn.CHOOSECOLS(Regiones[#Data],1,6,15,16),4)=$L$3)),2))</f>
        <v>#VALUE!</v>
      </c>
    </row>
    <row r="13" spans="2:47" x14ac:dyDescent="0.3">
      <c r="B13" s="25">
        <f t="shared" si="8"/>
        <v>46204</v>
      </c>
      <c r="C13" s="26">
        <v>0.14583333333333301</v>
      </c>
      <c r="D13" s="19">
        <f>+SUMIFS(Regiones[Ofrecidas],Regiones[Fecha],Tabla54[[#This Row],[Fecha]],Regiones[Intervalo],Tabla54[[#This Row],[Intervalo]],Regiones[Skill],'BUPA Seguros'!$L$3)</f>
        <v>0</v>
      </c>
      <c r="E13" s="19">
        <f>+SUMIFS(Regiones[Contestadas],Regiones[Fecha],Tabla54[[#This Row],[Fecha]],Regiones[Intervalo],Tabla54[[#This Row],[Intervalo]],Regiones[Skill],'BUPA Seguros'!$L$3)</f>
        <v>0</v>
      </c>
      <c r="F13" s="20">
        <v>0</v>
      </c>
      <c r="G13" s="19">
        <f>IFERROR(SUMIFS(Regiones[TMO],Regiones[Fecha],Tabla54[[#This Row],[Fecha]],Regiones[Intervalo],Tabla54[[#This Row],[Intervalo]],Regiones[Skill],'BUPA Seguros'!$L$3)/Tabla54[[#This Row],[Atendidas]],0)</f>
        <v>0</v>
      </c>
      <c r="H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" s="21">
        <f>IFERROR(Tabla54[[#This Row],[Atendidas]]/Tabla54[[#This Row],[Recibidas]],0)</f>
        <v>0</v>
      </c>
      <c r="L13" s="40">
        <f t="shared" si="6"/>
        <v>46212</v>
      </c>
      <c r="M13" s="41">
        <f>+SUMIFS(Tabla54[Forecast],Tabla54[Fecha],$L13)</f>
        <v>580.76466459835149</v>
      </c>
      <c r="N13" s="41">
        <f>+SUMIFS(Regiones[Ofrecidas],Regiones[Fecha2],'BUPA Seguros'!$L13,Regiones[Skill],'BUPA Seguros'!$L$3)</f>
        <v>0</v>
      </c>
      <c r="O13" s="41"/>
      <c r="P13" s="41">
        <f>+SUMIFS(Regiones[Contestadas],Regiones[Fecha2],'BUPA Seguros'!$L13,Regiones[Skill],'BUPA Seguros'!$L$3)</f>
        <v>0</v>
      </c>
      <c r="Q13" s="41">
        <f>+SUMIFS(Regiones[Aten &lt; 20 seg],Regiones[Fecha2],'BUPA Seguros'!$L13,Regiones[Skill],'BUPA Seguros'!$L$3)</f>
        <v>0</v>
      </c>
      <c r="R13" s="41">
        <f t="shared" si="0"/>
        <v>0</v>
      </c>
      <c r="S13" s="42" t="str">
        <f t="shared" si="1"/>
        <v/>
      </c>
      <c r="T13" s="42" t="str">
        <f t="shared" si="2"/>
        <v/>
      </c>
      <c r="U13" s="42" t="str">
        <f t="shared" si="3"/>
        <v/>
      </c>
      <c r="W13" s="49">
        <v>0.4375</v>
      </c>
      <c r="X13" s="22">
        <f>+SUMIFS(Tabla54[Recibidas],Tabla54[Fecha],$X$3,Tabla54[Intervalo],$W13)</f>
        <v>0</v>
      </c>
      <c r="Y13" s="23">
        <f>+SUMIFS(Tabla54[Forecast],Tabla54[Fecha],$X$3,Tabla54[Intervalo],$W13)</f>
        <v>54.785629710302167</v>
      </c>
      <c r="Z13" s="22">
        <f>+SUMIFS(Tabla54[Atendidas],Tabla54[Fecha],$X$3,Tabla54[Intervalo],$W13)</f>
        <v>0</v>
      </c>
      <c r="AA13" s="24">
        <f t="shared" si="5"/>
        <v>0</v>
      </c>
      <c r="AB13" s="55">
        <f>+SUMIFS(Regiones[Aten &lt; 20 seg],Regiones[Fecha],'BUPA Seguros'!$X$3,Regiones[Intervalo],'BUPA Seguros'!$W13,Regiones[Skill],'BUPA Seguros'!$L$3)</f>
        <v>0</v>
      </c>
      <c r="AR13" s="61"/>
    </row>
    <row r="14" spans="2:47" x14ac:dyDescent="0.3">
      <c r="B14" s="27">
        <f t="shared" si="8"/>
        <v>46204</v>
      </c>
      <c r="C14" s="18">
        <v>0.16666666666666699</v>
      </c>
      <c r="D14" s="19">
        <f>+SUMIFS(Regiones[Ofrecidas],Regiones[Fecha],Tabla54[[#This Row],[Fecha]],Regiones[Intervalo],Tabla54[[#This Row],[Intervalo]],Regiones[Skill],'BUPA Seguros'!$L$3)</f>
        <v>0</v>
      </c>
      <c r="E14" s="19">
        <f>+SUMIFS(Regiones[Contestadas],Regiones[Fecha],Tabla54[[#This Row],[Fecha]],Regiones[Intervalo],Tabla54[[#This Row],[Intervalo]],Regiones[Skill],'BUPA Seguros'!$L$3)</f>
        <v>0</v>
      </c>
      <c r="F14" s="20">
        <v>0</v>
      </c>
      <c r="G14" s="19">
        <f>IFERROR(SUMIFS(Regiones[TMO],Regiones[Fecha],Tabla54[[#This Row],[Fecha]],Regiones[Intervalo],Tabla54[[#This Row],[Intervalo]],Regiones[Skill],'BUPA Seguros'!$L$3)/Tabla54[[#This Row],[Atendidas]],0)</f>
        <v>0</v>
      </c>
      <c r="H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" s="21">
        <f>IFERROR(Tabla54[[#This Row],[Atendidas]]/Tabla54[[#This Row],[Recibidas]],0)</f>
        <v>0</v>
      </c>
      <c r="L14" s="40">
        <f t="shared" si="6"/>
        <v>46213</v>
      </c>
      <c r="M14" s="41">
        <f>+SUMIFS(Tabla54[Forecast],Tabla54[Fecha],$L14)</f>
        <v>434.71943276553066</v>
      </c>
      <c r="N14" s="41">
        <f>+SUMIFS(Regiones[Ofrecidas],Regiones[Fecha2],'BUPA Seguros'!$L14,Regiones[Skill],'BUPA Seguros'!$L$3)</f>
        <v>0</v>
      </c>
      <c r="O14" s="41"/>
      <c r="P14" s="41">
        <f>+SUMIFS(Regiones[Contestadas],Regiones[Fecha2],'BUPA Seguros'!$L14,Regiones[Skill],'BUPA Seguros'!$L$3)</f>
        <v>0</v>
      </c>
      <c r="Q14" s="41">
        <f>+SUMIFS(Regiones[Aten &lt; 20 seg],Regiones[Fecha2],'BUPA Seguros'!$L14,Regiones[Skill],'BUPA Seguros'!$L$3)</f>
        <v>0</v>
      </c>
      <c r="R14" s="41">
        <f t="shared" si="0"/>
        <v>0</v>
      </c>
      <c r="S14" s="42" t="str">
        <f t="shared" si="1"/>
        <v/>
      </c>
      <c r="T14" s="42" t="str">
        <f t="shared" si="2"/>
        <v/>
      </c>
      <c r="U14" s="42" t="str">
        <f t="shared" si="3"/>
        <v/>
      </c>
      <c r="W14" s="49">
        <v>0.45833333333333298</v>
      </c>
      <c r="X14" s="22">
        <f>+SUMIFS(Tabla54[Recibidas],Tabla54[Fecha],$X$3,Tabla54[Intervalo],$W14)</f>
        <v>0</v>
      </c>
      <c r="Y14" s="23">
        <f>+SUMIFS(Tabla54[Forecast],Tabla54[Fecha],$X$3,Tabla54[Intervalo],$W14)</f>
        <v>56.273418376556378</v>
      </c>
      <c r="Z14" s="22">
        <f>+SUMIFS(Tabla54[Atendidas],Tabla54[Fecha],$X$3,Tabla54[Intervalo],$W14)</f>
        <v>0</v>
      </c>
      <c r="AA14" s="24">
        <f t="shared" si="5"/>
        <v>0</v>
      </c>
      <c r="AB14" s="55">
        <f>+SUMIFS(Regiones[Aten &lt; 20 seg],Regiones[Fecha],'BUPA Seguros'!$X$3,Regiones[Intervalo],'BUPA Seguros'!$W14,Regiones[Skill],'BUPA Seguros'!$L$3)</f>
        <v>0</v>
      </c>
    </row>
    <row r="15" spans="2:47" x14ac:dyDescent="0.3">
      <c r="B15" s="25">
        <f t="shared" si="8"/>
        <v>46204</v>
      </c>
      <c r="C15" s="26">
        <v>0.1875</v>
      </c>
      <c r="D15" s="19">
        <f>+SUMIFS(Regiones[Ofrecidas],Regiones[Fecha],Tabla54[[#This Row],[Fecha]],Regiones[Intervalo],Tabla54[[#This Row],[Intervalo]],Regiones[Skill],'BUPA Seguros'!$L$3)</f>
        <v>0</v>
      </c>
      <c r="E15" s="19">
        <f>+SUMIFS(Regiones[Contestadas],Regiones[Fecha],Tabla54[[#This Row],[Fecha]],Regiones[Intervalo],Tabla54[[#This Row],[Intervalo]],Regiones[Skill],'BUPA Seguros'!$L$3)</f>
        <v>0</v>
      </c>
      <c r="F15" s="20">
        <v>0</v>
      </c>
      <c r="G15" s="19">
        <f>IFERROR(SUMIFS(Regiones[TMO],Regiones[Fecha],Tabla54[[#This Row],[Fecha]],Regiones[Intervalo],Tabla54[[#This Row],[Intervalo]],Regiones[Skill],'BUPA Seguros'!$L$3)/Tabla54[[#This Row],[Atendidas]],0)</f>
        <v>0</v>
      </c>
      <c r="H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" s="21">
        <f>IFERROR(Tabla54[[#This Row],[Atendidas]]/Tabla54[[#This Row],[Recibidas]],0)</f>
        <v>0</v>
      </c>
      <c r="L15" s="40">
        <f t="shared" si="6"/>
        <v>46214</v>
      </c>
      <c r="M15" s="41">
        <f>+SUMIFS(Tabla54[Forecast],Tabla54[Fecha],$L15)</f>
        <v>0</v>
      </c>
      <c r="N15" s="41">
        <f>+SUMIFS(Regiones[Ofrecidas],Regiones[Fecha2],'BUPA Seguros'!$L15,Regiones[Skill],'BUPA Seguros'!$L$3)</f>
        <v>0</v>
      </c>
      <c r="O15" s="41"/>
      <c r="P15" s="41">
        <f>+SUMIFS(Regiones[Contestadas],Regiones[Fecha2],'BUPA Seguros'!$L15,Regiones[Skill],'BUPA Seguros'!$L$3)</f>
        <v>0</v>
      </c>
      <c r="Q15" s="41">
        <f>+SUMIFS(Regiones[Aten &lt; 20 seg],Regiones[Fecha2],'BUPA Seguros'!$L15,Regiones[Skill],'BUPA Seguros'!$L$3)</f>
        <v>0</v>
      </c>
      <c r="R15" s="41">
        <f t="shared" si="0"/>
        <v>0</v>
      </c>
      <c r="S15" s="42" t="str">
        <f t="shared" si="1"/>
        <v/>
      </c>
      <c r="T15" s="42" t="str">
        <f t="shared" si="2"/>
        <v/>
      </c>
      <c r="U15" s="42" t="str">
        <f t="shared" si="3"/>
        <v/>
      </c>
      <c r="W15" s="49">
        <v>0.47916666666666702</v>
      </c>
      <c r="X15" s="22">
        <f>+SUMIFS(Tabla54[Recibidas],Tabla54[Fecha],$X$3,Tabla54[Intervalo],$W15)</f>
        <v>0</v>
      </c>
      <c r="Y15" s="23">
        <f>+SUMIFS(Tabla54[Forecast],Tabla54[Fecha],$X$3,Tabla54[Intervalo],$W15)</f>
        <v>55.135697631773745</v>
      </c>
      <c r="Z15" s="22">
        <f>+SUMIFS(Tabla54[Atendidas],Tabla54[Fecha],$X$3,Tabla54[Intervalo],$W15)</f>
        <v>0</v>
      </c>
      <c r="AA15" s="24">
        <f t="shared" si="5"/>
        <v>0</v>
      </c>
      <c r="AB15" s="55">
        <f>+SUMIFS(Regiones[Aten &lt; 20 seg],Regiones[Fecha],'BUPA Seguros'!$X$3,Regiones[Intervalo],'BUPA Seguros'!$W15,Regiones[Skill],'BUPA Seguros'!$L$3)</f>
        <v>0</v>
      </c>
    </row>
    <row r="16" spans="2:47" x14ac:dyDescent="0.3">
      <c r="B16" s="27">
        <f t="shared" si="8"/>
        <v>46204</v>
      </c>
      <c r="C16" s="18">
        <v>0.20833333333333301</v>
      </c>
      <c r="D16" s="19">
        <f>+SUMIFS(Regiones[Ofrecidas],Regiones[Fecha],Tabla54[[#This Row],[Fecha]],Regiones[Intervalo],Tabla54[[#This Row],[Intervalo]],Regiones[Skill],'BUPA Seguros'!$L$3)</f>
        <v>0</v>
      </c>
      <c r="E16" s="19">
        <f>+SUMIFS(Regiones[Contestadas],Regiones[Fecha],Tabla54[[#This Row],[Fecha]],Regiones[Intervalo],Tabla54[[#This Row],[Intervalo]],Regiones[Skill],'BUPA Seguros'!$L$3)</f>
        <v>0</v>
      </c>
      <c r="F16" s="20">
        <v>0</v>
      </c>
      <c r="G16" s="19">
        <f>IFERROR(SUMIFS(Regiones[TMO],Regiones[Fecha],Tabla54[[#This Row],[Fecha]],Regiones[Intervalo],Tabla54[[#This Row],[Intervalo]],Regiones[Skill],'BUPA Seguros'!$L$3)/Tabla54[[#This Row],[Atendidas]],0)</f>
        <v>0</v>
      </c>
      <c r="H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" s="21">
        <f>IFERROR(Tabla54[[#This Row],[Atendidas]]/Tabla54[[#This Row],[Recibidas]],0)</f>
        <v>0</v>
      </c>
      <c r="L16" s="40">
        <f t="shared" si="6"/>
        <v>46215</v>
      </c>
      <c r="M16" s="41">
        <f>+SUMIFS(Tabla54[Forecast],Tabla54[Fecha],$L16)</f>
        <v>0</v>
      </c>
      <c r="N16" s="41">
        <f>+SUMIFS(Regiones[Ofrecidas],Regiones[Fecha2],'BUPA Seguros'!$L16,Regiones[Skill],'BUPA Seguros'!$L$3)</f>
        <v>0</v>
      </c>
      <c r="O16" s="41"/>
      <c r="P16" s="41">
        <f>+SUMIFS(Regiones[Contestadas],Regiones[Fecha2],'BUPA Seguros'!$L16,Regiones[Skill],'BUPA Seguros'!$L$3)</f>
        <v>0</v>
      </c>
      <c r="Q16" s="41">
        <f>+SUMIFS(Regiones[Aten &lt; 20 seg],Regiones[Fecha2],'BUPA Seguros'!$L16,Regiones[Skill],'BUPA Seguros'!$L$3)</f>
        <v>0</v>
      </c>
      <c r="R16" s="41">
        <f t="shared" si="0"/>
        <v>0</v>
      </c>
      <c r="S16" s="42" t="str">
        <f t="shared" si="1"/>
        <v/>
      </c>
      <c r="T16" s="42" t="str">
        <f t="shared" si="2"/>
        <v/>
      </c>
      <c r="U16" s="42" t="str">
        <f t="shared" si="3"/>
        <v/>
      </c>
      <c r="W16" s="49">
        <v>0.5</v>
      </c>
      <c r="X16" s="22">
        <f>+SUMIFS(Tabla54[Recibidas],Tabla54[Fecha],$X$3,Tabla54[Intervalo],$W16)</f>
        <v>0</v>
      </c>
      <c r="Y16" s="23">
        <f>+SUMIFS(Tabla54[Forecast],Tabla54[Fecha],$X$3,Tabla54[Intervalo],$W16)</f>
        <v>54.085493867359027</v>
      </c>
      <c r="Z16" s="22">
        <f>+SUMIFS(Tabla54[Atendidas],Tabla54[Fecha],$X$3,Tabla54[Intervalo],$W16)</f>
        <v>0</v>
      </c>
      <c r="AA16" s="24">
        <f t="shared" si="5"/>
        <v>0</v>
      </c>
      <c r="AB16" s="55">
        <f>+SUMIFS(Regiones[Aten &lt; 20 seg],Regiones[Fecha],'BUPA Seguros'!$X$3,Regiones[Intervalo],'BUPA Seguros'!$W16,Regiones[Skill],'BUPA Seguros'!$L$3)</f>
        <v>0</v>
      </c>
    </row>
    <row r="17" spans="2:28" x14ac:dyDescent="0.3">
      <c r="B17" s="25">
        <f t="shared" si="8"/>
        <v>46204</v>
      </c>
      <c r="C17" s="26">
        <v>0.22916666666666699</v>
      </c>
      <c r="D17" s="19">
        <f>+SUMIFS(Regiones[Ofrecidas],Regiones[Fecha],Tabla54[[#This Row],[Fecha]],Regiones[Intervalo],Tabla54[[#This Row],[Intervalo]],Regiones[Skill],'BUPA Seguros'!$L$3)</f>
        <v>0</v>
      </c>
      <c r="E17" s="19">
        <f>+SUMIFS(Regiones[Contestadas],Regiones[Fecha],Tabla54[[#This Row],[Fecha]],Regiones[Intervalo],Tabla54[[#This Row],[Intervalo]],Regiones[Skill],'BUPA Seguros'!$L$3)</f>
        <v>0</v>
      </c>
      <c r="F17" s="20">
        <v>0</v>
      </c>
      <c r="G17" s="19">
        <f>IFERROR(SUMIFS(Regiones[TMO],Regiones[Fecha],Tabla54[[#This Row],[Fecha]],Regiones[Intervalo],Tabla54[[#This Row],[Intervalo]],Regiones[Skill],'BUPA Seguros'!$L$3)/Tabla54[[#This Row],[Atendidas]],0)</f>
        <v>0</v>
      </c>
      <c r="H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" s="21">
        <f>IFERROR(Tabla54[[#This Row],[Atendidas]]/Tabla54[[#This Row],[Recibidas]],0)</f>
        <v>0</v>
      </c>
      <c r="L17" s="40">
        <f t="shared" si="6"/>
        <v>46216</v>
      </c>
      <c r="M17" s="41">
        <f>+SUMIFS(Tabla54[Forecast],Tabla54[Fecha],$L17)</f>
        <v>821.61118727002054</v>
      </c>
      <c r="N17" s="41">
        <f>+SUMIFS(Regiones[Ofrecidas],Regiones[Fecha2],'BUPA Seguros'!$L17,Regiones[Skill],'BUPA Seguros'!$L$3)</f>
        <v>0</v>
      </c>
      <c r="O17" s="41"/>
      <c r="P17" s="41">
        <f>+SUMIFS(Regiones[Contestadas],Regiones[Fecha2],'BUPA Seguros'!$L17,Regiones[Skill],'BUPA Seguros'!$L$3)</f>
        <v>0</v>
      </c>
      <c r="Q17" s="41">
        <f>+SUMIFS(Regiones[Aten &lt; 20 seg],Regiones[Fecha2],'BUPA Seguros'!$L17,Regiones[Skill],'BUPA Seguros'!$L$3)</f>
        <v>0</v>
      </c>
      <c r="R17" s="41">
        <f t="shared" si="0"/>
        <v>0</v>
      </c>
      <c r="S17" s="42" t="str">
        <f t="shared" si="1"/>
        <v/>
      </c>
      <c r="T17" s="42" t="str">
        <f t="shared" si="2"/>
        <v/>
      </c>
      <c r="U17" s="42" t="str">
        <f t="shared" si="3"/>
        <v/>
      </c>
      <c r="W17" s="49">
        <v>0.52083333333333304</v>
      </c>
      <c r="X17" s="22">
        <f>+SUMIFS(Tabla54[Recibidas],Tabla54[Fecha],$X$3,Tabla54[Intervalo],$W17)</f>
        <v>0</v>
      </c>
      <c r="Y17" s="23">
        <f>+SUMIFS(Tabla54[Forecast],Tabla54[Fecha],$X$3,Tabla54[Intervalo],$W17)</f>
        <v>50.147229750803746</v>
      </c>
      <c r="Z17" s="22">
        <f>+SUMIFS(Tabla54[Atendidas],Tabla54[Fecha],$X$3,Tabla54[Intervalo],$W17)</f>
        <v>0</v>
      </c>
      <c r="AA17" s="24">
        <f t="shared" si="5"/>
        <v>0</v>
      </c>
      <c r="AB17" s="55">
        <f>+SUMIFS(Regiones[Aten &lt; 20 seg],Regiones[Fecha],'BUPA Seguros'!$X$3,Regiones[Intervalo],'BUPA Seguros'!$W17,Regiones[Skill],'BUPA Seguros'!$L$3)</f>
        <v>0</v>
      </c>
    </row>
    <row r="18" spans="2:28" x14ac:dyDescent="0.3">
      <c r="B18" s="27">
        <f t="shared" si="8"/>
        <v>46204</v>
      </c>
      <c r="C18" s="18">
        <v>0.25</v>
      </c>
      <c r="D18" s="19">
        <f>+SUMIFS(Regiones[Ofrecidas],Regiones[Fecha],Tabla54[[#This Row],[Fecha]],Regiones[Intervalo],Tabla54[[#This Row],[Intervalo]],Regiones[Skill],'BUPA Seguros'!$L$3)</f>
        <v>0</v>
      </c>
      <c r="E18" s="19">
        <f>+SUMIFS(Regiones[Contestadas],Regiones[Fecha],Tabla54[[#This Row],[Fecha]],Regiones[Intervalo],Tabla54[[#This Row],[Intervalo]],Regiones[Skill],'BUPA Seguros'!$L$3)</f>
        <v>0</v>
      </c>
      <c r="F18" s="20">
        <v>0</v>
      </c>
      <c r="G18" s="19">
        <f>IFERROR(SUMIFS(Regiones[TMO],Regiones[Fecha],Tabla54[[#This Row],[Fecha]],Regiones[Intervalo],Tabla54[[#This Row],[Intervalo]],Regiones[Skill],'BUPA Seguros'!$L$3)/Tabla54[[#This Row],[Atendidas]],0)</f>
        <v>0</v>
      </c>
      <c r="H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" s="21">
        <f>IFERROR(Tabla54[[#This Row],[Atendidas]]/Tabla54[[#This Row],[Recibidas]],0)</f>
        <v>0</v>
      </c>
      <c r="L18" s="40">
        <f t="shared" si="6"/>
        <v>46217</v>
      </c>
      <c r="M18" s="41">
        <f>+SUMIFS(Tabla54[Forecast],Tabla54[Fecha],$L18)</f>
        <v>684.1066122695288</v>
      </c>
      <c r="N18" s="41">
        <f>+SUMIFS(Regiones[Ofrecidas],Regiones[Fecha2],'BUPA Seguros'!$L18,Regiones[Skill],'BUPA Seguros'!$L$3)</f>
        <v>0</v>
      </c>
      <c r="O18" s="41"/>
      <c r="P18" s="41">
        <f>+SUMIFS(Regiones[Contestadas],Regiones[Fecha2],'BUPA Seguros'!$L18,Regiones[Skill],'BUPA Seguros'!$L$3)</f>
        <v>0</v>
      </c>
      <c r="Q18" s="41">
        <f>+SUMIFS(Regiones[Aten &lt; 20 seg],Regiones[Fecha2],'BUPA Seguros'!$L18,Regiones[Skill],'BUPA Seguros'!$L$3)</f>
        <v>0</v>
      </c>
      <c r="R18" s="41">
        <f t="shared" si="0"/>
        <v>0</v>
      </c>
      <c r="S18" s="42" t="str">
        <f t="shared" si="1"/>
        <v/>
      </c>
      <c r="T18" s="42" t="str">
        <f t="shared" si="2"/>
        <v/>
      </c>
      <c r="U18" s="42" t="str">
        <f t="shared" si="3"/>
        <v/>
      </c>
      <c r="W18" s="49">
        <v>0.54166666666666696</v>
      </c>
      <c r="X18" s="22">
        <f>+SUMIFS(Tabla54[Recibidas],Tabla54[Fecha],$X$3,Tabla54[Intervalo],$W18)</f>
        <v>0</v>
      </c>
      <c r="Y18" s="23">
        <f>+SUMIFS(Tabla54[Forecast],Tabla54[Fecha],$X$3,Tabla54[Intervalo],$W18)</f>
        <v>47.311679586883962</v>
      </c>
      <c r="Z18" s="22">
        <f>+SUMIFS(Tabla54[Atendidas],Tabla54[Fecha],$X$3,Tabla54[Intervalo],$W18)</f>
        <v>0</v>
      </c>
      <c r="AA18" s="24">
        <f t="shared" si="5"/>
        <v>0</v>
      </c>
      <c r="AB18" s="55">
        <f>+SUMIFS(Regiones[Aten &lt; 20 seg],Regiones[Fecha],'BUPA Seguros'!$X$3,Regiones[Intervalo],'BUPA Seguros'!$W18,Regiones[Skill],'BUPA Seguros'!$L$3)</f>
        <v>0</v>
      </c>
    </row>
    <row r="19" spans="2:28" x14ac:dyDescent="0.3">
      <c r="B19" s="25">
        <f t="shared" si="8"/>
        <v>46204</v>
      </c>
      <c r="C19" s="26">
        <v>0.27083333333333298</v>
      </c>
      <c r="D19" s="19">
        <f>+SUMIFS(Regiones[Ofrecidas],Regiones[Fecha],Tabla54[[#This Row],[Fecha]],Regiones[Intervalo],Tabla54[[#This Row],[Intervalo]],Regiones[Skill],'BUPA Seguros'!$L$3)</f>
        <v>0</v>
      </c>
      <c r="E19" s="19">
        <f>+SUMIFS(Regiones[Contestadas],Regiones[Fecha],Tabla54[[#This Row],[Fecha]],Regiones[Intervalo],Tabla54[[#This Row],[Intervalo]],Regiones[Skill],'BUPA Seguros'!$L$3)</f>
        <v>0</v>
      </c>
      <c r="F19" s="20">
        <v>0</v>
      </c>
      <c r="G19" s="19">
        <f>IFERROR(SUMIFS(Regiones[TMO],Regiones[Fecha],Tabla54[[#This Row],[Fecha]],Regiones[Intervalo],Tabla54[[#This Row],[Intervalo]],Regiones[Skill],'BUPA Seguros'!$L$3)/Tabla54[[#This Row],[Atendidas]],0)</f>
        <v>0</v>
      </c>
      <c r="H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" s="21">
        <f>IFERROR(Tabla54[[#This Row],[Atendidas]]/Tabla54[[#This Row],[Recibidas]],0)</f>
        <v>0</v>
      </c>
      <c r="L19" s="40">
        <f t="shared" si="6"/>
        <v>46218</v>
      </c>
      <c r="M19" s="41">
        <f>+SUMIFS(Tabla54[Forecast],Tabla54[Fecha],$L19)</f>
        <v>615.69595104257564</v>
      </c>
      <c r="N19" s="41">
        <f>+SUMIFS(Regiones[Ofrecidas],Regiones[Fecha2],'BUPA Seguros'!$L19,Regiones[Skill],'BUPA Seguros'!$L$3)</f>
        <v>0</v>
      </c>
      <c r="O19" s="41"/>
      <c r="P19" s="41">
        <f>+SUMIFS(Regiones[Contestadas],Regiones[Fecha2],'BUPA Seguros'!$L19,Regiones[Skill],'BUPA Seguros'!$L$3)</f>
        <v>0</v>
      </c>
      <c r="Q19" s="41">
        <f>+SUMIFS(Regiones[Aten &lt; 20 seg],Regiones[Fecha2],'BUPA Seguros'!$L19,Regiones[Skill],'BUPA Seguros'!$L$3)</f>
        <v>0</v>
      </c>
      <c r="R19" s="41">
        <f t="shared" si="0"/>
        <v>0</v>
      </c>
      <c r="S19" s="42" t="str">
        <f t="shared" si="1"/>
        <v/>
      </c>
      <c r="T19" s="42" t="str">
        <f t="shared" si="2"/>
        <v/>
      </c>
      <c r="U19" s="42" t="str">
        <f t="shared" si="3"/>
        <v/>
      </c>
      <c r="W19" s="49">
        <v>0.5625</v>
      </c>
      <c r="X19" s="22">
        <f>+SUMIFS(Tabla54[Recibidas],Tabla54[Fecha],$X$3,Tabla54[Intervalo],$W19)</f>
        <v>0</v>
      </c>
      <c r="Y19" s="23">
        <f>+SUMIFS(Tabla54[Forecast],Tabla54[Fecha],$X$3,Tabla54[Intervalo],$W19)</f>
        <v>43.846007164315331</v>
      </c>
      <c r="Z19" s="22">
        <f>+SUMIFS(Tabla54[Atendidas],Tabla54[Fecha],$X$3,Tabla54[Intervalo],$W19)</f>
        <v>0</v>
      </c>
      <c r="AA19" s="24">
        <f t="shared" si="5"/>
        <v>0</v>
      </c>
      <c r="AB19" s="55">
        <f>+SUMIFS(Regiones[Aten &lt; 20 seg],Regiones[Fecha],'BUPA Seguros'!$X$3,Regiones[Intervalo],'BUPA Seguros'!$W19,Regiones[Skill],'BUPA Seguros'!$L$3)</f>
        <v>0</v>
      </c>
    </row>
    <row r="20" spans="2:28" x14ac:dyDescent="0.3">
      <c r="B20" s="27">
        <f t="shared" si="8"/>
        <v>46204</v>
      </c>
      <c r="C20" s="18">
        <v>0.29166666666666702</v>
      </c>
      <c r="D20" s="19">
        <f>+SUMIFS(Regiones[Ofrecidas],Regiones[Fecha],Tabla54[[#This Row],[Fecha]],Regiones[Intervalo],Tabla54[[#This Row],[Intervalo]],Regiones[Skill],'BUPA Seguros'!$L$3)</f>
        <v>0</v>
      </c>
      <c r="E20" s="19">
        <f>+SUMIFS(Regiones[Contestadas],Regiones[Fecha],Tabla54[[#This Row],[Fecha]],Regiones[Intervalo],Tabla54[[#This Row],[Intervalo]],Regiones[Skill],'BUPA Seguros'!$L$3)</f>
        <v>0</v>
      </c>
      <c r="F20" s="20">
        <v>0</v>
      </c>
      <c r="G20" s="19">
        <f>IFERROR(SUMIFS(Regiones[TMO],Regiones[Fecha],Tabla54[[#This Row],[Fecha]],Regiones[Intervalo],Tabla54[[#This Row],[Intervalo]],Regiones[Skill],'BUPA Seguros'!$L$3)/Tabla54[[#This Row],[Atendidas]],0)</f>
        <v>0</v>
      </c>
      <c r="H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" s="21">
        <f>IFERROR(Tabla54[[#This Row],[Atendidas]]/Tabla54[[#This Row],[Recibidas]],0)</f>
        <v>0</v>
      </c>
      <c r="L20" s="40">
        <f t="shared" si="6"/>
        <v>46219</v>
      </c>
      <c r="M20" s="41">
        <f>+SUMIFS(Tabla54[Forecast],Tabla54[Fecha],$L20)</f>
        <v>0</v>
      </c>
      <c r="N20" s="41">
        <f>+SUMIFS(Regiones[Ofrecidas],Regiones[Fecha2],'BUPA Seguros'!$L20,Regiones[Skill],'BUPA Seguros'!$L$3)</f>
        <v>0</v>
      </c>
      <c r="O20" s="41"/>
      <c r="P20" s="41">
        <f>+SUMIFS(Regiones[Contestadas],Regiones[Fecha2],'BUPA Seguros'!$L20,Regiones[Skill],'BUPA Seguros'!$L$3)</f>
        <v>0</v>
      </c>
      <c r="Q20" s="41">
        <f>+SUMIFS(Regiones[Aten &lt; 20 seg],Regiones[Fecha2],'BUPA Seguros'!$L20,Regiones[Skill],'BUPA Seguros'!$L$3)</f>
        <v>0</v>
      </c>
      <c r="R20" s="41">
        <f t="shared" si="0"/>
        <v>0</v>
      </c>
      <c r="S20" s="42" t="str">
        <f t="shared" si="1"/>
        <v/>
      </c>
      <c r="T20" s="42" t="str">
        <f t="shared" si="2"/>
        <v/>
      </c>
      <c r="U20" s="42" t="str">
        <f t="shared" si="3"/>
        <v/>
      </c>
      <c r="W20" s="49">
        <v>0.58333333333333304</v>
      </c>
      <c r="X20" s="22">
        <f>+SUMIFS(Tabla54[Recibidas],Tabla54[Fecha],$X$3,Tabla54[Intervalo],$W20)</f>
        <v>0</v>
      </c>
      <c r="Y20" s="23">
        <f>+SUMIFS(Tabla54[Forecast],Tabla54[Fecha],$X$3,Tabla54[Intervalo],$W20)</f>
        <v>42.218191329472475</v>
      </c>
      <c r="Z20" s="22">
        <f>+SUMIFS(Tabla54[Atendidas],Tabla54[Fecha],$X$3,Tabla54[Intervalo],$W20)</f>
        <v>0</v>
      </c>
      <c r="AA20" s="24">
        <f t="shared" si="5"/>
        <v>0</v>
      </c>
      <c r="AB20" s="55">
        <f>+SUMIFS(Regiones[Aten &lt; 20 seg],Regiones[Fecha],'BUPA Seguros'!$X$3,Regiones[Intervalo],'BUPA Seguros'!$W20,Regiones[Skill],'BUPA Seguros'!$L$3)</f>
        <v>0</v>
      </c>
    </row>
    <row r="21" spans="2:28" x14ac:dyDescent="0.3">
      <c r="B21" s="25">
        <f t="shared" si="8"/>
        <v>46204</v>
      </c>
      <c r="C21" s="26">
        <v>0.3125</v>
      </c>
      <c r="D21" s="19">
        <f>+SUMIFS(Regiones[Ofrecidas],Regiones[Fecha],Tabla54[[#This Row],[Fecha]],Regiones[Intervalo],Tabla54[[#This Row],[Intervalo]],Regiones[Skill],'BUPA Seguros'!$L$3)</f>
        <v>0</v>
      </c>
      <c r="E21" s="19">
        <f>+SUMIFS(Regiones[Contestadas],Regiones[Fecha],Tabla54[[#This Row],[Fecha]],Regiones[Intervalo],Tabla54[[#This Row],[Intervalo]],Regiones[Skill],'BUPA Seguros'!$L$3)</f>
        <v>0</v>
      </c>
      <c r="F21" s="20">
        <v>0</v>
      </c>
      <c r="G21" s="19">
        <f>IFERROR(SUMIFS(Regiones[TMO],Regiones[Fecha],Tabla54[[#This Row],[Fecha]],Regiones[Intervalo],Tabla54[[#This Row],[Intervalo]],Regiones[Skill],'BUPA Seguros'!$L$3)/Tabla54[[#This Row],[Atendidas]],0)</f>
        <v>0</v>
      </c>
      <c r="H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" s="21">
        <f>IFERROR(Tabla54[[#This Row],[Atendidas]]/Tabla54[[#This Row],[Recibidas]],0)</f>
        <v>0</v>
      </c>
      <c r="L21" s="40">
        <f t="shared" si="6"/>
        <v>46220</v>
      </c>
      <c r="M21" s="41">
        <f>+SUMIFS(Tabla54[Forecast],Tabla54[Fecha],$L21)</f>
        <v>449.6655822221058</v>
      </c>
      <c r="N21" s="41">
        <f>+SUMIFS(Regiones[Ofrecidas],Regiones[Fecha2],'BUPA Seguros'!$L21,Regiones[Skill],'BUPA Seguros'!$L$3)</f>
        <v>0</v>
      </c>
      <c r="O21" s="41"/>
      <c r="P21" s="41">
        <f>+SUMIFS(Regiones[Contestadas],Regiones[Fecha2],'BUPA Seguros'!$L21,Regiones[Skill],'BUPA Seguros'!$L$3)</f>
        <v>0</v>
      </c>
      <c r="Q21" s="41">
        <f>+SUMIFS(Regiones[Aten &lt; 20 seg],Regiones[Fecha2],'BUPA Seguros'!$L21,Regiones[Skill],'BUPA Seguros'!$L$3)</f>
        <v>0</v>
      </c>
      <c r="R21" s="41">
        <f t="shared" si="0"/>
        <v>0</v>
      </c>
      <c r="S21" s="42" t="str">
        <f t="shared" si="1"/>
        <v/>
      </c>
      <c r="T21" s="42" t="str">
        <f t="shared" si="2"/>
        <v/>
      </c>
      <c r="U21" s="42" t="str">
        <f t="shared" si="3"/>
        <v/>
      </c>
      <c r="W21" s="49">
        <v>0.60416666666666696</v>
      </c>
      <c r="X21" s="22">
        <f>+SUMIFS(Tabla54[Recibidas],Tabla54[Fecha],$X$3,Tabla54[Intervalo],$W21)</f>
        <v>0</v>
      </c>
      <c r="Y21" s="23">
        <f>+SUMIFS(Tabla54[Forecast],Tabla54[Fecha],$X$3,Tabla54[Intervalo],$W21)</f>
        <v>41.22049775327848</v>
      </c>
      <c r="Z21" s="22">
        <f>+SUMIFS(Tabla54[Atendidas],Tabla54[Fecha],$X$3,Tabla54[Intervalo],$W21)</f>
        <v>0</v>
      </c>
      <c r="AA21" s="24">
        <f t="shared" si="5"/>
        <v>0</v>
      </c>
      <c r="AB21" s="55">
        <f>+SUMIFS(Regiones[Aten &lt; 20 seg],Regiones[Fecha],'BUPA Seguros'!$X$3,Regiones[Intervalo],'BUPA Seguros'!$W21,Regiones[Skill],'BUPA Seguros'!$L$3)</f>
        <v>0</v>
      </c>
    </row>
    <row r="22" spans="2:28" x14ac:dyDescent="0.3">
      <c r="B22" s="27">
        <f t="shared" si="8"/>
        <v>46204</v>
      </c>
      <c r="C22" s="18">
        <v>0.33333333333333298</v>
      </c>
      <c r="D22" s="19">
        <f>+SUMIFS(Regiones[Ofrecidas],Regiones[Fecha],Tabla54[[#This Row],[Fecha]],Regiones[Intervalo],Tabla54[[#This Row],[Intervalo]],Regiones[Skill],'BUPA Seguros'!$L$3)</f>
        <v>0</v>
      </c>
      <c r="E22" s="19">
        <f>+SUMIFS(Regiones[Contestadas],Regiones[Fecha],Tabla54[[#This Row],[Fecha]],Regiones[Intervalo],Tabla54[[#This Row],[Intervalo]],Regiones[Skill],'BUPA Seguros'!$L$3)</f>
        <v>0</v>
      </c>
      <c r="F22" s="20">
        <v>0</v>
      </c>
      <c r="G22" s="19">
        <f>IFERROR(SUMIFS(Regiones[TMO],Regiones[Fecha],Tabla54[[#This Row],[Fecha]],Regiones[Intervalo],Tabla54[[#This Row],[Intervalo]],Regiones[Skill],'BUPA Seguros'!$L$3)/Tabla54[[#This Row],[Atendidas]],0)</f>
        <v>0</v>
      </c>
      <c r="H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" s="21">
        <f>IFERROR(Tabla54[[#This Row],[Atendidas]]/Tabla54[[#This Row],[Recibidas]],0)</f>
        <v>0</v>
      </c>
      <c r="L22" s="40">
        <f t="shared" si="6"/>
        <v>46221</v>
      </c>
      <c r="M22" s="41">
        <f>+SUMIFS(Tabla54[Forecast],Tabla54[Fecha],$L22)</f>
        <v>0</v>
      </c>
      <c r="N22" s="41">
        <f>+SUMIFS(Regiones[Ofrecidas],Regiones[Fecha2],'BUPA Seguros'!$L22,Regiones[Skill],'BUPA Seguros'!$L$3)</f>
        <v>0</v>
      </c>
      <c r="O22" s="41"/>
      <c r="P22" s="41">
        <f>+SUMIFS(Regiones[Contestadas],Regiones[Fecha2],'BUPA Seguros'!$L22,Regiones[Skill],'BUPA Seguros'!$L$3)</f>
        <v>0</v>
      </c>
      <c r="Q22" s="41">
        <f>+SUMIFS(Regiones[Aten &lt; 20 seg],Regiones[Fecha2],'BUPA Seguros'!$L22,Regiones[Skill],'BUPA Seguros'!$L$3)</f>
        <v>0</v>
      </c>
      <c r="R22" s="41">
        <f t="shared" si="0"/>
        <v>0</v>
      </c>
      <c r="S22" s="42" t="str">
        <f t="shared" si="1"/>
        <v/>
      </c>
      <c r="T22" s="42" t="str">
        <f t="shared" si="2"/>
        <v/>
      </c>
      <c r="U22" s="42" t="str">
        <f t="shared" si="3"/>
        <v/>
      </c>
      <c r="W22" s="49">
        <v>0.625</v>
      </c>
      <c r="X22" s="22">
        <f>+SUMIFS(Tabla54[Recibidas],Tabla54[Fecha],$X$3,Tabla54[Intervalo],$W22)</f>
        <v>0</v>
      </c>
      <c r="Y22" s="23">
        <f>+SUMIFS(Tabla54[Forecast],Tabla54[Fecha],$X$3,Tabla54[Intervalo],$W22)</f>
        <v>40.922940020027625</v>
      </c>
      <c r="Z22" s="22">
        <f>+SUMIFS(Tabla54[Atendidas],Tabla54[Fecha],$X$3,Tabla54[Intervalo],$W22)</f>
        <v>0</v>
      </c>
      <c r="AA22" s="24">
        <f t="shared" si="5"/>
        <v>0</v>
      </c>
      <c r="AB22" s="55">
        <f>+SUMIFS(Regiones[Aten &lt; 20 seg],Regiones[Fecha],'BUPA Seguros'!$X$3,Regiones[Intervalo],'BUPA Seguros'!$W22,Regiones[Skill],'BUPA Seguros'!$L$3)</f>
        <v>0</v>
      </c>
    </row>
    <row r="23" spans="2:28" x14ac:dyDescent="0.3">
      <c r="B23" s="25">
        <f t="shared" si="8"/>
        <v>46204</v>
      </c>
      <c r="C23" s="26">
        <v>0.35416666666666702</v>
      </c>
      <c r="D23" s="19">
        <f>+SUMIFS(Regiones[Ofrecidas],Regiones[Fecha],Tabla54[[#This Row],[Fecha]],Regiones[Intervalo],Tabla54[[#This Row],[Intervalo]],Regiones[Skill],'BUPA Seguros'!$L$3)</f>
        <v>0</v>
      </c>
      <c r="E23" s="19">
        <f>+SUMIFS(Regiones[Contestadas],Regiones[Fecha],Tabla54[[#This Row],[Fecha]],Regiones[Intervalo],Tabla54[[#This Row],[Intervalo]],Regiones[Skill],'BUPA Seguros'!$L$3)</f>
        <v>0</v>
      </c>
      <c r="F23" s="20">
        <v>0</v>
      </c>
      <c r="G23" s="19">
        <f>IFERROR(SUMIFS(Regiones[TMO],Regiones[Fecha],Tabla54[[#This Row],[Fecha]],Regiones[Intervalo],Tabla54[[#This Row],[Intervalo]],Regiones[Skill],'BUPA Seguros'!$L$3)/Tabla54[[#This Row],[Atendidas]],0)</f>
        <v>0</v>
      </c>
      <c r="H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" s="21">
        <f>IFERROR(Tabla54[[#This Row],[Atendidas]]/Tabla54[[#This Row],[Recibidas]],0)</f>
        <v>0</v>
      </c>
      <c r="L23" s="40">
        <f t="shared" si="6"/>
        <v>46222</v>
      </c>
      <c r="M23" s="41">
        <f>+SUMIFS(Tabla54[Forecast],Tabla54[Fecha],$L23)</f>
        <v>0</v>
      </c>
      <c r="N23" s="41">
        <f>+SUMIFS(Regiones[Ofrecidas],Regiones[Fecha2],'BUPA Seguros'!$L23,Regiones[Skill],'BUPA Seguros'!$L$3)</f>
        <v>0</v>
      </c>
      <c r="O23" s="41"/>
      <c r="P23" s="41">
        <f>+SUMIFS(Regiones[Contestadas],Regiones[Fecha2],'BUPA Seguros'!$L23,Regiones[Skill],'BUPA Seguros'!$L$3)</f>
        <v>0</v>
      </c>
      <c r="Q23" s="41">
        <f>+SUMIFS(Regiones[Aten &lt; 20 seg],Regiones[Fecha2],'BUPA Seguros'!$L23,Regiones[Skill],'BUPA Seguros'!$L$3)</f>
        <v>0</v>
      </c>
      <c r="R23" s="41">
        <f t="shared" si="0"/>
        <v>0</v>
      </c>
      <c r="S23" s="42" t="str">
        <f t="shared" si="1"/>
        <v/>
      </c>
      <c r="T23" s="42" t="str">
        <f t="shared" si="2"/>
        <v/>
      </c>
      <c r="U23" s="42" t="str">
        <f t="shared" si="3"/>
        <v/>
      </c>
      <c r="W23" s="49">
        <v>0.64583333333333304</v>
      </c>
      <c r="X23" s="22">
        <f>+SUMIFS(Tabla54[Recibidas],Tabla54[Fecha],$X$3,Tabla54[Intervalo],$W23)</f>
        <v>0</v>
      </c>
      <c r="Y23" s="23">
        <f>+SUMIFS(Tabla54[Forecast],Tabla54[Fecha],$X$3,Tabla54[Intervalo],$W23)</f>
        <v>40.59037549462964</v>
      </c>
      <c r="Z23" s="22">
        <f>+SUMIFS(Tabla54[Atendidas],Tabla54[Fecha],$X$3,Tabla54[Intervalo],$W23)</f>
        <v>0</v>
      </c>
      <c r="AA23" s="24">
        <f t="shared" si="5"/>
        <v>0</v>
      </c>
      <c r="AB23" s="55">
        <f>+SUMIFS(Regiones[Aten &lt; 20 seg],Regiones[Fecha],'BUPA Seguros'!$X$3,Regiones[Intervalo],'BUPA Seguros'!$W23,Regiones[Skill],'BUPA Seguros'!$L$3)</f>
        <v>0</v>
      </c>
    </row>
    <row r="24" spans="2:28" x14ac:dyDescent="0.3">
      <c r="B24" s="27">
        <f t="shared" si="8"/>
        <v>46204</v>
      </c>
      <c r="C24" s="18">
        <v>0.375</v>
      </c>
      <c r="D24" s="19">
        <f>+SUMIFS(Regiones[Ofrecidas],Regiones[Fecha],Tabla54[[#This Row],[Fecha]],Regiones[Intervalo],Tabla54[[#This Row],[Intervalo]],Regiones[Skill],'BUPA Seguros'!$L$3)</f>
        <v>37</v>
      </c>
      <c r="E24" s="19">
        <f>+SUMIFS(Regiones[Contestadas],Regiones[Fecha],Tabla54[[#This Row],[Fecha]],Regiones[Intervalo],Tabla54[[#This Row],[Intervalo]],Regiones[Skill],'BUPA Seguros'!$L$3)</f>
        <v>36</v>
      </c>
      <c r="F24" s="20">
        <v>40.643261008973759</v>
      </c>
      <c r="G24" s="19">
        <f>IFERROR(SUMIFS(Regiones[TMO],Regiones[Fecha],Tabla54[[#This Row],[Fecha]],Regiones[Intervalo],Tabla54[[#This Row],[Intervalo]],Regiones[Skill],'BUPA Seguros'!$L$3)/Tabla54[[#This Row],[Atendidas]],0)</f>
        <v>66.722222222222229</v>
      </c>
      <c r="H24" s="21">
        <f>IFERROR(SUMIFS(Regiones[Aten &lt; 20 seg],Regiones[Fecha],Tabla54[[#This Row],[Fecha]],Regiones[Intervalo],Tabla54[[#This Row],[Intervalo]],Regiones[Skill],'BUPA Seguros'!$L$3)/Tabla54[[#This Row],[Recibidas]],0)</f>
        <v>0.40594594594594596</v>
      </c>
      <c r="I24" s="21">
        <f>IFERROR(Tabla54[[#This Row],[Atendidas]]/Tabla54[[#This Row],[Recibidas]],0)</f>
        <v>0.97297297297297303</v>
      </c>
      <c r="L24" s="40">
        <f t="shared" si="6"/>
        <v>46223</v>
      </c>
      <c r="M24" s="41">
        <f>+SUMIFS(Tabla54[Forecast],Tabla54[Fecha],$L24)</f>
        <v>862.09390065525861</v>
      </c>
      <c r="N24" s="41">
        <f>+SUMIFS(Regiones[Ofrecidas],Regiones[Fecha2],'BUPA Seguros'!$L24,Regiones[Skill],'BUPA Seguros'!$L$3)</f>
        <v>0</v>
      </c>
      <c r="O24" s="41"/>
      <c r="P24" s="41">
        <f>+SUMIFS(Regiones[Contestadas],Regiones[Fecha2],'BUPA Seguros'!$L24,Regiones[Skill],'BUPA Seguros'!$L$3)</f>
        <v>0</v>
      </c>
      <c r="Q24" s="41">
        <f>+SUMIFS(Regiones[Aten &lt; 20 seg],Regiones[Fecha2],'BUPA Seguros'!$L24,Regiones[Skill],'BUPA Seguros'!$L$3)</f>
        <v>0</v>
      </c>
      <c r="R24" s="41">
        <f t="shared" si="0"/>
        <v>0</v>
      </c>
      <c r="S24" s="42" t="str">
        <f t="shared" si="1"/>
        <v/>
      </c>
      <c r="T24" s="42" t="str">
        <f t="shared" si="2"/>
        <v/>
      </c>
      <c r="U24" s="42" t="str">
        <f t="shared" si="3"/>
        <v/>
      </c>
      <c r="W24" s="49">
        <v>0.66666666666666696</v>
      </c>
      <c r="X24" s="22">
        <f>+SUMIFS(Tabla54[Recibidas],Tabla54[Fecha],$X$3,Tabla54[Intervalo],$W24)</f>
        <v>0</v>
      </c>
      <c r="Y24" s="23">
        <f>+SUMIFS(Tabla54[Forecast],Tabla54[Fecha],$X$3,Tabla54[Intervalo],$W24)</f>
        <v>39.618937012545999</v>
      </c>
      <c r="Z24" s="22">
        <f>+SUMIFS(Tabla54[Atendidas],Tabla54[Fecha],$X$3,Tabla54[Intervalo],$W24)</f>
        <v>0</v>
      </c>
      <c r="AA24" s="24">
        <f t="shared" si="5"/>
        <v>0</v>
      </c>
      <c r="AB24" s="55">
        <f>+SUMIFS(Regiones[Aten &lt; 20 seg],Regiones[Fecha],'BUPA Seguros'!$X$3,Regiones[Intervalo],'BUPA Seguros'!$W24,Regiones[Skill],'BUPA Seguros'!$L$3)</f>
        <v>0</v>
      </c>
    </row>
    <row r="25" spans="2:28" x14ac:dyDescent="0.3">
      <c r="B25" s="25">
        <f t="shared" si="8"/>
        <v>46204</v>
      </c>
      <c r="C25" s="26">
        <v>0.39583333333333298</v>
      </c>
      <c r="D25" s="19">
        <f>+SUMIFS(Regiones[Ofrecidas],Regiones[Fecha],Tabla54[[#This Row],[Fecha]],Regiones[Intervalo],Tabla54[[#This Row],[Intervalo]],Regiones[Skill],'BUPA Seguros'!$L$3)</f>
        <v>46</v>
      </c>
      <c r="E25" s="19">
        <f>+SUMIFS(Regiones[Contestadas],Regiones[Fecha],Tabla54[[#This Row],[Fecha]],Regiones[Intervalo],Tabla54[[#This Row],[Intervalo]],Regiones[Skill],'BUPA Seguros'!$L$3)</f>
        <v>41</v>
      </c>
      <c r="F25" s="20">
        <v>40.356602007683861</v>
      </c>
      <c r="G25" s="19">
        <f>IFERROR(SUMIFS(Regiones[TMO],Regiones[Fecha],Tabla54[[#This Row],[Fecha]],Regiones[Intervalo],Tabla54[[#This Row],[Intervalo]],Regiones[Skill],'BUPA Seguros'!$L$3)/Tabla54[[#This Row],[Atendidas]],0)</f>
        <v>68.756097560975604</v>
      </c>
      <c r="H25" s="21">
        <f>IFERROR(SUMIFS(Regiones[Aten &lt; 20 seg],Regiones[Fecha],Tabla54[[#This Row],[Fecha]],Regiones[Intervalo],Tabla54[[#This Row],[Intervalo]],Regiones[Skill],'BUPA Seguros'!$L$3)/Tabla54[[#This Row],[Recibidas]],0)</f>
        <v>0.83239130434782604</v>
      </c>
      <c r="I25" s="21">
        <f>IFERROR(Tabla54[[#This Row],[Atendidas]]/Tabla54[[#This Row],[Recibidas]],0)</f>
        <v>0.89130434782608692</v>
      </c>
      <c r="L25" s="40">
        <f t="shared" si="6"/>
        <v>46224</v>
      </c>
      <c r="M25" s="41">
        <f>+SUMIFS(Tabla54[Forecast],Tabla54[Fecha],$L25)</f>
        <v>664.2068818502031</v>
      </c>
      <c r="N25" s="41">
        <f>+SUMIFS(Regiones[Ofrecidas],Regiones[Fecha2],'BUPA Seguros'!$L25,Regiones[Skill],'BUPA Seguros'!$L$3)</f>
        <v>0</v>
      </c>
      <c r="O25" s="41"/>
      <c r="P25" s="41">
        <f>+SUMIFS(Regiones[Contestadas],Regiones[Fecha2],'BUPA Seguros'!$L25,Regiones[Skill],'BUPA Seguros'!$L$3)</f>
        <v>0</v>
      </c>
      <c r="Q25" s="41">
        <f>+SUMIFS(Regiones[Aten &lt; 20 seg],Regiones[Fecha2],'BUPA Seguros'!$L25,Regiones[Skill],'BUPA Seguros'!$L$3)</f>
        <v>0</v>
      </c>
      <c r="R25" s="41">
        <f t="shared" si="0"/>
        <v>0</v>
      </c>
      <c r="S25" s="42" t="str">
        <f t="shared" si="1"/>
        <v/>
      </c>
      <c r="T25" s="42" t="str">
        <f t="shared" si="2"/>
        <v/>
      </c>
      <c r="U25" s="42" t="str">
        <f t="shared" si="3"/>
        <v/>
      </c>
      <c r="W25" s="49">
        <v>0.6875</v>
      </c>
      <c r="X25" s="22">
        <f>+SUMIFS(Tabla54[Recibidas],Tabla54[Fecha],$X$3,Tabla54[Intervalo],$W25)</f>
        <v>0</v>
      </c>
      <c r="Y25" s="23">
        <f>+SUMIFS(Tabla54[Forecast],Tabla54[Fecha],$X$3,Tabla54[Intervalo],$W25)</f>
        <v>37.676060048378744</v>
      </c>
      <c r="Z25" s="22">
        <f>+SUMIFS(Tabla54[Atendidas],Tabla54[Fecha],$X$3,Tabla54[Intervalo],$W25)</f>
        <v>0</v>
      </c>
      <c r="AA25" s="24">
        <f t="shared" si="5"/>
        <v>0</v>
      </c>
      <c r="AB25" s="55">
        <f>+SUMIFS(Regiones[Aten &lt; 20 seg],Regiones[Fecha],'BUPA Seguros'!$X$3,Regiones[Intervalo],'BUPA Seguros'!$W25,Regiones[Skill],'BUPA Seguros'!$L$3)</f>
        <v>0</v>
      </c>
    </row>
    <row r="26" spans="2:28" x14ac:dyDescent="0.3">
      <c r="B26" s="27">
        <f t="shared" si="8"/>
        <v>46204</v>
      </c>
      <c r="C26" s="18">
        <v>0.41666666666666702</v>
      </c>
      <c r="D26" s="19">
        <f>+SUMIFS(Regiones[Ofrecidas],Regiones[Fecha],Tabla54[[#This Row],[Fecha]],Regiones[Intervalo],Tabla54[[#This Row],[Intervalo]],Regiones[Skill],'BUPA Seguros'!$L$3)</f>
        <v>50</v>
      </c>
      <c r="E26" s="19">
        <f>+SUMIFS(Regiones[Contestadas],Regiones[Fecha],Tabla54[[#This Row],[Fecha]],Regiones[Intervalo],Tabla54[[#This Row],[Intervalo]],Regiones[Skill],'BUPA Seguros'!$L$3)</f>
        <v>37</v>
      </c>
      <c r="F26" s="20">
        <v>40.593407269618993</v>
      </c>
      <c r="G26" s="19">
        <f>IFERROR(SUMIFS(Regiones[TMO],Regiones[Fecha],Tabla54[[#This Row],[Fecha]],Regiones[Intervalo],Tabla54[[#This Row],[Intervalo]],Regiones[Skill],'BUPA Seguros'!$L$3)/Tabla54[[#This Row],[Atendidas]],0)</f>
        <v>64.378378378378372</v>
      </c>
      <c r="H26" s="21">
        <f>IFERROR(SUMIFS(Regiones[Aten &lt; 20 seg],Regiones[Fecha],Tabla54[[#This Row],[Fecha]],Regiones[Intervalo],Tabla54[[#This Row],[Intervalo]],Regiones[Skill],'BUPA Seguros'!$L$3)/Tabla54[[#This Row],[Recibidas]],0)</f>
        <v>5.6000000000000008E-2</v>
      </c>
      <c r="I26" s="21">
        <f>IFERROR(Tabla54[[#This Row],[Atendidas]]/Tabla54[[#This Row],[Recibidas]],0)</f>
        <v>0.74</v>
      </c>
      <c r="L26" s="40">
        <f t="shared" si="6"/>
        <v>46225</v>
      </c>
      <c r="M26" s="41">
        <f>+SUMIFS(Tabla54[Forecast],Tabla54[Fecha],$L26)</f>
        <v>526.10446087144783</v>
      </c>
      <c r="N26" s="41">
        <f>+SUMIFS(Regiones[Ofrecidas],Regiones[Fecha2],'BUPA Seguros'!$L26,Regiones[Skill],'BUPA Seguros'!$L$3)</f>
        <v>0</v>
      </c>
      <c r="O26" s="41"/>
      <c r="P26" s="41">
        <f>+SUMIFS(Regiones[Contestadas],Regiones[Fecha2],'BUPA Seguros'!$L26,Regiones[Skill],'BUPA Seguros'!$L$3)</f>
        <v>0</v>
      </c>
      <c r="Q26" s="41">
        <f>+SUMIFS(Regiones[Aten &lt; 20 seg],Regiones[Fecha2],'BUPA Seguros'!$L26,Regiones[Skill],'BUPA Seguros'!$L$3)</f>
        <v>0</v>
      </c>
      <c r="R26" s="41">
        <f t="shared" si="0"/>
        <v>0</v>
      </c>
      <c r="S26" s="42" t="str">
        <f t="shared" si="1"/>
        <v/>
      </c>
      <c r="T26" s="42" t="str">
        <f t="shared" si="2"/>
        <v/>
      </c>
      <c r="U26" s="42" t="str">
        <f t="shared" si="3"/>
        <v/>
      </c>
      <c r="W26" s="49">
        <v>0.70833333333333304</v>
      </c>
      <c r="X26" s="22">
        <f>+SUMIFS(Tabla54[Recibidas],Tabla54[Fecha],$X$3,Tabla54[Intervalo],$W26)</f>
        <v>0</v>
      </c>
      <c r="Y26" s="23">
        <f>+SUMIFS(Tabla54[Forecast],Tabla54[Fecha],$X$3,Tabla54[Intervalo],$W26)</f>
        <v>35.313101578445576</v>
      </c>
      <c r="Z26" s="22">
        <f>+SUMIFS(Tabla54[Atendidas],Tabla54[Fecha],$X$3,Tabla54[Intervalo],$W26)</f>
        <v>0</v>
      </c>
      <c r="AA26" s="24">
        <f t="shared" si="5"/>
        <v>0</v>
      </c>
      <c r="AB26" s="55">
        <f>+SUMIFS(Regiones[Aten &lt; 20 seg],Regiones[Fecha],'BUPA Seguros'!$X$3,Regiones[Intervalo],'BUPA Seguros'!$W26,Regiones[Skill],'BUPA Seguros'!$L$3)</f>
        <v>0</v>
      </c>
    </row>
    <row r="27" spans="2:28" x14ac:dyDescent="0.3">
      <c r="B27" s="25">
        <f t="shared" si="8"/>
        <v>46204</v>
      </c>
      <c r="C27" s="26">
        <v>0.4375</v>
      </c>
      <c r="D27" s="19">
        <f>+SUMIFS(Regiones[Ofrecidas],Regiones[Fecha],Tabla54[[#This Row],[Fecha]],Regiones[Intervalo],Tabla54[[#This Row],[Intervalo]],Regiones[Skill],'BUPA Seguros'!$L$3)</f>
        <v>52</v>
      </c>
      <c r="E27" s="19">
        <f>+SUMIFS(Regiones[Contestadas],Regiones[Fecha],Tabla54[[#This Row],[Fecha]],Regiones[Intervalo],Tabla54[[#This Row],[Intervalo]],Regiones[Skill],'BUPA Seguros'!$L$3)</f>
        <v>37</v>
      </c>
      <c r="F27" s="20">
        <v>42.649874018003139</v>
      </c>
      <c r="G27" s="19">
        <f>IFERROR(SUMIFS(Regiones[TMO],Regiones[Fecha],Tabla54[[#This Row],[Fecha]],Regiones[Intervalo],Tabla54[[#This Row],[Intervalo]],Regiones[Skill],'BUPA Seguros'!$L$3)/Tabla54[[#This Row],[Atendidas]],0)</f>
        <v>79</v>
      </c>
      <c r="H27" s="21">
        <f>IFERROR(SUMIFS(Regiones[Aten &lt; 20 seg],Regiones[Fecha],Tabla54[[#This Row],[Fecha]],Regiones[Intervalo],Tabla54[[#This Row],[Intervalo]],Regiones[Skill],'BUPA Seguros'!$L$3)/Tabla54[[#This Row],[Recibidas]],0)</f>
        <v>7.6730769230769227E-2</v>
      </c>
      <c r="I27" s="21">
        <f>IFERROR(Tabla54[[#This Row],[Atendidas]]/Tabla54[[#This Row],[Recibidas]],0)</f>
        <v>0.71153846153846156</v>
      </c>
      <c r="L27" s="40">
        <f t="shared" si="6"/>
        <v>46226</v>
      </c>
      <c r="M27" s="41">
        <f>+SUMIFS(Tabla54[Forecast],Tabla54[Fecha],$L27)</f>
        <v>491.94183354213311</v>
      </c>
      <c r="N27" s="41">
        <f>+SUMIFS(Regiones[Ofrecidas],Regiones[Fecha2],'BUPA Seguros'!$L27,Regiones[Skill],'BUPA Seguros'!$L$3)</f>
        <v>0</v>
      </c>
      <c r="O27" s="41"/>
      <c r="P27" s="41">
        <f>+SUMIFS(Regiones[Contestadas],Regiones[Fecha2],'BUPA Seguros'!$L27,Regiones[Skill],'BUPA Seguros'!$L$3)</f>
        <v>0</v>
      </c>
      <c r="Q27" s="41">
        <f>+SUMIFS(Regiones[Aten &lt; 20 seg],Regiones[Fecha2],'BUPA Seguros'!$L27,Regiones[Skill],'BUPA Seguros'!$L$3)</f>
        <v>0</v>
      </c>
      <c r="R27" s="41">
        <f t="shared" si="0"/>
        <v>0</v>
      </c>
      <c r="S27" s="42" t="str">
        <f t="shared" si="1"/>
        <v/>
      </c>
      <c r="T27" s="42" t="str">
        <f t="shared" si="2"/>
        <v/>
      </c>
      <c r="U27" s="42" t="str">
        <f t="shared" si="3"/>
        <v/>
      </c>
      <c r="W27" s="49">
        <v>0.72916666666666696</v>
      </c>
      <c r="X27" s="22">
        <f>+SUMIFS(Tabla54[Recibidas],Tabla54[Fecha],$X$3,Tabla54[Intervalo],$W27)</f>
        <v>0</v>
      </c>
      <c r="Y27" s="23">
        <f>+SUMIFS(Tabla54[Forecast],Tabla54[Fecha],$X$3,Tabla54[Intervalo],$W27)</f>
        <v>32.333148396918752</v>
      </c>
      <c r="Z27" s="22">
        <f>+SUMIFS(Tabla54[Atendidas],Tabla54[Fecha],$X$3,Tabla54[Intervalo],$W27)</f>
        <v>0</v>
      </c>
      <c r="AA27" s="24">
        <f t="shared" si="5"/>
        <v>0</v>
      </c>
      <c r="AB27" s="55">
        <f>+SUMIFS(Regiones[Aten &lt; 20 seg],Regiones[Fecha],'BUPA Seguros'!$X$3,Regiones[Intervalo],'BUPA Seguros'!$W27,Regiones[Skill],'BUPA Seguros'!$L$3)</f>
        <v>0</v>
      </c>
    </row>
    <row r="28" spans="2:28" x14ac:dyDescent="0.3">
      <c r="B28" s="27">
        <f t="shared" si="8"/>
        <v>46204</v>
      </c>
      <c r="C28" s="18">
        <v>0.45833333333333298</v>
      </c>
      <c r="D28" s="19">
        <f>+SUMIFS(Regiones[Ofrecidas],Regiones[Fecha],Tabla54[[#This Row],[Fecha]],Regiones[Intervalo],Tabla54[[#This Row],[Intervalo]],Regiones[Skill],'BUPA Seguros'!$L$3)</f>
        <v>45</v>
      </c>
      <c r="E28" s="19">
        <f>+SUMIFS(Regiones[Contestadas],Regiones[Fecha],Tabla54[[#This Row],[Fecha]],Regiones[Intervalo],Tabla54[[#This Row],[Intervalo]],Regiones[Skill],'BUPA Seguros'!$L$3)</f>
        <v>40</v>
      </c>
      <c r="F28" s="20">
        <v>43.622021935421088</v>
      </c>
      <c r="G28" s="19">
        <f>IFERROR(SUMIFS(Regiones[TMO],Regiones[Fecha],Tabla54[[#This Row],[Fecha]],Regiones[Intervalo],Tabla54[[#This Row],[Intervalo]],Regiones[Skill],'BUPA Seguros'!$L$3)/Tabla54[[#This Row],[Atendidas]],0)</f>
        <v>101.72499999999999</v>
      </c>
      <c r="H28" s="21">
        <f>IFERROR(SUMIFS(Regiones[Aten &lt; 20 seg],Regiones[Fecha],Tabla54[[#This Row],[Fecha]],Regiones[Intervalo],Tabla54[[#This Row],[Intervalo]],Regiones[Skill],'BUPA Seguros'!$L$3)/Tabla54[[#This Row],[Recibidas]],0)</f>
        <v>0.12200000000000001</v>
      </c>
      <c r="I28" s="21">
        <f>IFERROR(Tabla54[[#This Row],[Atendidas]]/Tabla54[[#This Row],[Recibidas]],0)</f>
        <v>0.88888888888888884</v>
      </c>
      <c r="L28" s="40">
        <f t="shared" si="6"/>
        <v>46227</v>
      </c>
      <c r="M28" s="41">
        <f>+SUMIFS(Tabla54[Forecast],Tabla54[Fecha],$L28)</f>
        <v>368.95637515659979</v>
      </c>
      <c r="N28" s="41">
        <f>+SUMIFS(Regiones[Ofrecidas],Regiones[Fecha2],'BUPA Seguros'!$L28,Regiones[Skill],'BUPA Seguros'!$L$3)</f>
        <v>0</v>
      </c>
      <c r="O28" s="41"/>
      <c r="P28" s="41">
        <f>+SUMIFS(Regiones[Contestadas],Regiones[Fecha2],'BUPA Seguros'!$L28,Regiones[Skill],'BUPA Seguros'!$L$3)</f>
        <v>0</v>
      </c>
      <c r="Q28" s="41">
        <f>+SUMIFS(Regiones[Aten &lt; 20 seg],Regiones[Fecha2],'BUPA Seguros'!$L28,Regiones[Skill],'BUPA Seguros'!$L$3)</f>
        <v>0</v>
      </c>
      <c r="R28" s="41">
        <f t="shared" si="0"/>
        <v>0</v>
      </c>
      <c r="S28" s="42" t="str">
        <f t="shared" si="1"/>
        <v/>
      </c>
      <c r="T28" s="42" t="str">
        <f t="shared" si="2"/>
        <v/>
      </c>
      <c r="U28" s="42" t="str">
        <f t="shared" si="3"/>
        <v/>
      </c>
      <c r="W28" s="49">
        <v>0.75</v>
      </c>
      <c r="X28" s="22">
        <f>+SUMIFS(Tabla54[Recibidas],Tabla54[Fecha],$X$3,Tabla54[Intervalo],$W28)</f>
        <v>0</v>
      </c>
      <c r="Y28" s="23">
        <f>+SUMIFS(Tabla54[Forecast],Tabla54[Fecha],$X$3,Tabla54[Intervalo],$W28)</f>
        <v>0</v>
      </c>
      <c r="Z28" s="22">
        <f>+SUMIFS(Tabla54[Atendidas],Tabla54[Fecha],$X$3,Tabla54[Intervalo],$W28)</f>
        <v>0</v>
      </c>
      <c r="AA28" s="24">
        <f t="shared" si="5"/>
        <v>0</v>
      </c>
      <c r="AB28" s="55">
        <f>+SUMIFS(Regiones[Aten &lt; 20 seg],Regiones[Fecha],'BUPA Seguros'!$X$3,Regiones[Intervalo],'BUPA Seguros'!$W28,Regiones[Skill],'BUPA Seguros'!$L$3)</f>
        <v>0</v>
      </c>
    </row>
    <row r="29" spans="2:28" x14ac:dyDescent="0.3">
      <c r="B29" s="25">
        <f t="shared" si="8"/>
        <v>46204</v>
      </c>
      <c r="C29" s="26">
        <v>0.47916666666666702</v>
      </c>
      <c r="D29" s="19">
        <f>+SUMIFS(Regiones[Ofrecidas],Regiones[Fecha],Tabla54[[#This Row],[Fecha]],Regiones[Intervalo],Tabla54[[#This Row],[Intervalo]],Regiones[Skill],'BUPA Seguros'!$L$3)</f>
        <v>48</v>
      </c>
      <c r="E29" s="19">
        <f>+SUMIFS(Regiones[Contestadas],Regiones[Fecha],Tabla54[[#This Row],[Fecha]],Regiones[Intervalo],Tabla54[[#This Row],[Intervalo]],Regiones[Skill],'BUPA Seguros'!$L$3)</f>
        <v>51</v>
      </c>
      <c r="F29" s="20">
        <v>44.419681765097359</v>
      </c>
      <c r="G29" s="19">
        <f>IFERROR(SUMIFS(Regiones[TMO],Regiones[Fecha],Tabla54[[#This Row],[Fecha]],Regiones[Intervalo],Tabla54[[#This Row],[Intervalo]],Regiones[Skill],'BUPA Seguros'!$L$3)/Tabla54[[#This Row],[Atendidas]],0)</f>
        <v>72.549019607843135</v>
      </c>
      <c r="H29" s="21">
        <f>IFERROR(SUMIFS(Regiones[Aten &lt; 20 seg],Regiones[Fecha],Tabla54[[#This Row],[Fecha]],Regiones[Intervalo],Tabla54[[#This Row],[Intervalo]],Regiones[Skill],'BUPA Seguros'!$L$3)/Tabla54[[#This Row],[Recibidas]],0)</f>
        <v>0.4393749999999999</v>
      </c>
      <c r="I29" s="21">
        <f>IFERROR(Tabla54[[#This Row],[Atendidas]]/Tabla54[[#This Row],[Recibidas]],0)</f>
        <v>1.0625</v>
      </c>
      <c r="L29" s="40">
        <f t="shared" si="6"/>
        <v>46228</v>
      </c>
      <c r="M29" s="41">
        <f>+SUMIFS(Tabla54[Forecast],Tabla54[Fecha],$L29)</f>
        <v>0</v>
      </c>
      <c r="N29" s="41">
        <f>+SUMIFS(Regiones[Ofrecidas],Regiones[Fecha2],'BUPA Seguros'!$L29,Regiones[Skill],'BUPA Seguros'!$L$3)</f>
        <v>0</v>
      </c>
      <c r="O29" s="41"/>
      <c r="P29" s="41">
        <f>+SUMIFS(Regiones[Contestadas],Regiones[Fecha2],'BUPA Seguros'!$L29,Regiones[Skill],'BUPA Seguros'!$L$3)</f>
        <v>0</v>
      </c>
      <c r="Q29" s="41">
        <f>+SUMIFS(Regiones[Aten &lt; 20 seg],Regiones[Fecha2],'BUPA Seguros'!$L29,Regiones[Skill],'BUPA Seguros'!$L$3)</f>
        <v>0</v>
      </c>
      <c r="R29" s="41">
        <f t="shared" si="0"/>
        <v>0</v>
      </c>
      <c r="S29" s="42" t="str">
        <f t="shared" si="1"/>
        <v/>
      </c>
      <c r="T29" s="42" t="str">
        <f t="shared" si="2"/>
        <v/>
      </c>
      <c r="U29" s="42" t="str">
        <f t="shared" si="3"/>
        <v/>
      </c>
      <c r="W29" s="49">
        <v>0.77083333333333304</v>
      </c>
      <c r="X29" s="22">
        <f>+SUMIFS(Tabla54[Recibidas],Tabla54[Fecha],$X$3,Tabla54[Intervalo],$W29)</f>
        <v>0</v>
      </c>
      <c r="Y29" s="23">
        <f>+SUMIFS(Tabla54[Forecast],Tabla54[Fecha],$X$3,Tabla54[Intervalo],$W29)</f>
        <v>0</v>
      </c>
      <c r="Z29" s="22">
        <f>+SUMIFS(Tabla54[Atendidas],Tabla54[Fecha],$X$3,Tabla54[Intervalo],$W29)</f>
        <v>0</v>
      </c>
      <c r="AA29" s="24">
        <f t="shared" si="5"/>
        <v>0</v>
      </c>
      <c r="AB29" s="55">
        <f>+SUMIFS(Regiones[Aten &lt; 20 seg],Regiones[Fecha],'BUPA Seguros'!$X$3,Regiones[Intervalo],'BUPA Seguros'!$W29,Regiones[Skill],'BUPA Seguros'!$L$3)</f>
        <v>0</v>
      </c>
    </row>
    <row r="30" spans="2:28" x14ac:dyDescent="0.3">
      <c r="B30" s="27">
        <f t="shared" si="8"/>
        <v>46204</v>
      </c>
      <c r="C30" s="18">
        <v>0.5</v>
      </c>
      <c r="D30" s="19">
        <f>+SUMIFS(Regiones[Ofrecidas],Regiones[Fecha],Tabla54[[#This Row],[Fecha]],Regiones[Intervalo],Tabla54[[#This Row],[Intervalo]],Regiones[Skill],'BUPA Seguros'!$L$3)</f>
        <v>53</v>
      </c>
      <c r="E30" s="19">
        <f>+SUMIFS(Regiones[Contestadas],Regiones[Fecha],Tabla54[[#This Row],[Fecha]],Regiones[Intervalo],Tabla54[[#This Row],[Intervalo]],Regiones[Skill],'BUPA Seguros'!$L$3)</f>
        <v>44</v>
      </c>
      <c r="F30" s="20">
        <v>43.405989064883777</v>
      </c>
      <c r="G30" s="19">
        <f>IFERROR(SUMIFS(Regiones[TMO],Regiones[Fecha],Tabla54[[#This Row],[Fecha]],Regiones[Intervalo],Tabla54[[#This Row],[Intervalo]],Regiones[Skill],'BUPA Seguros'!$L$3)/Tabla54[[#This Row],[Atendidas]],0)</f>
        <v>74.36363636363636</v>
      </c>
      <c r="H30" s="21">
        <f>IFERROR(SUMIFS(Regiones[Aten &lt; 20 seg],Regiones[Fecha],Tabla54[[#This Row],[Fecha]],Regiones[Intervalo],Tabla54[[#This Row],[Intervalo]],Regiones[Skill],'BUPA Seguros'!$L$3)/Tabla54[[#This Row],[Recibidas]],0)</f>
        <v>0.54716981132075471</v>
      </c>
      <c r="I30" s="21">
        <f>IFERROR(Tabla54[[#This Row],[Atendidas]]/Tabla54[[#This Row],[Recibidas]],0)</f>
        <v>0.83018867924528306</v>
      </c>
      <c r="L30" s="40">
        <f t="shared" si="6"/>
        <v>46229</v>
      </c>
      <c r="M30" s="41">
        <f>+SUMIFS(Tabla54[Forecast],Tabla54[Fecha],$L30)</f>
        <v>0</v>
      </c>
      <c r="N30" s="41">
        <f>+SUMIFS(Regiones[Ofrecidas],Regiones[Fecha2],'BUPA Seguros'!$L30,Regiones[Skill],'BUPA Seguros'!$L$3)</f>
        <v>0</v>
      </c>
      <c r="O30" s="41"/>
      <c r="P30" s="41">
        <f>+SUMIFS(Regiones[Contestadas],Regiones[Fecha2],'BUPA Seguros'!$L30,Regiones[Skill],'BUPA Seguros'!$L$3)</f>
        <v>0</v>
      </c>
      <c r="Q30" s="41">
        <f>+SUMIFS(Regiones[Aten &lt; 20 seg],Regiones[Fecha2],'BUPA Seguros'!$L30,Regiones[Skill],'BUPA Seguros'!$L$3)</f>
        <v>0</v>
      </c>
      <c r="R30" s="41">
        <f t="shared" si="0"/>
        <v>0</v>
      </c>
      <c r="S30" s="42" t="str">
        <f t="shared" si="1"/>
        <v/>
      </c>
      <c r="T30" s="42" t="str">
        <f t="shared" si="2"/>
        <v/>
      </c>
      <c r="U30" s="42" t="str">
        <f t="shared" si="3"/>
        <v/>
      </c>
      <c r="W30" s="49">
        <v>0.79166666666666696</v>
      </c>
      <c r="X30" s="22">
        <f>+SUMIFS(Tabla54[Recibidas],Tabla54[Fecha],$X$3,Tabla54[Intervalo],$W30)</f>
        <v>0</v>
      </c>
      <c r="Y30" s="23">
        <f>+SUMIFS(Tabla54[Forecast],Tabla54[Fecha],$X$3,Tabla54[Intervalo],$W30)</f>
        <v>0</v>
      </c>
      <c r="Z30" s="22">
        <f>+SUMIFS(Tabla54[Atendidas],Tabla54[Fecha],$X$3,Tabla54[Intervalo],$W30)</f>
        <v>0</v>
      </c>
      <c r="AA30" s="24">
        <f t="shared" si="5"/>
        <v>0</v>
      </c>
      <c r="AB30" s="55">
        <f>+SUMIFS(Regiones[Aten &lt; 20 seg],Regiones[Fecha],'BUPA Seguros'!$X$3,Regiones[Intervalo],'BUPA Seguros'!$W30,Regiones[Skill],'BUPA Seguros'!$L$3)</f>
        <v>0</v>
      </c>
    </row>
    <row r="31" spans="2:28" x14ac:dyDescent="0.3">
      <c r="B31" s="25">
        <f t="shared" si="8"/>
        <v>46204</v>
      </c>
      <c r="C31" s="26">
        <v>0.52083333333333304</v>
      </c>
      <c r="D31" s="19">
        <f>+SUMIFS(Regiones[Ofrecidas],Regiones[Fecha],Tabla54[[#This Row],[Fecha]],Regiones[Intervalo],Tabla54[[#This Row],[Intervalo]],Regiones[Skill],'BUPA Seguros'!$L$3)</f>
        <v>34</v>
      </c>
      <c r="E31" s="19">
        <f>+SUMIFS(Regiones[Contestadas],Regiones[Fecha],Tabla54[[#This Row],[Fecha]],Regiones[Intervalo],Tabla54[[#This Row],[Intervalo]],Regiones[Skill],'BUPA Seguros'!$L$3)</f>
        <v>38</v>
      </c>
      <c r="F31" s="20">
        <v>41.760815666176455</v>
      </c>
      <c r="G31" s="19">
        <f>IFERROR(SUMIFS(Regiones[TMO],Regiones[Fecha],Tabla54[[#This Row],[Fecha]],Regiones[Intervalo],Tabla54[[#This Row],[Intervalo]],Regiones[Skill],'BUPA Seguros'!$L$3)/Tabla54[[#This Row],[Atendidas]],0)</f>
        <v>102.18421052631579</v>
      </c>
      <c r="H31" s="21">
        <f>IFERROR(SUMIFS(Regiones[Aten &lt; 20 seg],Regiones[Fecha],Tabla54[[#This Row],[Fecha]],Regiones[Intervalo],Tabla54[[#This Row],[Intervalo]],Regiones[Skill],'BUPA Seguros'!$L$3)/Tabla54[[#This Row],[Recibidas]],0)</f>
        <v>0.64470588235294124</v>
      </c>
      <c r="I31" s="21">
        <f>IFERROR(Tabla54[[#This Row],[Atendidas]]/Tabla54[[#This Row],[Recibidas]],0)</f>
        <v>1.1176470588235294</v>
      </c>
      <c r="L31" s="40">
        <f t="shared" si="6"/>
        <v>46230</v>
      </c>
      <c r="M31" s="41">
        <f>+SUMIFS(Tabla54[Forecast],Tabla54[Fecha],$L31)</f>
        <v>662.3279373470906</v>
      </c>
      <c r="N31" s="41">
        <f>+SUMIFS(Regiones[Ofrecidas],Regiones[Fecha2],'BUPA Seguros'!$L31,Regiones[Skill],'BUPA Seguros'!$L$3)</f>
        <v>0</v>
      </c>
      <c r="O31" s="41"/>
      <c r="P31" s="41">
        <f>+SUMIFS(Regiones[Contestadas],Regiones[Fecha2],'BUPA Seguros'!$L31,Regiones[Skill],'BUPA Seguros'!$L$3)</f>
        <v>0</v>
      </c>
      <c r="Q31" s="41">
        <f>+SUMIFS(Regiones[Aten &lt; 20 seg],Regiones[Fecha2],'BUPA Seguros'!$L31,Regiones[Skill],'BUPA Seguros'!$L$3)</f>
        <v>0</v>
      </c>
      <c r="R31" s="41">
        <f t="shared" si="0"/>
        <v>0</v>
      </c>
      <c r="S31" s="42" t="str">
        <f t="shared" si="1"/>
        <v/>
      </c>
      <c r="T31" s="42" t="str">
        <f t="shared" si="2"/>
        <v/>
      </c>
      <c r="U31" s="42" t="str">
        <f t="shared" si="3"/>
        <v/>
      </c>
      <c r="W31" s="49">
        <v>0.8125</v>
      </c>
      <c r="X31" s="22">
        <f>+SUMIFS(Tabla54[Recibidas],Tabla54[Fecha],$X$3,Tabla54[Intervalo],$W31)</f>
        <v>0</v>
      </c>
      <c r="Y31" s="23">
        <f>+SUMIFS(Tabla54[Forecast],Tabla54[Fecha],$X$3,Tabla54[Intervalo],$W31)</f>
        <v>0</v>
      </c>
      <c r="Z31" s="22">
        <f>+SUMIFS(Tabla54[Atendidas],Tabla54[Fecha],$X$3,Tabla54[Intervalo],$W31)</f>
        <v>0</v>
      </c>
      <c r="AA31" s="24">
        <f t="shared" si="5"/>
        <v>0</v>
      </c>
      <c r="AB31" s="55">
        <f>+SUMIFS(Regiones[Aten &lt; 20 seg],Regiones[Fecha],'BUPA Seguros'!$X$3,Regiones[Intervalo],'BUPA Seguros'!$W31,Regiones[Skill],'BUPA Seguros'!$L$3)</f>
        <v>0</v>
      </c>
    </row>
    <row r="32" spans="2:28" ht="15" thickBot="1" x14ac:dyDescent="0.35">
      <c r="B32" s="27">
        <f t="shared" si="8"/>
        <v>46204</v>
      </c>
      <c r="C32" s="18">
        <v>0.54166666666666696</v>
      </c>
      <c r="D32" s="19">
        <f>+SUMIFS(Regiones[Ofrecidas],Regiones[Fecha],Tabla54[[#This Row],[Fecha]],Regiones[Intervalo],Tabla54[[#This Row],[Intervalo]],Regiones[Skill],'BUPA Seguros'!$L$3)</f>
        <v>36</v>
      </c>
      <c r="E32" s="19">
        <f>+SUMIFS(Regiones[Contestadas],Regiones[Fecha],Tabla54[[#This Row],[Fecha]],Regiones[Intervalo],Tabla54[[#This Row],[Intervalo]],Regiones[Skill],'BUPA Seguros'!$L$3)</f>
        <v>30</v>
      </c>
      <c r="F32" s="20">
        <v>39.234892872201598</v>
      </c>
      <c r="G32" s="19">
        <f>IFERROR(SUMIFS(Regiones[TMO],Regiones[Fecha],Tabla54[[#This Row],[Fecha]],Regiones[Intervalo],Tabla54[[#This Row],[Intervalo]],Regiones[Skill],'BUPA Seguros'!$L$3)/Tabla54[[#This Row],[Atendidas]],0)</f>
        <v>103.73333333333333</v>
      </c>
      <c r="H32" s="21">
        <f>IFERROR(SUMIFS(Regiones[Aten &lt; 20 seg],Regiones[Fecha],Tabla54[[#This Row],[Fecha]],Regiones[Intervalo],Tabla54[[#This Row],[Intervalo]],Regiones[Skill],'BUPA Seguros'!$L$3)/Tabla54[[#This Row],[Recibidas]],0)</f>
        <v>0.31</v>
      </c>
      <c r="I32" s="21">
        <f>IFERROR(Tabla54[[#This Row],[Atendidas]]/Tabla54[[#This Row],[Recibidas]],0)</f>
        <v>0.83333333333333337</v>
      </c>
      <c r="L32" s="40">
        <f t="shared" si="6"/>
        <v>46231</v>
      </c>
      <c r="M32" s="41">
        <f>+SUMIFS(Tabla54[Forecast],Tabla54[Fecha],$L32)</f>
        <v>543.0149613994588</v>
      </c>
      <c r="N32" s="41">
        <f>+SUMIFS(Regiones[Ofrecidas],Regiones[Fecha2],'BUPA Seguros'!$L32,Regiones[Skill],'BUPA Seguros'!$L$3)</f>
        <v>0</v>
      </c>
      <c r="O32" s="41"/>
      <c r="P32" s="41">
        <f>+SUMIFS(Regiones[Contestadas],Regiones[Fecha2],'BUPA Seguros'!$L32,Regiones[Skill],'BUPA Seguros'!$L$3)</f>
        <v>0</v>
      </c>
      <c r="Q32" s="41">
        <f>+SUMIFS(Regiones[Aten &lt; 20 seg],Regiones[Fecha2],'BUPA Seguros'!$L32,Regiones[Skill],'BUPA Seguros'!$L$3)</f>
        <v>0</v>
      </c>
      <c r="R32" s="41">
        <f t="shared" si="0"/>
        <v>0</v>
      </c>
      <c r="S32" s="42" t="str">
        <f t="shared" si="1"/>
        <v/>
      </c>
      <c r="T32" s="42" t="str">
        <f t="shared" si="2"/>
        <v/>
      </c>
      <c r="U32" s="42" t="str">
        <f t="shared" si="3"/>
        <v/>
      </c>
      <c r="W32" s="50">
        <v>0.83333333333333304</v>
      </c>
      <c r="X32" s="28">
        <f>+SUMIFS(Tabla54[Recibidas],Tabla54[Fecha],$X$3,Tabla54[Intervalo],$W32)</f>
        <v>0</v>
      </c>
      <c r="Y32" s="29">
        <f>+SUMIFS(Tabla54[Forecast],Tabla54[Fecha],$X$3,Tabla54[Intervalo],$W32)</f>
        <v>0</v>
      </c>
      <c r="Z32" s="28">
        <f>+SUMIFS(Tabla54[Atendidas],Tabla54[Fecha],$X$3,Tabla54[Intervalo],$W32)</f>
        <v>0</v>
      </c>
      <c r="AA32" s="30">
        <f t="shared" si="5"/>
        <v>0</v>
      </c>
      <c r="AB32" s="56">
        <f>+SUMIFS(Regiones[Aten &lt; 20 seg],Regiones[Fecha],'BUPA Seguros'!$X$3,Regiones[Intervalo],'BUPA Seguros'!$W32,Regiones[Skill],'BUPA Seguros'!$L$3)</f>
        <v>0</v>
      </c>
    </row>
    <row r="33" spans="2:27" x14ac:dyDescent="0.3">
      <c r="B33" s="25">
        <f t="shared" si="8"/>
        <v>46204</v>
      </c>
      <c r="C33" s="26">
        <v>0.5625</v>
      </c>
      <c r="D33" s="19">
        <f>+SUMIFS(Regiones[Ofrecidas],Regiones[Fecha],Tabla54[[#This Row],[Fecha]],Regiones[Intervalo],Tabla54[[#This Row],[Intervalo]],Regiones[Skill],'BUPA Seguros'!$L$3)</f>
        <v>30</v>
      </c>
      <c r="E33" s="19">
        <f>+SUMIFS(Regiones[Contestadas],Regiones[Fecha],Tabla54[[#This Row],[Fecha]],Regiones[Intervalo],Tabla54[[#This Row],[Intervalo]],Regiones[Skill],'BUPA Seguros'!$L$3)</f>
        <v>31</v>
      </c>
      <c r="F33" s="20">
        <v>37.373686602956958</v>
      </c>
      <c r="G33" s="19">
        <f>IFERROR(SUMIFS(Regiones[TMO],Regiones[Fecha],Tabla54[[#This Row],[Fecha]],Regiones[Intervalo],Tabla54[[#This Row],[Intervalo]],Regiones[Skill],'BUPA Seguros'!$L$3)/Tabla54[[#This Row],[Atendidas]],0)</f>
        <v>125.54838709677419</v>
      </c>
      <c r="H33" s="21">
        <f>IFERROR(SUMIFS(Regiones[Aten &lt; 20 seg],Regiones[Fecha],Tabla54[[#This Row],[Fecha]],Regiones[Intervalo],Tabla54[[#This Row],[Intervalo]],Regiones[Skill],'BUPA Seguros'!$L$3)/Tabla54[[#This Row],[Recibidas]],0)</f>
        <v>0.77299999999999991</v>
      </c>
      <c r="I33" s="21">
        <f>IFERROR(Tabla54[[#This Row],[Atendidas]]/Tabla54[[#This Row],[Recibidas]],0)</f>
        <v>1.0333333333333334</v>
      </c>
      <c r="L33" s="40">
        <f t="shared" si="6"/>
        <v>46232</v>
      </c>
      <c r="M33" s="41">
        <f>+SUMIFS(Tabla54[Forecast],Tabla54[Fecha],$L33)</f>
        <v>487.67150512596857</v>
      </c>
      <c r="N33" s="41">
        <f>+SUMIFS(Regiones[Ofrecidas],Regiones[Fecha2],'BUPA Seguros'!$L33,Regiones[Skill],'BUPA Seguros'!$L$3)</f>
        <v>0</v>
      </c>
      <c r="O33" s="41"/>
      <c r="P33" s="41">
        <f>+SUMIFS(Regiones[Contestadas],Regiones[Fecha2],'BUPA Seguros'!$L33,Regiones[Skill],'BUPA Seguros'!$L$3)</f>
        <v>0</v>
      </c>
      <c r="Q33" s="41">
        <f>+SUMIFS(Regiones[Aten &lt; 20 seg],Regiones[Fecha2],'BUPA Seguros'!$L33,Regiones[Skill],'BUPA Seguros'!$L$3)</f>
        <v>0</v>
      </c>
      <c r="R33" s="41">
        <f t="shared" si="0"/>
        <v>0</v>
      </c>
      <c r="S33" s="42" t="str">
        <f t="shared" si="1"/>
        <v/>
      </c>
      <c r="T33" s="42" t="str">
        <f t="shared" si="2"/>
        <v/>
      </c>
      <c r="U33" s="42" t="str">
        <f t="shared" si="3"/>
        <v/>
      </c>
    </row>
    <row r="34" spans="2:27" x14ac:dyDescent="0.3">
      <c r="B34" s="27">
        <f t="shared" si="8"/>
        <v>46204</v>
      </c>
      <c r="C34" s="18">
        <v>0.58333333333333304</v>
      </c>
      <c r="D34" s="19">
        <f>+SUMIFS(Regiones[Ofrecidas],Regiones[Fecha],Tabla54[[#This Row],[Fecha]],Regiones[Intervalo],Tabla54[[#This Row],[Intervalo]],Regiones[Skill],'BUPA Seguros'!$L$3)</f>
        <v>43</v>
      </c>
      <c r="E34" s="19">
        <f>+SUMIFS(Regiones[Contestadas],Regiones[Fecha],Tabla54[[#This Row],[Fecha]],Regiones[Intervalo],Tabla54[[#This Row],[Intervalo]],Regiones[Skill],'BUPA Seguros'!$L$3)</f>
        <v>28</v>
      </c>
      <c r="F34" s="20">
        <v>35.728513204249651</v>
      </c>
      <c r="G34" s="19">
        <f>IFERROR(SUMIFS(Regiones[TMO],Regiones[Fecha],Tabla54[[#This Row],[Fecha]],Regiones[Intervalo],Tabla54[[#This Row],[Intervalo]],Regiones[Skill],'BUPA Seguros'!$L$3)/Tabla54[[#This Row],[Atendidas]],0)</f>
        <v>98.607142857142861</v>
      </c>
      <c r="H34" s="21">
        <f>IFERROR(SUMIFS(Regiones[Aten &lt; 20 seg],Regiones[Fecha],Tabla54[[#This Row],[Fecha]],Regiones[Intervalo],Tabla54[[#This Row],[Intervalo]],Regiones[Skill],'BUPA Seguros'!$L$3)/Tabla54[[#This Row],[Recibidas]],0)</f>
        <v>0.17046511627906977</v>
      </c>
      <c r="I34" s="21">
        <f>IFERROR(Tabla54[[#This Row],[Atendidas]]/Tabla54[[#This Row],[Recibidas]],0)</f>
        <v>0.65116279069767447</v>
      </c>
      <c r="L34" s="40">
        <f t="shared" si="6"/>
        <v>46233</v>
      </c>
      <c r="M34" s="41">
        <f>+SUMIFS(Tabla54[Forecast],Tabla54[Fecha],$L34)</f>
        <v>525.25039518821484</v>
      </c>
      <c r="N34" s="41">
        <f>+SUMIFS(Regiones[Ofrecidas],Regiones[Fecha2],'BUPA Seguros'!$L34,Regiones[Skill],'BUPA Seguros'!$L$3)</f>
        <v>0</v>
      </c>
      <c r="O34" s="41"/>
      <c r="P34" s="41">
        <f>+SUMIFS(Regiones[Contestadas],Regiones[Fecha2],'BUPA Seguros'!$L34,Regiones[Skill],'BUPA Seguros'!$L$3)</f>
        <v>0</v>
      </c>
      <c r="Q34" s="41">
        <f>+SUMIFS(Regiones[Aten &lt; 20 seg],Regiones[Fecha2],'BUPA Seguros'!$L34,Regiones[Skill],'BUPA Seguros'!$L$3)</f>
        <v>0</v>
      </c>
      <c r="R34" s="41">
        <f t="shared" si="0"/>
        <v>0</v>
      </c>
      <c r="S34" s="42" t="str">
        <f t="shared" si="1"/>
        <v/>
      </c>
      <c r="T34" s="42" t="str">
        <f t="shared" si="2"/>
        <v/>
      </c>
      <c r="U34" s="42" t="str">
        <f t="shared" si="3"/>
        <v/>
      </c>
    </row>
    <row r="35" spans="2:27" x14ac:dyDescent="0.3">
      <c r="B35" s="25">
        <f t="shared" si="8"/>
        <v>46204</v>
      </c>
      <c r="C35" s="26">
        <v>0.60416666666666696</v>
      </c>
      <c r="D35" s="19">
        <f>+SUMIFS(Regiones[Ofrecidas],Regiones[Fecha],Tabla54[[#This Row],[Fecha]],Regiones[Intervalo],Tabla54[[#This Row],[Intervalo]],Regiones[Skill],'BUPA Seguros'!$L$3)</f>
        <v>37</v>
      </c>
      <c r="E35" s="19">
        <f>+SUMIFS(Regiones[Contestadas],Regiones[Fecha],Tabla54[[#This Row],[Fecha]],Regiones[Intervalo],Tabla54[[#This Row],[Intervalo]],Regiones[Skill],'BUPA Seguros'!$L$3)</f>
        <v>39</v>
      </c>
      <c r="F35" s="20">
        <v>34.714820504036055</v>
      </c>
      <c r="G35" s="19">
        <f>IFERROR(SUMIFS(Regiones[TMO],Regiones[Fecha],Tabla54[[#This Row],[Fecha]],Regiones[Intervalo],Tabla54[[#This Row],[Intervalo]],Regiones[Skill],'BUPA Seguros'!$L$3)/Tabla54[[#This Row],[Atendidas]],0)</f>
        <v>91.205128205128204</v>
      </c>
      <c r="H35" s="21">
        <f>IFERROR(SUMIFS(Regiones[Aten &lt; 20 seg],Regiones[Fecha],Tabla54[[#This Row],[Fecha]],Regiones[Intervalo],Tabla54[[#This Row],[Intervalo]],Regiones[Skill],'BUPA Seguros'!$L$3)/Tabla54[[#This Row],[Recibidas]],0)</f>
        <v>0.66783783783783801</v>
      </c>
      <c r="I35" s="21">
        <f>IFERROR(Tabla54[[#This Row],[Atendidas]]/Tabla54[[#This Row],[Recibidas]],0)</f>
        <v>1.0540540540540539</v>
      </c>
      <c r="L35" s="40">
        <f>+L34+1</f>
        <v>46234</v>
      </c>
      <c r="M35" s="41">
        <f>+SUMIFS(Tabla54[Forecast],Tabla54[Fecha],$L35)</f>
        <v>498.85976557631921</v>
      </c>
      <c r="N35" s="41">
        <f>+SUMIFS(Regiones[Ofrecidas],Regiones[Fecha2],'BUPA Seguros'!$L35,Regiones[Skill],'BUPA Seguros'!$L$3)</f>
        <v>0</v>
      </c>
      <c r="O35" s="41"/>
      <c r="P35" s="41">
        <f>+SUMIFS(Regiones[Contestadas],Regiones[Fecha2],'BUPA Seguros'!$L35,Regiones[Skill],'BUPA Seguros'!$L$3)</f>
        <v>0</v>
      </c>
      <c r="Q35" s="41">
        <f>+SUMIFS(Regiones[Aten &lt; 20 seg],Regiones[Fecha2],'BUPA Seguros'!$L35,Regiones[Skill],'BUPA Seguros'!$L$3)</f>
        <v>0</v>
      </c>
      <c r="R35" s="41">
        <f t="shared" si="0"/>
        <v>0</v>
      </c>
      <c r="S35" s="42" t="str">
        <f t="shared" si="1"/>
        <v/>
      </c>
      <c r="T35" s="42" t="str">
        <f t="shared" si="2"/>
        <v/>
      </c>
      <c r="U35" s="42" t="str">
        <f t="shared" si="3"/>
        <v/>
      </c>
    </row>
    <row r="36" spans="2:27" x14ac:dyDescent="0.3">
      <c r="B36" s="27">
        <f t="shared" si="8"/>
        <v>46204</v>
      </c>
      <c r="C36" s="18">
        <v>0.625</v>
      </c>
      <c r="D36" s="19">
        <f>+SUMIFS(Regiones[Ofrecidas],Regiones[Fecha],Tabla54[[#This Row],[Fecha]],Regiones[Intervalo],Tabla54[[#This Row],[Intervalo]],Regiones[Skill],'BUPA Seguros'!$L$3)</f>
        <v>44</v>
      </c>
      <c r="E36" s="19">
        <f>+SUMIFS(Regiones[Contestadas],Regiones[Fecha],Tabla54[[#This Row],[Fecha]],Regiones[Intervalo],Tabla54[[#This Row],[Intervalo]],Regiones[Skill],'BUPA Seguros'!$L$3)</f>
        <v>41</v>
      </c>
      <c r="F36" s="20">
        <v>33.518330759521646</v>
      </c>
      <c r="G36" s="19">
        <f>IFERROR(SUMIFS(Regiones[TMO],Regiones[Fecha],Tabla54[[#This Row],[Fecha]],Regiones[Intervalo],Tabla54[[#This Row],[Intervalo]],Regiones[Skill],'BUPA Seguros'!$L$3)/Tabla54[[#This Row],[Atendidas]],0)</f>
        <v>76.341463414634148</v>
      </c>
      <c r="H36" s="21">
        <f>IFERROR(SUMIFS(Regiones[Aten &lt; 20 seg],Regiones[Fecha],Tabla54[[#This Row],[Fecha]],Regiones[Intervalo],Tabla54[[#This Row],[Intervalo]],Regiones[Skill],'BUPA Seguros'!$L$3)/Tabla54[[#This Row],[Recibidas]],0)</f>
        <v>0.78477272727272729</v>
      </c>
      <c r="I36" s="21">
        <f>IFERROR(Tabla54[[#This Row],[Atendidas]]/Tabla54[[#This Row],[Recibidas]],0)</f>
        <v>0.93181818181818177</v>
      </c>
      <c r="L36" s="36" t="s">
        <v>21</v>
      </c>
      <c r="M36" s="62">
        <f>+SUM(M5:M10)</f>
        <v>2522.9100282698973</v>
      </c>
      <c r="N36" s="62">
        <f t="shared" ref="N36:R36" si="10">+SUM(N5:N10)</f>
        <v>2508</v>
      </c>
      <c r="O36" s="67">
        <f t="shared" ref="O36" si="11">N36/M36-1</f>
        <v>-5.9098533450763213E-3</v>
      </c>
      <c r="P36" s="62">
        <f t="shared" si="10"/>
        <v>2187</v>
      </c>
      <c r="Q36" s="62">
        <f t="shared" si="10"/>
        <v>1089.1300000000001</v>
      </c>
      <c r="R36" s="62">
        <f t="shared" si="10"/>
        <v>321</v>
      </c>
      <c r="S36" s="65">
        <f t="shared" si="1"/>
        <v>0.12799043062200957</v>
      </c>
      <c r="T36" s="65">
        <f t="shared" si="2"/>
        <v>0.43426236044657102</v>
      </c>
      <c r="U36" s="65">
        <f t="shared" si="3"/>
        <v>0.87200956937799046</v>
      </c>
    </row>
    <row r="37" spans="2:27" x14ac:dyDescent="0.3">
      <c r="B37" s="25">
        <f t="shared" si="8"/>
        <v>46204</v>
      </c>
      <c r="C37" s="26">
        <v>0.64583333333333304</v>
      </c>
      <c r="D37" s="19">
        <f>+SUMIFS(Regiones[Ofrecidas],Regiones[Fecha],Tabla54[[#This Row],[Fecha]],Regiones[Intervalo],Tabla54[[#This Row],[Intervalo]],Regiones[Skill],'BUPA Seguros'!$L$3)</f>
        <v>25</v>
      </c>
      <c r="E37" s="19">
        <f>+SUMIFS(Regiones[Contestadas],Regiones[Fecha],Tabla54[[#This Row],[Fecha]],Regiones[Intervalo],Tabla54[[#This Row],[Intervalo]],Regiones[Skill],'BUPA Seguros'!$L$3)</f>
        <v>24</v>
      </c>
      <c r="F37" s="20">
        <v>32.222133536297697</v>
      </c>
      <c r="G37" s="19">
        <f>IFERROR(SUMIFS(Regiones[TMO],Regiones[Fecha],Tabla54[[#This Row],[Fecha]],Regiones[Intervalo],Tabla54[[#This Row],[Intervalo]],Regiones[Skill],'BUPA Seguros'!$L$3)/Tabla54[[#This Row],[Atendidas]],0)</f>
        <v>163.375</v>
      </c>
      <c r="H37" s="21">
        <f>IFERROR(SUMIFS(Regiones[Aten &lt; 20 seg],Regiones[Fecha],Tabla54[[#This Row],[Fecha]],Regiones[Intervalo],Tabla54[[#This Row],[Intervalo]],Regiones[Skill],'BUPA Seguros'!$L$3)/Tabla54[[#This Row],[Recibidas]],0)</f>
        <v>0.80479999999999985</v>
      </c>
      <c r="I37" s="21">
        <f>IFERROR(Tabla54[[#This Row],[Atendidas]]/Tabla54[[#This Row],[Recibidas]],0)</f>
        <v>0.96</v>
      </c>
      <c r="M37" s="60"/>
      <c r="N37" s="60"/>
      <c r="O37" s="60"/>
      <c r="P37" s="60"/>
      <c r="Q37" s="60"/>
      <c r="R37" s="60"/>
      <c r="S37" s="60"/>
      <c r="T37" s="60"/>
      <c r="U37" s="60"/>
    </row>
    <row r="38" spans="2:27" x14ac:dyDescent="0.3">
      <c r="B38" s="27">
        <f t="shared" si="8"/>
        <v>46204</v>
      </c>
      <c r="C38" s="18">
        <v>0.66666666666666696</v>
      </c>
      <c r="D38" s="19">
        <f>+SUMIFS(Regiones[Ofrecidas],Regiones[Fecha],Tabla54[[#This Row],[Fecha]],Regiones[Intervalo],Tabla54[[#This Row],[Intervalo]],Regiones[Skill],'BUPA Seguros'!$L$3)</f>
        <v>26</v>
      </c>
      <c r="E38" s="19">
        <f>+SUMIFS(Regiones[Contestadas],Regiones[Fecha],Tabla54[[#This Row],[Fecha]],Regiones[Intervalo],Tabla54[[#This Row],[Intervalo]],Regiones[Skill],'BUPA Seguros'!$L$3)</f>
        <v>28</v>
      </c>
      <c r="F38" s="20">
        <v>30.502179528558248</v>
      </c>
      <c r="G38" s="19">
        <f>IFERROR(SUMIFS(Regiones[TMO],Regiones[Fecha],Tabla54[[#This Row],[Fecha]],Regiones[Intervalo],Tabla54[[#This Row],[Intervalo]],Regiones[Skill],'BUPA Seguros'!$L$3)/Tabla54[[#This Row],[Atendidas]],0)</f>
        <v>127.5</v>
      </c>
      <c r="H38" s="21">
        <f>IFERROR(SUMIFS(Regiones[Aten &lt; 20 seg],Regiones[Fecha],Tabla54[[#This Row],[Fecha]],Regiones[Intervalo],Tabla54[[#This Row],[Intervalo]],Regiones[Skill],'BUPA Seguros'!$L$3)/Tabla54[[#This Row],[Recibidas]],0)</f>
        <v>0.66538461538461546</v>
      </c>
      <c r="I38" s="21">
        <f>IFERROR(Tabla54[[#This Row],[Atendidas]]/Tabla54[[#This Row],[Recibidas]],0)</f>
        <v>1.0769230769230769</v>
      </c>
      <c r="M38" s="60"/>
      <c r="N38" s="60"/>
      <c r="O38" s="60"/>
      <c r="P38" s="60"/>
      <c r="Q38" s="60"/>
      <c r="R38" s="47"/>
      <c r="S38" s="47"/>
      <c r="T38" s="60"/>
      <c r="U38" s="60"/>
    </row>
    <row r="39" spans="2:27" x14ac:dyDescent="0.3">
      <c r="B39" s="25">
        <f t="shared" si="8"/>
        <v>46204</v>
      </c>
      <c r="C39" s="26">
        <v>0.6875</v>
      </c>
      <c r="D39" s="19">
        <f>+SUMIFS(Regiones[Ofrecidas],Regiones[Fecha],Tabla54[[#This Row],[Fecha]],Regiones[Intervalo],Tabla54[[#This Row],[Intervalo]],Regiones[Skill],'BUPA Seguros'!$L$3)</f>
        <v>33</v>
      </c>
      <c r="E39" s="19">
        <f>+SUMIFS(Regiones[Contestadas],Regiones[Fecha],Tabla54[[#This Row],[Fecha]],Regiones[Intervalo],Tabla54[[#This Row],[Intervalo]],Regiones[Skill],'BUPA Seguros'!$L$3)</f>
        <v>33</v>
      </c>
      <c r="F39" s="20">
        <v>29.139510652861286</v>
      </c>
      <c r="G39" s="19">
        <f>IFERROR(SUMIFS(Regiones[TMO],Regiones[Fecha],Tabla54[[#This Row],[Fecha]],Regiones[Intervalo],Tabla54[[#This Row],[Intervalo]],Regiones[Skill],'BUPA Seguros'!$L$3)/Tabla54[[#This Row],[Atendidas]],0)</f>
        <v>133.54545454545453</v>
      </c>
      <c r="H39" s="21">
        <f>IFERROR(SUMIFS(Regiones[Aten &lt; 20 seg],Regiones[Fecha],Tabla54[[#This Row],[Fecha]],Regiones[Intervalo],Tabla54[[#This Row],[Intervalo]],Regiones[Skill],'BUPA Seguros'!$L$3)/Tabla54[[#This Row],[Recibidas]],0)</f>
        <v>0.48363636363636364</v>
      </c>
      <c r="I39" s="21">
        <f>IFERROR(Tabla54[[#This Row],[Atendidas]]/Tabla54[[#This Row],[Recibidas]],0)</f>
        <v>1</v>
      </c>
    </row>
    <row r="40" spans="2:27" x14ac:dyDescent="0.3">
      <c r="B40" s="27">
        <f t="shared" si="8"/>
        <v>46204</v>
      </c>
      <c r="C40" s="18">
        <v>0.70833333333333304</v>
      </c>
      <c r="D40" s="19">
        <f>+SUMIFS(Regiones[Ofrecidas],Regiones[Fecha],Tabla54[[#This Row],[Fecha]],Regiones[Intervalo],Tabla54[[#This Row],[Intervalo]],Regiones[Skill],'BUPA Seguros'!$L$3)</f>
        <v>18</v>
      </c>
      <c r="E40" s="19">
        <f>+SUMIFS(Regiones[Contestadas],Regiones[Fecha],Tabla54[[#This Row],[Fecha]],Regiones[Intervalo],Tabla54[[#This Row],[Intervalo]],Regiones[Skill],'BUPA Seguros'!$L$3)</f>
        <v>17</v>
      </c>
      <c r="F40" s="20">
        <v>27.31984916641229</v>
      </c>
      <c r="G40" s="19">
        <f>IFERROR(SUMIFS(Regiones[TMO],Regiones[Fecha],Tabla54[[#This Row],[Fecha]],Regiones[Intervalo],Tabla54[[#This Row],[Intervalo]],Regiones[Skill],'BUPA Seguros'!$L$3)/Tabla54[[#This Row],[Atendidas]],0)</f>
        <v>224.35294117647058</v>
      </c>
      <c r="H40" s="21">
        <f>IFERROR(SUMIFS(Regiones[Aten &lt; 20 seg],Regiones[Fecha],Tabla54[[#This Row],[Fecha]],Regiones[Intervalo],Tabla54[[#This Row],[Intervalo]],Regiones[Skill],'BUPA Seguros'!$L$3)/Tabla54[[#This Row],[Recibidas]],0)</f>
        <v>0.77888888888888885</v>
      </c>
      <c r="I40" s="21">
        <f>IFERROR(Tabla54[[#This Row],[Atendidas]]/Tabla54[[#This Row],[Recibidas]],0)</f>
        <v>0.94444444444444442</v>
      </c>
    </row>
    <row r="41" spans="2:27" x14ac:dyDescent="0.3">
      <c r="B41" s="25">
        <f t="shared" si="8"/>
        <v>46204</v>
      </c>
      <c r="C41" s="26">
        <v>0.72916666666666696</v>
      </c>
      <c r="D41" s="19">
        <f>+SUMIFS(Regiones[Ofrecidas],Regiones[Fecha],Tabla54[[#This Row],[Fecha]],Regiones[Intervalo],Tabla54[[#This Row],[Intervalo]],Regiones[Skill],'BUPA Seguros'!$L$3)</f>
        <v>30</v>
      </c>
      <c r="E41" s="19">
        <f>+SUMIFS(Regiones[Contestadas],Regiones[Fecha],Tabla54[[#This Row],[Fecha]],Regiones[Intervalo],Tabla54[[#This Row],[Intervalo]],Regiones[Skill],'BUPA Seguros'!$L$3)</f>
        <v>19</v>
      </c>
      <c r="F41" s="20">
        <v>27.257531992218833</v>
      </c>
      <c r="G41" s="19">
        <f>IFERROR(SUMIFS(Regiones[TMO],Regiones[Fecha],Tabla54[[#This Row],[Fecha]],Regiones[Intervalo],Tabla54[[#This Row],[Intervalo]],Regiones[Skill],'BUPA Seguros'!$L$3)/Tabla54[[#This Row],[Atendidas]],0)</f>
        <v>299</v>
      </c>
      <c r="H41" s="21">
        <f>IFERROR(SUMIFS(Regiones[Aten &lt; 20 seg],Regiones[Fecha],Tabla54[[#This Row],[Fecha]],Regiones[Intervalo],Tabla54[[#This Row],[Intervalo]],Regiones[Skill],'BUPA Seguros'!$L$3)/Tabla54[[#This Row],[Recibidas]],0)</f>
        <v>6.6333333333333327E-2</v>
      </c>
      <c r="I41" s="21">
        <f>IFERROR(Tabla54[[#This Row],[Atendidas]]/Tabla54[[#This Row],[Recibidas]],0)</f>
        <v>0.6333333333333333</v>
      </c>
      <c r="Z41" s="31"/>
      <c r="AA41" s="31"/>
    </row>
    <row r="42" spans="2:27" x14ac:dyDescent="0.3">
      <c r="B42" s="27">
        <f t="shared" si="8"/>
        <v>46204</v>
      </c>
      <c r="C42" s="18">
        <v>0.75</v>
      </c>
      <c r="D42" s="19">
        <f>+SUMIFS(Regiones[Ofrecidas],Regiones[Fecha],Tabla54[[#This Row],[Fecha]],Regiones[Intervalo],Tabla54[[#This Row],[Intervalo]],Regiones[Skill],'BUPA Seguros'!$L$3)</f>
        <v>0</v>
      </c>
      <c r="E42" s="19">
        <f>+SUMIFS(Regiones[Contestadas],Regiones[Fecha],Tabla54[[#This Row],[Fecha]],Regiones[Intervalo],Tabla54[[#This Row],[Intervalo]],Regiones[Skill],'BUPA Seguros'!$L$3)</f>
        <v>0</v>
      </c>
      <c r="F42" s="20">
        <v>0</v>
      </c>
      <c r="G42" s="19">
        <f>IFERROR(SUMIFS(Regiones[TMO],Regiones[Fecha],Tabla54[[#This Row],[Fecha]],Regiones[Intervalo],Tabla54[[#This Row],[Intervalo]],Regiones[Skill],'BUPA Seguros'!$L$3)/Tabla54[[#This Row],[Atendidas]],0)</f>
        <v>0</v>
      </c>
      <c r="H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" s="21">
        <f>IFERROR(Tabla54[[#This Row],[Atendidas]]/Tabla54[[#This Row],[Recibidas]],0)</f>
        <v>0</v>
      </c>
    </row>
    <row r="43" spans="2:27" x14ac:dyDescent="0.3">
      <c r="B43" s="25">
        <f t="shared" si="8"/>
        <v>46204</v>
      </c>
      <c r="C43" s="26">
        <v>0.77083333333333304</v>
      </c>
      <c r="D43" s="19">
        <f>+SUMIFS(Regiones[Ofrecidas],Regiones[Fecha],Tabla54[[#This Row],[Fecha]],Regiones[Intervalo],Tabla54[[#This Row],[Intervalo]],Regiones[Skill],'BUPA Seguros'!$L$3)</f>
        <v>0</v>
      </c>
      <c r="E43" s="19">
        <f>+SUMIFS(Regiones[Contestadas],Regiones[Fecha],Tabla54[[#This Row],[Fecha]],Regiones[Intervalo],Tabla54[[#This Row],[Intervalo]],Regiones[Skill],'BUPA Seguros'!$L$3)</f>
        <v>0</v>
      </c>
      <c r="F43" s="20">
        <v>0</v>
      </c>
      <c r="G43" s="19">
        <f>IFERROR(SUMIFS(Regiones[TMO],Regiones[Fecha],Tabla54[[#This Row],[Fecha]],Regiones[Intervalo],Tabla54[[#This Row],[Intervalo]],Regiones[Skill],'BUPA Seguros'!$L$3)/Tabla54[[#This Row],[Atendidas]],0)</f>
        <v>0</v>
      </c>
      <c r="H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" s="21">
        <f>IFERROR(Tabla54[[#This Row],[Atendidas]]/Tabla54[[#This Row],[Recibidas]],0)</f>
        <v>0</v>
      </c>
    </row>
    <row r="44" spans="2:27" x14ac:dyDescent="0.3">
      <c r="B44" s="27">
        <f t="shared" si="8"/>
        <v>46204</v>
      </c>
      <c r="C44" s="18">
        <v>0.79166666666666696</v>
      </c>
      <c r="D44" s="19">
        <f>+SUMIFS(Regiones[Ofrecidas],Regiones[Fecha],Tabla54[[#This Row],[Fecha]],Regiones[Intervalo],Tabla54[[#This Row],[Intervalo]],Regiones[Skill],'BUPA Seguros'!$L$3)</f>
        <v>0</v>
      </c>
      <c r="E44" s="19">
        <f>+SUMIFS(Regiones[Contestadas],Regiones[Fecha],Tabla54[[#This Row],[Fecha]],Regiones[Intervalo],Tabla54[[#This Row],[Intervalo]],Regiones[Skill],'BUPA Seguros'!$L$3)</f>
        <v>0</v>
      </c>
      <c r="F44" s="20">
        <v>0</v>
      </c>
      <c r="G44" s="19">
        <f>IFERROR(SUMIFS(Regiones[TMO],Regiones[Fecha],Tabla54[[#This Row],[Fecha]],Regiones[Intervalo],Tabla54[[#This Row],[Intervalo]],Regiones[Skill],'BUPA Seguros'!$L$3)/Tabla54[[#This Row],[Atendidas]],0)</f>
        <v>0</v>
      </c>
      <c r="H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" s="21">
        <f>IFERROR(Tabla54[[#This Row],[Atendidas]]/Tabla54[[#This Row],[Recibidas]],0)</f>
        <v>0</v>
      </c>
    </row>
    <row r="45" spans="2:27" x14ac:dyDescent="0.3">
      <c r="B45" s="25">
        <f t="shared" si="8"/>
        <v>46204</v>
      </c>
      <c r="C45" s="26">
        <v>0.8125</v>
      </c>
      <c r="D45" s="19">
        <f>+SUMIFS(Regiones[Ofrecidas],Regiones[Fecha],Tabla54[[#This Row],[Fecha]],Regiones[Intervalo],Tabla54[[#This Row],[Intervalo]],Regiones[Skill],'BUPA Seguros'!$L$3)</f>
        <v>0</v>
      </c>
      <c r="E45" s="19">
        <f>+SUMIFS(Regiones[Contestadas],Regiones[Fecha],Tabla54[[#This Row],[Fecha]],Regiones[Intervalo],Tabla54[[#This Row],[Intervalo]],Regiones[Skill],'BUPA Seguros'!$L$3)</f>
        <v>0</v>
      </c>
      <c r="F45" s="20">
        <v>0</v>
      </c>
      <c r="G45" s="19">
        <f>IFERROR(SUMIFS(Regiones[TMO],Regiones[Fecha],Tabla54[[#This Row],[Fecha]],Regiones[Intervalo],Tabla54[[#This Row],[Intervalo]],Regiones[Skill],'BUPA Seguros'!$L$3)/Tabla54[[#This Row],[Atendidas]],0)</f>
        <v>0</v>
      </c>
      <c r="H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" s="21">
        <f>IFERROR(Tabla54[[#This Row],[Atendidas]]/Tabla54[[#This Row],[Recibidas]],0)</f>
        <v>0</v>
      </c>
    </row>
    <row r="46" spans="2:27" x14ac:dyDescent="0.3">
      <c r="B46" s="27">
        <f t="shared" si="8"/>
        <v>46204</v>
      </c>
      <c r="C46" s="18">
        <v>0.83333333333333304</v>
      </c>
      <c r="D46" s="19">
        <f>+SUMIFS(Regiones[Ofrecidas],Regiones[Fecha],Tabla54[[#This Row],[Fecha]],Regiones[Intervalo],Tabla54[[#This Row],[Intervalo]],Regiones[Skill],'BUPA Seguros'!$L$3)</f>
        <v>0</v>
      </c>
      <c r="E46" s="19">
        <f>+SUMIFS(Regiones[Contestadas],Regiones[Fecha],Tabla54[[#This Row],[Fecha]],Regiones[Intervalo],Tabla54[[#This Row],[Intervalo]],Regiones[Skill],'BUPA Seguros'!$L$3)</f>
        <v>0</v>
      </c>
      <c r="F46" s="20">
        <v>0</v>
      </c>
      <c r="G46" s="19">
        <f>IFERROR(SUMIFS(Regiones[TMO],Regiones[Fecha],Tabla54[[#This Row],[Fecha]],Regiones[Intervalo],Tabla54[[#This Row],[Intervalo]],Regiones[Skill],'BUPA Seguros'!$L$3)/Tabla54[[#This Row],[Atendidas]],0)</f>
        <v>0</v>
      </c>
      <c r="H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" s="21">
        <f>IFERROR(Tabla54[[#This Row],[Atendidas]]/Tabla54[[#This Row],[Recibidas]],0)</f>
        <v>0</v>
      </c>
    </row>
    <row r="47" spans="2:27" x14ac:dyDescent="0.3">
      <c r="B47" s="25">
        <f t="shared" si="8"/>
        <v>46204</v>
      </c>
      <c r="C47" s="26">
        <v>0.85416666666666696</v>
      </c>
      <c r="D47" s="19">
        <f>+SUMIFS(Regiones[Ofrecidas],Regiones[Fecha],Tabla54[[#This Row],[Fecha]],Regiones[Intervalo],Tabla54[[#This Row],[Intervalo]],Regiones[Skill],'BUPA Seguros'!$L$3)</f>
        <v>0</v>
      </c>
      <c r="E47" s="19">
        <f>+SUMIFS(Regiones[Contestadas],Regiones[Fecha],Tabla54[[#This Row],[Fecha]],Regiones[Intervalo],Tabla54[[#This Row],[Intervalo]],Regiones[Skill],'BUPA Seguros'!$L$3)</f>
        <v>0</v>
      </c>
      <c r="F47" s="20">
        <v>0</v>
      </c>
      <c r="G47" s="19">
        <f>IFERROR(SUMIFS(Regiones[TMO],Regiones[Fecha],Tabla54[[#This Row],[Fecha]],Regiones[Intervalo],Tabla54[[#This Row],[Intervalo]],Regiones[Skill],'BUPA Seguros'!$L$3)/Tabla54[[#This Row],[Atendidas]],0)</f>
        <v>0</v>
      </c>
      <c r="H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" s="21">
        <f>IFERROR(Tabla54[[#This Row],[Atendidas]]/Tabla54[[#This Row],[Recibidas]],0)</f>
        <v>0</v>
      </c>
    </row>
    <row r="48" spans="2:27" x14ac:dyDescent="0.3">
      <c r="B48" s="27">
        <f t="shared" si="8"/>
        <v>46204</v>
      </c>
      <c r="C48" s="18">
        <v>0.875</v>
      </c>
      <c r="D48" s="19">
        <f>+SUMIFS(Regiones[Ofrecidas],Regiones[Fecha],Tabla54[[#This Row],[Fecha]],Regiones[Intervalo],Tabla54[[#This Row],[Intervalo]],Regiones[Skill],'BUPA Seguros'!$L$3)</f>
        <v>0</v>
      </c>
      <c r="E48" s="19">
        <f>+SUMIFS(Regiones[Contestadas],Regiones[Fecha],Tabla54[[#This Row],[Fecha]],Regiones[Intervalo],Tabla54[[#This Row],[Intervalo]],Regiones[Skill],'BUPA Seguros'!$L$3)</f>
        <v>0</v>
      </c>
      <c r="F48" s="20">
        <v>0</v>
      </c>
      <c r="G48" s="19">
        <f>IFERROR(SUMIFS(Regiones[TMO],Regiones[Fecha],Tabla54[[#This Row],[Fecha]],Regiones[Intervalo],Tabla54[[#This Row],[Intervalo]],Regiones[Skill],'BUPA Seguros'!$L$3)/Tabla54[[#This Row],[Atendidas]],0)</f>
        <v>0</v>
      </c>
      <c r="H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" s="21">
        <f>IFERROR(Tabla54[[#This Row],[Atendidas]]/Tabla54[[#This Row],[Recibidas]],0)</f>
        <v>0</v>
      </c>
      <c r="R48" s="63"/>
      <c r="S48" s="63"/>
      <c r="Z48" s="31"/>
      <c r="AA48" s="31"/>
    </row>
    <row r="49" spans="2:19" x14ac:dyDescent="0.3">
      <c r="B49" s="25">
        <f t="shared" si="8"/>
        <v>46204</v>
      </c>
      <c r="C49" s="26">
        <v>0.89583333333333304</v>
      </c>
      <c r="D49" s="19">
        <f>+SUMIFS(Regiones[Ofrecidas],Regiones[Fecha],Tabla54[[#This Row],[Fecha]],Regiones[Intervalo],Tabla54[[#This Row],[Intervalo]],Regiones[Skill],'BUPA Seguros'!$L$3)</f>
        <v>0</v>
      </c>
      <c r="E49" s="19">
        <f>+SUMIFS(Regiones[Contestadas],Regiones[Fecha],Tabla54[[#This Row],[Fecha]],Regiones[Intervalo],Tabla54[[#This Row],[Intervalo]],Regiones[Skill],'BUPA Seguros'!$L$3)</f>
        <v>0</v>
      </c>
      <c r="F49" s="20">
        <v>0</v>
      </c>
      <c r="G49" s="19">
        <f>IFERROR(SUMIFS(Regiones[TMO],Regiones[Fecha],Tabla54[[#This Row],[Fecha]],Regiones[Intervalo],Tabla54[[#This Row],[Intervalo]],Regiones[Skill],'BUPA Seguros'!$L$3)/Tabla54[[#This Row],[Atendidas]],0)</f>
        <v>0</v>
      </c>
      <c r="H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" s="21">
        <f>IFERROR(Tabla54[[#This Row],[Atendidas]]/Tabla54[[#This Row],[Recibidas]],0)</f>
        <v>0</v>
      </c>
      <c r="R49" s="63"/>
      <c r="S49" s="63"/>
    </row>
    <row r="50" spans="2:19" x14ac:dyDescent="0.3">
      <c r="B50" s="27">
        <f t="shared" si="8"/>
        <v>46204</v>
      </c>
      <c r="C50" s="18">
        <v>0.91666666666666696</v>
      </c>
      <c r="D50" s="19">
        <f>+SUMIFS(Regiones[Ofrecidas],Regiones[Fecha],Tabla54[[#This Row],[Fecha]],Regiones[Intervalo],Tabla54[[#This Row],[Intervalo]],Regiones[Skill],'BUPA Seguros'!$L$3)</f>
        <v>0</v>
      </c>
      <c r="E50" s="19">
        <f>+SUMIFS(Regiones[Contestadas],Regiones[Fecha],Tabla54[[#This Row],[Fecha]],Regiones[Intervalo],Tabla54[[#This Row],[Intervalo]],Regiones[Skill],'BUPA Seguros'!$L$3)</f>
        <v>0</v>
      </c>
      <c r="F50" s="20">
        <v>0</v>
      </c>
      <c r="G50" s="19">
        <f>IFERROR(SUMIFS(Regiones[TMO],Regiones[Fecha],Tabla54[[#This Row],[Fecha]],Regiones[Intervalo],Tabla54[[#This Row],[Intervalo]],Regiones[Skill],'BUPA Seguros'!$L$3)/Tabla54[[#This Row],[Atendidas]],0)</f>
        <v>0</v>
      </c>
      <c r="H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" s="21">
        <f>IFERROR(Tabla54[[#This Row],[Atendidas]]/Tabla54[[#This Row],[Recibidas]],0)</f>
        <v>0</v>
      </c>
      <c r="R50" s="63"/>
      <c r="S50" s="63"/>
    </row>
    <row r="51" spans="2:19" x14ac:dyDescent="0.3">
      <c r="B51" s="25">
        <f t="shared" si="8"/>
        <v>46204</v>
      </c>
      <c r="C51" s="26">
        <v>0.9375</v>
      </c>
      <c r="D51" s="19">
        <f>+SUMIFS(Regiones[Ofrecidas],Regiones[Fecha],Tabla54[[#This Row],[Fecha]],Regiones[Intervalo],Tabla54[[#This Row],[Intervalo]],Regiones[Skill],'BUPA Seguros'!$L$3)</f>
        <v>0</v>
      </c>
      <c r="E51" s="19">
        <f>+SUMIFS(Regiones[Contestadas],Regiones[Fecha],Tabla54[[#This Row],[Fecha]],Regiones[Intervalo],Tabla54[[#This Row],[Intervalo]],Regiones[Skill],'BUPA Seguros'!$L$3)</f>
        <v>0</v>
      </c>
      <c r="F51" s="20">
        <v>0</v>
      </c>
      <c r="G51" s="19">
        <f>IFERROR(SUMIFS(Regiones[TMO],Regiones[Fecha],Tabla54[[#This Row],[Fecha]],Regiones[Intervalo],Tabla54[[#This Row],[Intervalo]],Regiones[Skill],'BUPA Seguros'!$L$3)/Tabla54[[#This Row],[Atendidas]],0)</f>
        <v>0</v>
      </c>
      <c r="H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" s="21">
        <f>IFERROR(Tabla54[[#This Row],[Atendidas]]/Tabla54[[#This Row],[Recibidas]],0)</f>
        <v>0</v>
      </c>
      <c r="R51" s="63"/>
      <c r="S51" s="63"/>
    </row>
    <row r="52" spans="2:19" x14ac:dyDescent="0.3">
      <c r="B52" s="27">
        <f t="shared" si="8"/>
        <v>46204</v>
      </c>
      <c r="C52" s="18">
        <v>0.95833333333333304</v>
      </c>
      <c r="D52" s="19">
        <f>+SUMIFS(Regiones[Ofrecidas],Regiones[Fecha],Tabla54[[#This Row],[Fecha]],Regiones[Intervalo],Tabla54[[#This Row],[Intervalo]],Regiones[Skill],'BUPA Seguros'!$L$3)</f>
        <v>0</v>
      </c>
      <c r="E52" s="19">
        <f>+SUMIFS(Regiones[Contestadas],Regiones[Fecha],Tabla54[[#This Row],[Fecha]],Regiones[Intervalo],Tabla54[[#This Row],[Intervalo]],Regiones[Skill],'BUPA Seguros'!$L$3)</f>
        <v>0</v>
      </c>
      <c r="F52" s="20">
        <v>0</v>
      </c>
      <c r="G52" s="19">
        <f>IFERROR(SUMIFS(Regiones[TMO],Regiones[Fecha],Tabla54[[#This Row],[Fecha]],Regiones[Intervalo],Tabla54[[#This Row],[Intervalo]],Regiones[Skill],'BUPA Seguros'!$L$3)/Tabla54[[#This Row],[Atendidas]],0)</f>
        <v>0</v>
      </c>
      <c r="H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" s="21">
        <f>IFERROR(Tabla54[[#This Row],[Atendidas]]/Tabla54[[#This Row],[Recibidas]],0)</f>
        <v>0</v>
      </c>
    </row>
    <row r="53" spans="2:19" x14ac:dyDescent="0.3">
      <c r="B53" s="25">
        <f t="shared" si="8"/>
        <v>46204</v>
      </c>
      <c r="C53" s="26">
        <v>0.97916666666666696</v>
      </c>
      <c r="D53" s="19">
        <f>+SUMIFS(Regiones[Ofrecidas],Regiones[Fecha],Tabla54[[#This Row],[Fecha]],Regiones[Intervalo],Tabla54[[#This Row],[Intervalo]],Regiones[Skill],'BUPA Seguros'!$L$3)</f>
        <v>0</v>
      </c>
      <c r="E53" s="19">
        <f>+SUMIFS(Regiones[Contestadas],Regiones[Fecha],Tabla54[[#This Row],[Fecha]],Regiones[Intervalo],Tabla54[[#This Row],[Intervalo]],Regiones[Skill],'BUPA Seguros'!$L$3)</f>
        <v>0</v>
      </c>
      <c r="F53" s="20">
        <v>0</v>
      </c>
      <c r="G53" s="19">
        <f>IFERROR(SUMIFS(Regiones[TMO],Regiones[Fecha],Tabla54[[#This Row],[Fecha]],Regiones[Intervalo],Tabla54[[#This Row],[Intervalo]],Regiones[Skill],'BUPA Seguros'!$L$3)/Tabla54[[#This Row],[Atendidas]],0)</f>
        <v>0</v>
      </c>
      <c r="H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" s="21">
        <f>IFERROR(Tabla54[[#This Row],[Atendidas]]/Tabla54[[#This Row],[Recibidas]],0)</f>
        <v>0</v>
      </c>
    </row>
    <row r="54" spans="2:19" x14ac:dyDescent="0.3">
      <c r="B54" s="27">
        <f>+B53+1</f>
        <v>46205</v>
      </c>
      <c r="C54" s="18">
        <v>0</v>
      </c>
      <c r="D54" s="19">
        <f>+SUMIFS(Regiones[Ofrecidas],Regiones[Fecha],Tabla54[[#This Row],[Fecha]],Regiones[Intervalo],Tabla54[[#This Row],[Intervalo]],Regiones[Skill],'BUPA Seguros'!$L$3)</f>
        <v>0</v>
      </c>
      <c r="E54" s="19">
        <f>+SUMIFS(Regiones[Contestadas],Regiones[Fecha],Tabla54[[#This Row],[Fecha]],Regiones[Intervalo],Tabla54[[#This Row],[Intervalo]],Regiones[Skill],'BUPA Seguros'!$L$3)</f>
        <v>0</v>
      </c>
      <c r="F54" s="20">
        <v>0</v>
      </c>
      <c r="G54" s="19">
        <f>IFERROR(SUMIFS(Regiones[TMO],Regiones[Fecha],Tabla54[[#This Row],[Fecha]],Regiones[Intervalo],Tabla54[[#This Row],[Intervalo]],Regiones[Skill],'BUPA Seguros'!$L$3)/Tabla54[[#This Row],[Atendidas]],0)</f>
        <v>0</v>
      </c>
      <c r="H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" s="21">
        <f>IFERROR(Tabla54[[#This Row],[Atendidas]]/Tabla54[[#This Row],[Recibidas]],0)</f>
        <v>0</v>
      </c>
    </row>
    <row r="55" spans="2:19" x14ac:dyDescent="0.3">
      <c r="B55" s="25">
        <f>+B54</f>
        <v>46205</v>
      </c>
      <c r="C55" s="26">
        <v>2.0833333333333332E-2</v>
      </c>
      <c r="D55" s="19">
        <f>+SUMIFS(Regiones[Ofrecidas],Regiones[Fecha],Tabla54[[#This Row],[Fecha]],Regiones[Intervalo],Tabla54[[#This Row],[Intervalo]],Regiones[Skill],'BUPA Seguros'!$L$3)</f>
        <v>0</v>
      </c>
      <c r="E55" s="19">
        <f>+SUMIFS(Regiones[Contestadas],Regiones[Fecha],Tabla54[[#This Row],[Fecha]],Regiones[Intervalo],Tabla54[[#This Row],[Intervalo]],Regiones[Skill],'BUPA Seguros'!$L$3)</f>
        <v>0</v>
      </c>
      <c r="F55" s="20">
        <v>0</v>
      </c>
      <c r="G55" s="19">
        <f>IFERROR(SUMIFS(Regiones[TMO],Regiones[Fecha],Tabla54[[#This Row],[Fecha]],Regiones[Intervalo],Tabla54[[#This Row],[Intervalo]],Regiones[Skill],'BUPA Seguros'!$L$3)/Tabla54[[#This Row],[Atendidas]],0)</f>
        <v>0</v>
      </c>
      <c r="H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" s="21">
        <f>IFERROR(Tabla54[[#This Row],[Atendidas]]/Tabla54[[#This Row],[Recibidas]],0)</f>
        <v>0</v>
      </c>
    </row>
    <row r="56" spans="2:19" x14ac:dyDescent="0.3">
      <c r="B56" s="27">
        <f t="shared" ref="B56:B101" si="12">+B55</f>
        <v>46205</v>
      </c>
      <c r="C56" s="18">
        <v>4.1666666666666699E-2</v>
      </c>
      <c r="D56" s="19">
        <f>+SUMIFS(Regiones[Ofrecidas],Regiones[Fecha],Tabla54[[#This Row],[Fecha]],Regiones[Intervalo],Tabla54[[#This Row],[Intervalo]],Regiones[Skill],'BUPA Seguros'!$L$3)</f>
        <v>0</v>
      </c>
      <c r="E56" s="19">
        <f>+SUMIFS(Regiones[Contestadas],Regiones[Fecha],Tabla54[[#This Row],[Fecha]],Regiones[Intervalo],Tabla54[[#This Row],[Intervalo]],Regiones[Skill],'BUPA Seguros'!$L$3)</f>
        <v>0</v>
      </c>
      <c r="F56" s="20">
        <v>0</v>
      </c>
      <c r="G56" s="19">
        <f>IFERROR(SUMIFS(Regiones[TMO],Regiones[Fecha],Tabla54[[#This Row],[Fecha]],Regiones[Intervalo],Tabla54[[#This Row],[Intervalo]],Regiones[Skill],'BUPA Seguros'!$L$3)/Tabla54[[#This Row],[Atendidas]],0)</f>
        <v>0</v>
      </c>
      <c r="H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" s="21">
        <f>IFERROR(Tabla54[[#This Row],[Atendidas]]/Tabla54[[#This Row],[Recibidas]],0)</f>
        <v>0</v>
      </c>
    </row>
    <row r="57" spans="2:19" x14ac:dyDescent="0.3">
      <c r="B57" s="25">
        <f t="shared" si="12"/>
        <v>46205</v>
      </c>
      <c r="C57" s="26">
        <v>6.25E-2</v>
      </c>
      <c r="D57" s="19">
        <f>+SUMIFS(Regiones[Ofrecidas],Regiones[Fecha],Tabla54[[#This Row],[Fecha]],Regiones[Intervalo],Tabla54[[#This Row],[Intervalo]],Regiones[Skill],'BUPA Seguros'!$L$3)</f>
        <v>0</v>
      </c>
      <c r="E57" s="19">
        <f>+SUMIFS(Regiones[Contestadas],Regiones[Fecha],Tabla54[[#This Row],[Fecha]],Regiones[Intervalo],Tabla54[[#This Row],[Intervalo]],Regiones[Skill],'BUPA Seguros'!$L$3)</f>
        <v>0</v>
      </c>
      <c r="F57" s="20">
        <v>0</v>
      </c>
      <c r="G57" s="19">
        <f>IFERROR(SUMIFS(Regiones[TMO],Regiones[Fecha],Tabla54[[#This Row],[Fecha]],Regiones[Intervalo],Tabla54[[#This Row],[Intervalo]],Regiones[Skill],'BUPA Seguros'!$L$3)/Tabla54[[#This Row],[Atendidas]],0)</f>
        <v>0</v>
      </c>
      <c r="H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" s="21">
        <f>IFERROR(Tabla54[[#This Row],[Atendidas]]/Tabla54[[#This Row],[Recibidas]],0)</f>
        <v>0</v>
      </c>
    </row>
    <row r="58" spans="2:19" x14ac:dyDescent="0.3">
      <c r="B58" s="27">
        <f t="shared" si="12"/>
        <v>46205</v>
      </c>
      <c r="C58" s="18">
        <v>8.3333333333333301E-2</v>
      </c>
      <c r="D58" s="19">
        <f>+SUMIFS(Regiones[Ofrecidas],Regiones[Fecha],Tabla54[[#This Row],[Fecha]],Regiones[Intervalo],Tabla54[[#This Row],[Intervalo]],Regiones[Skill],'BUPA Seguros'!$L$3)</f>
        <v>0</v>
      </c>
      <c r="E58" s="19">
        <f>+SUMIFS(Regiones[Contestadas],Regiones[Fecha],Tabla54[[#This Row],[Fecha]],Regiones[Intervalo],Tabla54[[#This Row],[Intervalo]],Regiones[Skill],'BUPA Seguros'!$L$3)</f>
        <v>0</v>
      </c>
      <c r="F58" s="20">
        <v>0</v>
      </c>
      <c r="G58" s="19">
        <f>IFERROR(SUMIFS(Regiones[TMO],Regiones[Fecha],Tabla54[[#This Row],[Fecha]],Regiones[Intervalo],Tabla54[[#This Row],[Intervalo]],Regiones[Skill],'BUPA Seguros'!$L$3)/Tabla54[[#This Row],[Atendidas]],0)</f>
        <v>0</v>
      </c>
      <c r="H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" s="21">
        <f>IFERROR(Tabla54[[#This Row],[Atendidas]]/Tabla54[[#This Row],[Recibidas]],0)</f>
        <v>0</v>
      </c>
    </row>
    <row r="59" spans="2:19" x14ac:dyDescent="0.3">
      <c r="B59" s="25">
        <f t="shared" si="12"/>
        <v>46205</v>
      </c>
      <c r="C59" s="26">
        <v>0.104166666666667</v>
      </c>
      <c r="D59" s="19">
        <f>+SUMIFS(Regiones[Ofrecidas],Regiones[Fecha],Tabla54[[#This Row],[Fecha]],Regiones[Intervalo],Tabla54[[#This Row],[Intervalo]],Regiones[Skill],'BUPA Seguros'!$L$3)</f>
        <v>0</v>
      </c>
      <c r="E59" s="19">
        <f>+SUMIFS(Regiones[Contestadas],Regiones[Fecha],Tabla54[[#This Row],[Fecha]],Regiones[Intervalo],Tabla54[[#This Row],[Intervalo]],Regiones[Skill],'BUPA Seguros'!$L$3)</f>
        <v>0</v>
      </c>
      <c r="F59" s="20">
        <v>0</v>
      </c>
      <c r="G59" s="19">
        <f>IFERROR(SUMIFS(Regiones[TMO],Regiones[Fecha],Tabla54[[#This Row],[Fecha]],Regiones[Intervalo],Tabla54[[#This Row],[Intervalo]],Regiones[Skill],'BUPA Seguros'!$L$3)/Tabla54[[#This Row],[Atendidas]],0)</f>
        <v>0</v>
      </c>
      <c r="H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" s="21">
        <f>IFERROR(Tabla54[[#This Row],[Atendidas]]/Tabla54[[#This Row],[Recibidas]],0)</f>
        <v>0</v>
      </c>
    </row>
    <row r="60" spans="2:19" x14ac:dyDescent="0.3">
      <c r="B60" s="27">
        <f t="shared" si="12"/>
        <v>46205</v>
      </c>
      <c r="C60" s="18">
        <v>0.125</v>
      </c>
      <c r="D60" s="19">
        <f>+SUMIFS(Regiones[Ofrecidas],Regiones[Fecha],Tabla54[[#This Row],[Fecha]],Regiones[Intervalo],Tabla54[[#This Row],[Intervalo]],Regiones[Skill],'BUPA Seguros'!$L$3)</f>
        <v>0</v>
      </c>
      <c r="E60" s="19">
        <f>+SUMIFS(Regiones[Contestadas],Regiones[Fecha],Tabla54[[#This Row],[Fecha]],Regiones[Intervalo],Tabla54[[#This Row],[Intervalo]],Regiones[Skill],'BUPA Seguros'!$L$3)</f>
        <v>0</v>
      </c>
      <c r="F60" s="20">
        <v>0</v>
      </c>
      <c r="G60" s="19">
        <f>IFERROR(SUMIFS(Regiones[TMO],Regiones[Fecha],Tabla54[[#This Row],[Fecha]],Regiones[Intervalo],Tabla54[[#This Row],[Intervalo]],Regiones[Skill],'BUPA Seguros'!$L$3)/Tabla54[[#This Row],[Atendidas]],0)</f>
        <v>0</v>
      </c>
      <c r="H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" s="21">
        <f>IFERROR(Tabla54[[#This Row],[Atendidas]]/Tabla54[[#This Row],[Recibidas]],0)</f>
        <v>0</v>
      </c>
    </row>
    <row r="61" spans="2:19" x14ac:dyDescent="0.3">
      <c r="B61" s="25">
        <f t="shared" si="12"/>
        <v>46205</v>
      </c>
      <c r="C61" s="26">
        <v>0.14583333333333301</v>
      </c>
      <c r="D61" s="19">
        <f>+SUMIFS(Regiones[Ofrecidas],Regiones[Fecha],Tabla54[[#This Row],[Fecha]],Regiones[Intervalo],Tabla54[[#This Row],[Intervalo]],Regiones[Skill],'BUPA Seguros'!$L$3)</f>
        <v>0</v>
      </c>
      <c r="E61" s="19">
        <f>+SUMIFS(Regiones[Contestadas],Regiones[Fecha],Tabla54[[#This Row],[Fecha]],Regiones[Intervalo],Tabla54[[#This Row],[Intervalo]],Regiones[Skill],'BUPA Seguros'!$L$3)</f>
        <v>0</v>
      </c>
      <c r="F61" s="20">
        <v>0</v>
      </c>
      <c r="G61" s="19">
        <f>IFERROR(SUMIFS(Regiones[TMO],Regiones[Fecha],Tabla54[[#This Row],[Fecha]],Regiones[Intervalo],Tabla54[[#This Row],[Intervalo]],Regiones[Skill],'BUPA Seguros'!$L$3)/Tabla54[[#This Row],[Atendidas]],0)</f>
        <v>0</v>
      </c>
      <c r="H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" s="21">
        <f>IFERROR(Tabla54[[#This Row],[Atendidas]]/Tabla54[[#This Row],[Recibidas]],0)</f>
        <v>0</v>
      </c>
    </row>
    <row r="62" spans="2:19" x14ac:dyDescent="0.3">
      <c r="B62" s="27">
        <f t="shared" si="12"/>
        <v>46205</v>
      </c>
      <c r="C62" s="18">
        <v>0.16666666666666699</v>
      </c>
      <c r="D62" s="19">
        <f>+SUMIFS(Regiones[Ofrecidas],Regiones[Fecha],Tabla54[[#This Row],[Fecha]],Regiones[Intervalo],Tabla54[[#This Row],[Intervalo]],Regiones[Skill],'BUPA Seguros'!$L$3)</f>
        <v>0</v>
      </c>
      <c r="E62" s="19">
        <f>+SUMIFS(Regiones[Contestadas],Regiones[Fecha],Tabla54[[#This Row],[Fecha]],Regiones[Intervalo],Tabla54[[#This Row],[Intervalo]],Regiones[Skill],'BUPA Seguros'!$L$3)</f>
        <v>0</v>
      </c>
      <c r="F62" s="20">
        <v>0</v>
      </c>
      <c r="G62" s="19">
        <f>IFERROR(SUMIFS(Regiones[TMO],Regiones[Fecha],Tabla54[[#This Row],[Fecha]],Regiones[Intervalo],Tabla54[[#This Row],[Intervalo]],Regiones[Skill],'BUPA Seguros'!$L$3)/Tabla54[[#This Row],[Atendidas]],0)</f>
        <v>0</v>
      </c>
      <c r="H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" s="21">
        <f>IFERROR(Tabla54[[#This Row],[Atendidas]]/Tabla54[[#This Row],[Recibidas]],0)</f>
        <v>0</v>
      </c>
    </row>
    <row r="63" spans="2:19" x14ac:dyDescent="0.3">
      <c r="B63" s="25">
        <f t="shared" si="12"/>
        <v>46205</v>
      </c>
      <c r="C63" s="26">
        <v>0.1875</v>
      </c>
      <c r="D63" s="19">
        <f>+SUMIFS(Regiones[Ofrecidas],Regiones[Fecha],Tabla54[[#This Row],[Fecha]],Regiones[Intervalo],Tabla54[[#This Row],[Intervalo]],Regiones[Skill],'BUPA Seguros'!$L$3)</f>
        <v>0</v>
      </c>
      <c r="E63" s="19">
        <f>+SUMIFS(Regiones[Contestadas],Regiones[Fecha],Tabla54[[#This Row],[Fecha]],Regiones[Intervalo],Tabla54[[#This Row],[Intervalo]],Regiones[Skill],'BUPA Seguros'!$L$3)</f>
        <v>0</v>
      </c>
      <c r="F63" s="20">
        <v>0</v>
      </c>
      <c r="G63" s="19">
        <f>IFERROR(SUMIFS(Regiones[TMO],Regiones[Fecha],Tabla54[[#This Row],[Fecha]],Regiones[Intervalo],Tabla54[[#This Row],[Intervalo]],Regiones[Skill],'BUPA Seguros'!$L$3)/Tabla54[[#This Row],[Atendidas]],0)</f>
        <v>0</v>
      </c>
      <c r="H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" s="21">
        <f>IFERROR(Tabla54[[#This Row],[Atendidas]]/Tabla54[[#This Row],[Recibidas]],0)</f>
        <v>0</v>
      </c>
    </row>
    <row r="64" spans="2:19" x14ac:dyDescent="0.3">
      <c r="B64" s="27">
        <f t="shared" si="12"/>
        <v>46205</v>
      </c>
      <c r="C64" s="18">
        <v>0.20833333333333301</v>
      </c>
      <c r="D64" s="19">
        <f>+SUMIFS(Regiones[Ofrecidas],Regiones[Fecha],Tabla54[[#This Row],[Fecha]],Regiones[Intervalo],Tabla54[[#This Row],[Intervalo]],Regiones[Skill],'BUPA Seguros'!$L$3)</f>
        <v>0</v>
      </c>
      <c r="E64" s="19">
        <f>+SUMIFS(Regiones[Contestadas],Regiones[Fecha],Tabla54[[#This Row],[Fecha]],Regiones[Intervalo],Tabla54[[#This Row],[Intervalo]],Regiones[Skill],'BUPA Seguros'!$L$3)</f>
        <v>0</v>
      </c>
      <c r="F64" s="20">
        <v>0</v>
      </c>
      <c r="G64" s="19">
        <f>IFERROR(SUMIFS(Regiones[TMO],Regiones[Fecha],Tabla54[[#This Row],[Fecha]],Regiones[Intervalo],Tabla54[[#This Row],[Intervalo]],Regiones[Skill],'BUPA Seguros'!$L$3)/Tabla54[[#This Row],[Atendidas]],0)</f>
        <v>0</v>
      </c>
      <c r="H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" s="21">
        <f>IFERROR(Tabla54[[#This Row],[Atendidas]]/Tabla54[[#This Row],[Recibidas]],0)</f>
        <v>0</v>
      </c>
    </row>
    <row r="65" spans="2:9" x14ac:dyDescent="0.3">
      <c r="B65" s="25">
        <f t="shared" si="12"/>
        <v>46205</v>
      </c>
      <c r="C65" s="26">
        <v>0.22916666666666699</v>
      </c>
      <c r="D65" s="19">
        <f>+SUMIFS(Regiones[Ofrecidas],Regiones[Fecha],Tabla54[[#This Row],[Fecha]],Regiones[Intervalo],Tabla54[[#This Row],[Intervalo]],Regiones[Skill],'BUPA Seguros'!$L$3)</f>
        <v>0</v>
      </c>
      <c r="E65" s="19">
        <f>+SUMIFS(Regiones[Contestadas],Regiones[Fecha],Tabla54[[#This Row],[Fecha]],Regiones[Intervalo],Tabla54[[#This Row],[Intervalo]],Regiones[Skill],'BUPA Seguros'!$L$3)</f>
        <v>0</v>
      </c>
      <c r="F65" s="20">
        <v>0</v>
      </c>
      <c r="G65" s="19">
        <f>IFERROR(SUMIFS(Regiones[TMO],Regiones[Fecha],Tabla54[[#This Row],[Fecha]],Regiones[Intervalo],Tabla54[[#This Row],[Intervalo]],Regiones[Skill],'BUPA Seguros'!$L$3)/Tabla54[[#This Row],[Atendidas]],0)</f>
        <v>0</v>
      </c>
      <c r="H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" s="21">
        <f>IFERROR(Tabla54[[#This Row],[Atendidas]]/Tabla54[[#This Row],[Recibidas]],0)</f>
        <v>0</v>
      </c>
    </row>
    <row r="66" spans="2:9" x14ac:dyDescent="0.3">
      <c r="B66" s="27">
        <f t="shared" si="12"/>
        <v>46205</v>
      </c>
      <c r="C66" s="18">
        <v>0.25</v>
      </c>
      <c r="D66" s="19">
        <f>+SUMIFS(Regiones[Ofrecidas],Regiones[Fecha],Tabla54[[#This Row],[Fecha]],Regiones[Intervalo],Tabla54[[#This Row],[Intervalo]],Regiones[Skill],'BUPA Seguros'!$L$3)</f>
        <v>0</v>
      </c>
      <c r="E66" s="19">
        <f>+SUMIFS(Regiones[Contestadas],Regiones[Fecha],Tabla54[[#This Row],[Fecha]],Regiones[Intervalo],Tabla54[[#This Row],[Intervalo]],Regiones[Skill],'BUPA Seguros'!$L$3)</f>
        <v>0</v>
      </c>
      <c r="F66" s="20">
        <v>0</v>
      </c>
      <c r="G66" s="19">
        <f>IFERROR(SUMIFS(Regiones[TMO],Regiones[Fecha],Tabla54[[#This Row],[Fecha]],Regiones[Intervalo],Tabla54[[#This Row],[Intervalo]],Regiones[Skill],'BUPA Seguros'!$L$3)/Tabla54[[#This Row],[Atendidas]],0)</f>
        <v>0</v>
      </c>
      <c r="H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" s="21">
        <f>IFERROR(Tabla54[[#This Row],[Atendidas]]/Tabla54[[#This Row],[Recibidas]],0)</f>
        <v>0</v>
      </c>
    </row>
    <row r="67" spans="2:9" x14ac:dyDescent="0.3">
      <c r="B67" s="25">
        <f t="shared" si="12"/>
        <v>46205</v>
      </c>
      <c r="C67" s="26">
        <v>0.27083333333333298</v>
      </c>
      <c r="D67" s="19">
        <f>+SUMIFS(Regiones[Ofrecidas],Regiones[Fecha],Tabla54[[#This Row],[Fecha]],Regiones[Intervalo],Tabla54[[#This Row],[Intervalo]],Regiones[Skill],'BUPA Seguros'!$L$3)</f>
        <v>0</v>
      </c>
      <c r="E67" s="19">
        <f>+SUMIFS(Regiones[Contestadas],Regiones[Fecha],Tabla54[[#This Row],[Fecha]],Regiones[Intervalo],Tabla54[[#This Row],[Intervalo]],Regiones[Skill],'BUPA Seguros'!$L$3)</f>
        <v>0</v>
      </c>
      <c r="F67" s="20">
        <v>0</v>
      </c>
      <c r="G67" s="19">
        <f>IFERROR(SUMIFS(Regiones[TMO],Regiones[Fecha],Tabla54[[#This Row],[Fecha]],Regiones[Intervalo],Tabla54[[#This Row],[Intervalo]],Regiones[Skill],'BUPA Seguros'!$L$3)/Tabla54[[#This Row],[Atendidas]],0)</f>
        <v>0</v>
      </c>
      <c r="H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" s="21">
        <f>IFERROR(Tabla54[[#This Row],[Atendidas]]/Tabla54[[#This Row],[Recibidas]],0)</f>
        <v>0</v>
      </c>
    </row>
    <row r="68" spans="2:9" x14ac:dyDescent="0.3">
      <c r="B68" s="27">
        <f t="shared" si="12"/>
        <v>46205</v>
      </c>
      <c r="C68" s="18">
        <v>0.29166666666666702</v>
      </c>
      <c r="D68" s="19">
        <f>+SUMIFS(Regiones[Ofrecidas],Regiones[Fecha],Tabla54[[#This Row],[Fecha]],Regiones[Intervalo],Tabla54[[#This Row],[Intervalo]],Regiones[Skill],'BUPA Seguros'!$L$3)</f>
        <v>0</v>
      </c>
      <c r="E68" s="19">
        <f>+SUMIFS(Regiones[Contestadas],Regiones[Fecha],Tabla54[[#This Row],[Fecha]],Regiones[Intervalo],Tabla54[[#This Row],[Intervalo]],Regiones[Skill],'BUPA Seguros'!$L$3)</f>
        <v>0</v>
      </c>
      <c r="F68" s="20">
        <v>0</v>
      </c>
      <c r="G68" s="19">
        <f>IFERROR(SUMIFS(Regiones[TMO],Regiones[Fecha],Tabla54[[#This Row],[Fecha]],Regiones[Intervalo],Tabla54[[#This Row],[Intervalo]],Regiones[Skill],'BUPA Seguros'!$L$3)/Tabla54[[#This Row],[Atendidas]],0)</f>
        <v>0</v>
      </c>
      <c r="H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" s="21">
        <f>IFERROR(Tabla54[[#This Row],[Atendidas]]/Tabla54[[#This Row],[Recibidas]],0)</f>
        <v>0</v>
      </c>
    </row>
    <row r="69" spans="2:9" x14ac:dyDescent="0.3">
      <c r="B69" s="25">
        <f t="shared" si="12"/>
        <v>46205</v>
      </c>
      <c r="C69" s="26">
        <v>0.3125</v>
      </c>
      <c r="D69" s="19">
        <f>+SUMIFS(Regiones[Ofrecidas],Regiones[Fecha],Tabla54[[#This Row],[Fecha]],Regiones[Intervalo],Tabla54[[#This Row],[Intervalo]],Regiones[Skill],'BUPA Seguros'!$L$3)</f>
        <v>0</v>
      </c>
      <c r="E69" s="19">
        <f>+SUMIFS(Regiones[Contestadas],Regiones[Fecha],Tabla54[[#This Row],[Fecha]],Regiones[Intervalo],Tabla54[[#This Row],[Intervalo]],Regiones[Skill],'BUPA Seguros'!$L$3)</f>
        <v>0</v>
      </c>
      <c r="F69" s="20">
        <v>0</v>
      </c>
      <c r="G69" s="19">
        <f>IFERROR(SUMIFS(Regiones[TMO],Regiones[Fecha],Tabla54[[#This Row],[Fecha]],Regiones[Intervalo],Tabla54[[#This Row],[Intervalo]],Regiones[Skill],'BUPA Seguros'!$L$3)/Tabla54[[#This Row],[Atendidas]],0)</f>
        <v>0</v>
      </c>
      <c r="H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" s="21">
        <f>IFERROR(Tabla54[[#This Row],[Atendidas]]/Tabla54[[#This Row],[Recibidas]],0)</f>
        <v>0</v>
      </c>
    </row>
    <row r="70" spans="2:9" x14ac:dyDescent="0.3">
      <c r="B70" s="27">
        <f t="shared" si="12"/>
        <v>46205</v>
      </c>
      <c r="C70" s="18">
        <v>0.33333333333333298</v>
      </c>
      <c r="D70" s="19">
        <f>+SUMIFS(Regiones[Ofrecidas],Regiones[Fecha],Tabla54[[#This Row],[Fecha]],Regiones[Intervalo],Tabla54[[#This Row],[Intervalo]],Regiones[Skill],'BUPA Seguros'!$L$3)</f>
        <v>0</v>
      </c>
      <c r="E70" s="19">
        <f>+SUMIFS(Regiones[Contestadas],Regiones[Fecha],Tabla54[[#This Row],[Fecha]],Regiones[Intervalo],Tabla54[[#This Row],[Intervalo]],Regiones[Skill],'BUPA Seguros'!$L$3)</f>
        <v>0</v>
      </c>
      <c r="F70" s="20">
        <v>0</v>
      </c>
      <c r="G70" s="19">
        <f>IFERROR(SUMIFS(Regiones[TMO],Regiones[Fecha],Tabla54[[#This Row],[Fecha]],Regiones[Intervalo],Tabla54[[#This Row],[Intervalo]],Regiones[Skill],'BUPA Seguros'!$L$3)/Tabla54[[#This Row],[Atendidas]],0)</f>
        <v>0</v>
      </c>
      <c r="H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" s="21">
        <f>IFERROR(Tabla54[[#This Row],[Atendidas]]/Tabla54[[#This Row],[Recibidas]],0)</f>
        <v>0</v>
      </c>
    </row>
    <row r="71" spans="2:9" x14ac:dyDescent="0.3">
      <c r="B71" s="25">
        <f t="shared" si="12"/>
        <v>46205</v>
      </c>
      <c r="C71" s="26">
        <v>0.35416666666666702</v>
      </c>
      <c r="D71" s="19">
        <f>+SUMIFS(Regiones[Ofrecidas],Regiones[Fecha],Tabla54[[#This Row],[Fecha]],Regiones[Intervalo],Tabla54[[#This Row],[Intervalo]],Regiones[Skill],'BUPA Seguros'!$L$3)</f>
        <v>0</v>
      </c>
      <c r="E71" s="19">
        <f>+SUMIFS(Regiones[Contestadas],Regiones[Fecha],Tabla54[[#This Row],[Fecha]],Regiones[Intervalo],Tabla54[[#This Row],[Intervalo]],Regiones[Skill],'BUPA Seguros'!$L$3)</f>
        <v>0</v>
      </c>
      <c r="F71" s="20">
        <v>0</v>
      </c>
      <c r="G71" s="19">
        <f>IFERROR(SUMIFS(Regiones[TMO],Regiones[Fecha],Tabla54[[#This Row],[Fecha]],Regiones[Intervalo],Tabla54[[#This Row],[Intervalo]],Regiones[Skill],'BUPA Seguros'!$L$3)/Tabla54[[#This Row],[Atendidas]],0)</f>
        <v>0</v>
      </c>
      <c r="H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" s="21">
        <f>IFERROR(Tabla54[[#This Row],[Atendidas]]/Tabla54[[#This Row],[Recibidas]],0)</f>
        <v>0</v>
      </c>
    </row>
    <row r="72" spans="2:9" x14ac:dyDescent="0.3">
      <c r="B72" s="27">
        <f t="shared" si="12"/>
        <v>46205</v>
      </c>
      <c r="C72" s="18">
        <v>0.375</v>
      </c>
      <c r="D72" s="19">
        <f>+SUMIFS(Regiones[Ofrecidas],Regiones[Fecha],Tabla54[[#This Row],[Fecha]],Regiones[Intervalo],Tabla54[[#This Row],[Intervalo]],Regiones[Skill],'BUPA Seguros'!$L$3)</f>
        <v>45</v>
      </c>
      <c r="E72" s="19">
        <f>+SUMIFS(Regiones[Contestadas],Regiones[Fecha],Tabla54[[#This Row],[Fecha]],Regiones[Intervalo],Tabla54[[#This Row],[Intervalo]],Regiones[Skill],'BUPA Seguros'!$L$3)</f>
        <v>35</v>
      </c>
      <c r="F72" s="20">
        <v>28.435163820709178</v>
      </c>
      <c r="G72" s="19">
        <f>IFERROR(SUMIFS(Regiones[TMO],Regiones[Fecha],Tabla54[[#This Row],[Fecha]],Regiones[Intervalo],Tabla54[[#This Row],[Intervalo]],Regiones[Skill],'BUPA Seguros'!$L$3)/Tabla54[[#This Row],[Atendidas]],0)</f>
        <v>85.6</v>
      </c>
      <c r="H72" s="21">
        <f>IFERROR(SUMIFS(Regiones[Aten &lt; 20 seg],Regiones[Fecha],Tabla54[[#This Row],[Fecha]],Regiones[Intervalo],Tabla54[[#This Row],[Intervalo]],Regiones[Skill],'BUPA Seguros'!$L$3)/Tabla54[[#This Row],[Recibidas]],0)</f>
        <v>0.47</v>
      </c>
      <c r="I72" s="21">
        <f>IFERROR(Tabla54[[#This Row],[Atendidas]]/Tabla54[[#This Row],[Recibidas]],0)</f>
        <v>0.77777777777777779</v>
      </c>
    </row>
    <row r="73" spans="2:9" x14ac:dyDescent="0.3">
      <c r="B73" s="25">
        <f t="shared" si="12"/>
        <v>46205</v>
      </c>
      <c r="C73" s="26">
        <v>0.39583333333333298</v>
      </c>
      <c r="D73" s="19">
        <f>+SUMIFS(Regiones[Ofrecidas],Regiones[Fecha],Tabla54[[#This Row],[Fecha]],Regiones[Intervalo],Tabla54[[#This Row],[Intervalo]],Regiones[Skill],'BUPA Seguros'!$L$3)</f>
        <v>35</v>
      </c>
      <c r="E73" s="19">
        <f>+SUMIFS(Regiones[Contestadas],Regiones[Fecha],Tabla54[[#This Row],[Fecha]],Regiones[Intervalo],Tabla54[[#This Row],[Intervalo]],Regiones[Skill],'BUPA Seguros'!$L$3)</f>
        <v>38</v>
      </c>
      <c r="F73" s="20">
        <v>29.018781778260792</v>
      </c>
      <c r="G73" s="19">
        <f>IFERROR(SUMIFS(Regiones[TMO],Regiones[Fecha],Tabla54[[#This Row],[Fecha]],Regiones[Intervalo],Tabla54[[#This Row],[Intervalo]],Regiones[Skill],'BUPA Seguros'!$L$3)/Tabla54[[#This Row],[Atendidas]],0)</f>
        <v>107.89473684210526</v>
      </c>
      <c r="H73" s="21">
        <f>IFERROR(SUMIFS(Regiones[Aten &lt; 20 seg],Regiones[Fecha],Tabla54[[#This Row],[Fecha]],Regiones[Intervalo],Tabla54[[#This Row],[Intervalo]],Regiones[Skill],'BUPA Seguros'!$L$3)/Tabla54[[#This Row],[Recibidas]],0)</f>
        <v>0.66342857142857148</v>
      </c>
      <c r="I73" s="21">
        <f>IFERROR(Tabla54[[#This Row],[Atendidas]]/Tabla54[[#This Row],[Recibidas]],0)</f>
        <v>1.0857142857142856</v>
      </c>
    </row>
    <row r="74" spans="2:9" x14ac:dyDescent="0.3">
      <c r="B74" s="27">
        <f t="shared" si="12"/>
        <v>46205</v>
      </c>
      <c r="C74" s="18">
        <v>0.41666666666666702</v>
      </c>
      <c r="D74" s="19">
        <f>+SUMIFS(Regiones[Ofrecidas],Regiones[Fecha],Tabla54[[#This Row],[Fecha]],Regiones[Intervalo],Tabla54[[#This Row],[Intervalo]],Regiones[Skill],'BUPA Seguros'!$L$3)</f>
        <v>47</v>
      </c>
      <c r="E74" s="19">
        <f>+SUMIFS(Regiones[Contestadas],Regiones[Fecha],Tabla54[[#This Row],[Fecha]],Regiones[Intervalo],Tabla54[[#This Row],[Intervalo]],Regiones[Skill],'BUPA Seguros'!$L$3)</f>
        <v>40</v>
      </c>
      <c r="F74" s="20">
        <v>30.002286114134805</v>
      </c>
      <c r="G74" s="19">
        <f>IFERROR(SUMIFS(Regiones[TMO],Regiones[Fecha],Tabla54[[#This Row],[Fecha]],Regiones[Intervalo],Tabla54[[#This Row],[Intervalo]],Regiones[Skill],'BUPA Seguros'!$L$3)/Tabla54[[#This Row],[Atendidas]],0)</f>
        <v>99.025000000000006</v>
      </c>
      <c r="H74" s="21">
        <f>IFERROR(SUMIFS(Regiones[Aten &lt; 20 seg],Regiones[Fecha],Tabla54[[#This Row],[Fecha]],Regiones[Intervalo],Tabla54[[#This Row],[Intervalo]],Regiones[Skill],'BUPA Seguros'!$L$3)/Tabla54[[#This Row],[Recibidas]],0)</f>
        <v>0.27553191489361706</v>
      </c>
      <c r="I74" s="21">
        <f>IFERROR(Tabla54[[#This Row],[Atendidas]]/Tabla54[[#This Row],[Recibidas]],0)</f>
        <v>0.85106382978723405</v>
      </c>
    </row>
    <row r="75" spans="2:9" x14ac:dyDescent="0.3">
      <c r="B75" s="25">
        <f t="shared" si="12"/>
        <v>46205</v>
      </c>
      <c r="C75" s="26">
        <v>0.4375</v>
      </c>
      <c r="D75" s="19">
        <f>+SUMIFS(Regiones[Ofrecidas],Regiones[Fecha],Tabla54[[#This Row],[Fecha]],Regiones[Intervalo],Tabla54[[#This Row],[Intervalo]],Regiones[Skill],'BUPA Seguros'!$L$3)</f>
        <v>43</v>
      </c>
      <c r="E75" s="19">
        <f>+SUMIFS(Regiones[Contestadas],Regiones[Fecha],Tabla54[[#This Row],[Fecha]],Regiones[Intervalo],Tabla54[[#This Row],[Intervalo]],Regiones[Skill],'BUPA Seguros'!$L$3)</f>
        <v>26</v>
      </c>
      <c r="F75" s="20">
        <v>30.175209953409357</v>
      </c>
      <c r="G75" s="19">
        <f>IFERROR(SUMIFS(Regiones[TMO],Regiones[Fecha],Tabla54[[#This Row],[Fecha]],Regiones[Intervalo],Tabla54[[#This Row],[Intervalo]],Regiones[Skill],'BUPA Seguros'!$L$3)/Tabla54[[#This Row],[Atendidas]],0)</f>
        <v>161.65384615384616</v>
      </c>
      <c r="H75" s="21">
        <f>IFERROR(SUMIFS(Regiones[Aten &lt; 20 seg],Regiones[Fecha],Tabla54[[#This Row],[Fecha]],Regiones[Intervalo],Tabla54[[#This Row],[Intervalo]],Regiones[Skill],'BUPA Seguros'!$L$3)/Tabla54[[#This Row],[Recibidas]],0)</f>
        <v>0.16046511627906979</v>
      </c>
      <c r="I75" s="21">
        <f>IFERROR(Tabla54[[#This Row],[Atendidas]]/Tabla54[[#This Row],[Recibidas]],0)</f>
        <v>0.60465116279069764</v>
      </c>
    </row>
    <row r="76" spans="2:9" x14ac:dyDescent="0.3">
      <c r="B76" s="27">
        <f t="shared" si="12"/>
        <v>46205</v>
      </c>
      <c r="C76" s="18">
        <v>0.45833333333333298</v>
      </c>
      <c r="D76" s="19">
        <f>+SUMIFS(Regiones[Ofrecidas],Regiones[Fecha],Tabla54[[#This Row],[Fecha]],Regiones[Intervalo],Tabla54[[#This Row],[Intervalo]],Regiones[Skill],'BUPA Seguros'!$L$3)</f>
        <v>27</v>
      </c>
      <c r="E76" s="19">
        <f>+SUMIFS(Regiones[Contestadas],Regiones[Fecha],Tabla54[[#This Row],[Fecha]],Regiones[Intervalo],Tabla54[[#This Row],[Intervalo]],Regiones[Skill],'BUPA Seguros'!$L$3)</f>
        <v>33</v>
      </c>
      <c r="F76" s="20">
        <v>30.708391791172563</v>
      </c>
      <c r="G76" s="19">
        <f>IFERROR(SUMIFS(Regiones[TMO],Regiones[Fecha],Tabla54[[#This Row],[Fecha]],Regiones[Intervalo],Tabla54[[#This Row],[Intervalo]],Regiones[Skill],'BUPA Seguros'!$L$3)/Tabla54[[#This Row],[Atendidas]],0)</f>
        <v>85.696969696969703</v>
      </c>
      <c r="H76" s="21">
        <f>IFERROR(SUMIFS(Regiones[Aten &lt; 20 seg],Regiones[Fecha],Tabla54[[#This Row],[Fecha]],Regiones[Intervalo],Tabla54[[#This Row],[Intervalo]],Regiones[Skill],'BUPA Seguros'!$L$3)/Tabla54[[#This Row],[Recibidas]],0)</f>
        <v>0.47888888888888886</v>
      </c>
      <c r="I76" s="21">
        <f>IFERROR(Tabla54[[#This Row],[Atendidas]]/Tabla54[[#This Row],[Recibidas]],0)</f>
        <v>1.2222222222222223</v>
      </c>
    </row>
    <row r="77" spans="2:9" x14ac:dyDescent="0.3">
      <c r="B77" s="25">
        <f t="shared" si="12"/>
        <v>46205</v>
      </c>
      <c r="C77" s="26">
        <v>0.47916666666666702</v>
      </c>
      <c r="D77" s="19">
        <f>+SUMIFS(Regiones[Ofrecidas],Regiones[Fecha],Tabla54[[#This Row],[Fecha]],Regiones[Intervalo],Tabla54[[#This Row],[Intervalo]],Regiones[Skill],'BUPA Seguros'!$L$3)</f>
        <v>42</v>
      </c>
      <c r="E77" s="19">
        <f>+SUMIFS(Regiones[Contestadas],Regiones[Fecha],Tabla54[[#This Row],[Fecha]],Regiones[Intervalo],Tabla54[[#This Row],[Intervalo]],Regiones[Skill],'BUPA Seguros'!$L$3)</f>
        <v>41</v>
      </c>
      <c r="F77" s="20">
        <v>30.535467951898013</v>
      </c>
      <c r="G77" s="19">
        <f>IFERROR(SUMIFS(Regiones[TMO],Regiones[Fecha],Tabla54[[#This Row],[Fecha]],Regiones[Intervalo],Tabla54[[#This Row],[Intervalo]],Regiones[Skill],'BUPA Seguros'!$L$3)/Tabla54[[#This Row],[Atendidas]],0)</f>
        <v>74.609756097560975</v>
      </c>
      <c r="H77" s="21">
        <f>IFERROR(SUMIFS(Regiones[Aten &lt; 20 seg],Regiones[Fecha],Tabla54[[#This Row],[Fecha]],Regiones[Intervalo],Tabla54[[#This Row],[Intervalo]],Regiones[Skill],'BUPA Seguros'!$L$3)/Tabla54[[#This Row],[Recibidas]],0)</f>
        <v>0.83285714285714296</v>
      </c>
      <c r="I77" s="21">
        <f>IFERROR(Tabla54[[#This Row],[Atendidas]]/Tabla54[[#This Row],[Recibidas]],0)</f>
        <v>0.97619047619047616</v>
      </c>
    </row>
    <row r="78" spans="2:9" x14ac:dyDescent="0.3">
      <c r="B78" s="27">
        <f t="shared" si="12"/>
        <v>46205</v>
      </c>
      <c r="C78" s="18">
        <v>0.5</v>
      </c>
      <c r="D78" s="19">
        <f>+SUMIFS(Regiones[Ofrecidas],Regiones[Fecha],Tabla54[[#This Row],[Fecha]],Regiones[Intervalo],Tabla54[[#This Row],[Intervalo]],Regiones[Skill],'BUPA Seguros'!$L$3)</f>
        <v>27</v>
      </c>
      <c r="E78" s="19">
        <f>+SUMIFS(Regiones[Contestadas],Regiones[Fecha],Tabla54[[#This Row],[Fecha]],Regiones[Intervalo],Tabla54[[#This Row],[Intervalo]],Regiones[Skill],'BUPA Seguros'!$L$3)</f>
        <v>27</v>
      </c>
      <c r="F78" s="20">
        <v>30.535467951898006</v>
      </c>
      <c r="G78" s="19">
        <f>IFERROR(SUMIFS(Regiones[TMO],Regiones[Fecha],Tabla54[[#This Row],[Fecha]],Regiones[Intervalo],Tabla54[[#This Row],[Intervalo]],Regiones[Skill],'BUPA Seguros'!$L$3)/Tabla54[[#This Row],[Atendidas]],0)</f>
        <v>147.11111111111111</v>
      </c>
      <c r="H78" s="21">
        <f>IFERROR(SUMIFS(Regiones[Aten &lt; 20 seg],Regiones[Fecha],Tabla54[[#This Row],[Fecha]],Regiones[Intervalo],Tabla54[[#This Row],[Intervalo]],Regiones[Skill],'BUPA Seguros'!$L$3)/Tabla54[[#This Row],[Recibidas]],0)</f>
        <v>0.85185185185185186</v>
      </c>
      <c r="I78" s="21">
        <f>IFERROR(Tabla54[[#This Row],[Atendidas]]/Tabla54[[#This Row],[Recibidas]],0)</f>
        <v>1</v>
      </c>
    </row>
    <row r="79" spans="2:9" x14ac:dyDescent="0.3">
      <c r="B79" s="25">
        <f t="shared" si="12"/>
        <v>46205</v>
      </c>
      <c r="C79" s="26">
        <v>0.52083333333333304</v>
      </c>
      <c r="D79" s="19">
        <f>+SUMIFS(Regiones[Ofrecidas],Regiones[Fecha],Tabla54[[#This Row],[Fecha]],Regiones[Intervalo],Tabla54[[#This Row],[Intervalo]],Regiones[Skill],'BUPA Seguros'!$L$3)</f>
        <v>26</v>
      </c>
      <c r="E79" s="19">
        <f>+SUMIFS(Regiones[Contestadas],Regiones[Fecha],Tabla54[[#This Row],[Fecha]],Regiones[Intervalo],Tabla54[[#This Row],[Intervalo]],Regiones[Skill],'BUPA Seguros'!$L$3)</f>
        <v>26</v>
      </c>
      <c r="F79" s="20">
        <v>29.887003554618442</v>
      </c>
      <c r="G79" s="19">
        <f>IFERROR(SUMIFS(Regiones[TMO],Regiones[Fecha],Tabla54[[#This Row],[Fecha]],Regiones[Intervalo],Tabla54[[#This Row],[Intervalo]],Regiones[Skill],'BUPA Seguros'!$L$3)/Tabla54[[#This Row],[Atendidas]],0)</f>
        <v>88.769230769230774</v>
      </c>
      <c r="H79" s="21">
        <f>IFERROR(SUMIFS(Regiones[Aten &lt; 20 seg],Regiones[Fecha],Tabla54[[#This Row],[Fecha]],Regiones[Intervalo],Tabla54[[#This Row],[Intervalo]],Regiones[Skill],'BUPA Seguros'!$L$3)/Tabla54[[#This Row],[Recibidas]],0)</f>
        <v>1</v>
      </c>
      <c r="I79" s="21">
        <f>IFERROR(Tabla54[[#This Row],[Atendidas]]/Tabla54[[#This Row],[Recibidas]],0)</f>
        <v>1</v>
      </c>
    </row>
    <row r="80" spans="2:9" x14ac:dyDescent="0.3">
      <c r="B80" s="27">
        <f t="shared" si="12"/>
        <v>46205</v>
      </c>
      <c r="C80" s="18">
        <v>0.54166666666666696</v>
      </c>
      <c r="D80" s="19">
        <f>+SUMIFS(Regiones[Ofrecidas],Regiones[Fecha],Tabla54[[#This Row],[Fecha]],Regiones[Intervalo],Tabla54[[#This Row],[Intervalo]],Regiones[Skill],'BUPA Seguros'!$L$3)</f>
        <v>38</v>
      </c>
      <c r="E80" s="19">
        <f>+SUMIFS(Regiones[Contestadas],Regiones[Fecha],Tabla54[[#This Row],[Fecha]],Regiones[Intervalo],Tabla54[[#This Row],[Intervalo]],Regiones[Skill],'BUPA Seguros'!$L$3)</f>
        <v>32</v>
      </c>
      <c r="F80" s="20">
        <v>29.051204998124771</v>
      </c>
      <c r="G80" s="19">
        <f>IFERROR(SUMIFS(Regiones[TMO],Regiones[Fecha],Tabla54[[#This Row],[Fecha]],Regiones[Intervalo],Tabla54[[#This Row],[Intervalo]],Regiones[Skill],'BUPA Seguros'!$L$3)/Tabla54[[#This Row],[Atendidas]],0)</f>
        <v>124.25</v>
      </c>
      <c r="H80" s="21">
        <f>IFERROR(SUMIFS(Regiones[Aten &lt; 20 seg],Regiones[Fecha],Tabla54[[#This Row],[Fecha]],Regiones[Intervalo],Tabla54[[#This Row],[Intervalo]],Regiones[Skill],'BUPA Seguros'!$L$3)/Tabla54[[#This Row],[Recibidas]],0)</f>
        <v>0.42026315789473684</v>
      </c>
      <c r="I80" s="21">
        <f>IFERROR(Tabla54[[#This Row],[Atendidas]]/Tabla54[[#This Row],[Recibidas]],0)</f>
        <v>0.84210526315789469</v>
      </c>
    </row>
    <row r="81" spans="2:9" x14ac:dyDescent="0.3">
      <c r="B81" s="25">
        <f t="shared" si="12"/>
        <v>46205</v>
      </c>
      <c r="C81" s="26">
        <v>0.5625</v>
      </c>
      <c r="D81" s="19">
        <f>+SUMIFS(Regiones[Ofrecidas],Regiones[Fecha],Tabla54[[#This Row],[Fecha]],Regiones[Intervalo],Tabla54[[#This Row],[Intervalo]],Regiones[Skill],'BUPA Seguros'!$L$3)</f>
        <v>41</v>
      </c>
      <c r="E81" s="19">
        <f>+SUMIFS(Regiones[Contestadas],Regiones[Fecha],Tabla54[[#This Row],[Fecha]],Regiones[Intervalo],Tabla54[[#This Row],[Intervalo]],Regiones[Skill],'BUPA Seguros'!$L$3)</f>
        <v>37</v>
      </c>
      <c r="F81" s="20">
        <v>27.610173004170171</v>
      </c>
      <c r="G81" s="19">
        <f>IFERROR(SUMIFS(Regiones[TMO],Regiones[Fecha],Tabla54[[#This Row],[Fecha]],Regiones[Intervalo],Tabla54[[#This Row],[Intervalo]],Regiones[Skill],'BUPA Seguros'!$L$3)/Tabla54[[#This Row],[Atendidas]],0)</f>
        <v>105.75675675675676</v>
      </c>
      <c r="H81" s="21">
        <f>IFERROR(SUMIFS(Regiones[Aten &lt; 20 seg],Regiones[Fecha],Tabla54[[#This Row],[Fecha]],Regiones[Intervalo],Tabla54[[#This Row],[Intervalo]],Regiones[Skill],'BUPA Seguros'!$L$3)/Tabla54[[#This Row],[Recibidas]],0)</f>
        <v>0.26682926829268294</v>
      </c>
      <c r="I81" s="21">
        <f>IFERROR(Tabla54[[#This Row],[Atendidas]]/Tabla54[[#This Row],[Recibidas]],0)</f>
        <v>0.90243902439024393</v>
      </c>
    </row>
    <row r="82" spans="2:9" x14ac:dyDescent="0.3">
      <c r="B82" s="27">
        <f t="shared" si="12"/>
        <v>46205</v>
      </c>
      <c r="C82" s="18">
        <v>0.58333333333333304</v>
      </c>
      <c r="D82" s="19">
        <f>+SUMIFS(Regiones[Ofrecidas],Regiones[Fecha],Tabla54[[#This Row],[Fecha]],Regiones[Intervalo],Tabla54[[#This Row],[Intervalo]],Regiones[Skill],'BUPA Seguros'!$L$3)</f>
        <v>37</v>
      </c>
      <c r="E82" s="19">
        <f>+SUMIFS(Regiones[Contestadas],Regiones[Fecha],Tabla54[[#This Row],[Fecha]],Regiones[Intervalo],Tabla54[[#This Row],[Intervalo]],Regiones[Skill],'BUPA Seguros'!$L$3)</f>
        <v>30</v>
      </c>
      <c r="F82" s="20">
        <v>26.356475169429665</v>
      </c>
      <c r="G82" s="19">
        <f>IFERROR(SUMIFS(Regiones[TMO],Regiones[Fecha],Tabla54[[#This Row],[Fecha]],Regiones[Intervalo],Tabla54[[#This Row],[Intervalo]],Regiones[Skill],'BUPA Seguros'!$L$3)/Tabla54[[#This Row],[Atendidas]],0)</f>
        <v>96.266666666666666</v>
      </c>
      <c r="H82" s="21">
        <f>IFERROR(SUMIFS(Regiones[Aten &lt; 20 seg],Regiones[Fecha],Tabla54[[#This Row],[Fecha]],Regiones[Intervalo],Tabla54[[#This Row],[Intervalo]],Regiones[Skill],'BUPA Seguros'!$L$3)/Tabla54[[#This Row],[Recibidas]],0)</f>
        <v>0.26810810810810809</v>
      </c>
      <c r="I82" s="21">
        <f>IFERROR(Tabla54[[#This Row],[Atendidas]]/Tabla54[[#This Row],[Recibidas]],0)</f>
        <v>0.81081081081081086</v>
      </c>
    </row>
    <row r="83" spans="2:9" x14ac:dyDescent="0.3">
      <c r="B83" s="25">
        <f t="shared" si="12"/>
        <v>46205</v>
      </c>
      <c r="C83" s="26">
        <v>0.60416666666666696</v>
      </c>
      <c r="D83" s="19">
        <f>+SUMIFS(Regiones[Ofrecidas],Regiones[Fecha],Tabla54[[#This Row],[Fecha]],Regiones[Intervalo],Tabla54[[#This Row],[Intervalo]],Regiones[Skill],'BUPA Seguros'!$L$3)</f>
        <v>25</v>
      </c>
      <c r="E83" s="19">
        <f>+SUMIFS(Regiones[Contestadas],Regiones[Fecha],Tabla54[[#This Row],[Fecha]],Regiones[Intervalo],Tabla54[[#This Row],[Intervalo]],Regiones[Skill],'BUPA Seguros'!$L$3)</f>
        <v>24</v>
      </c>
      <c r="F83" s="20">
        <v>25.232470214145081</v>
      </c>
      <c r="G83" s="19">
        <f>IFERROR(SUMIFS(Regiones[TMO],Regiones[Fecha],Tabla54[[#This Row],[Fecha]],Regiones[Intervalo],Tabla54[[#This Row],[Intervalo]],Regiones[Skill],'BUPA Seguros'!$L$3)/Tabla54[[#This Row],[Atendidas]],0)</f>
        <v>80.666666666666671</v>
      </c>
      <c r="H83" s="21">
        <f>IFERROR(SUMIFS(Regiones[Aten &lt; 20 seg],Regiones[Fecha],Tabla54[[#This Row],[Fecha]],Regiones[Intervalo],Tabla54[[#This Row],[Intervalo]],Regiones[Skill],'BUPA Seguros'!$L$3)/Tabla54[[#This Row],[Recibidas]],0)</f>
        <v>0.92159999999999997</v>
      </c>
      <c r="I83" s="21">
        <f>IFERROR(Tabla54[[#This Row],[Atendidas]]/Tabla54[[#This Row],[Recibidas]],0)</f>
        <v>0.96</v>
      </c>
    </row>
    <row r="84" spans="2:9" x14ac:dyDescent="0.3">
      <c r="B84" s="27">
        <f t="shared" si="12"/>
        <v>46205</v>
      </c>
      <c r="C84" s="18">
        <v>0.625</v>
      </c>
      <c r="D84" s="19">
        <f>+SUMIFS(Regiones[Ofrecidas],Regiones[Fecha],Tabla54[[#This Row],[Fecha]],Regiones[Intervalo],Tabla54[[#This Row],[Intervalo]],Regiones[Skill],'BUPA Seguros'!$L$3)</f>
        <v>25</v>
      </c>
      <c r="E84" s="19">
        <f>+SUMIFS(Regiones[Contestadas],Regiones[Fecha],Tabla54[[#This Row],[Fecha]],Regiones[Intervalo],Tabla54[[#This Row],[Intervalo]],Regiones[Skill],'BUPA Seguros'!$L$3)</f>
        <v>25</v>
      </c>
      <c r="F84" s="20">
        <v>24.929853495414616</v>
      </c>
      <c r="G84" s="19">
        <f>IFERROR(SUMIFS(Regiones[TMO],Regiones[Fecha],Tabla54[[#This Row],[Fecha]],Regiones[Intervalo],Tabla54[[#This Row],[Intervalo]],Regiones[Skill],'BUPA Seguros'!$L$3)/Tabla54[[#This Row],[Atendidas]],0)</f>
        <v>191.72</v>
      </c>
      <c r="H84" s="21">
        <f>IFERROR(SUMIFS(Regiones[Aten &lt; 20 seg],Regiones[Fecha],Tabla54[[#This Row],[Fecha]],Regiones[Intervalo],Tabla54[[#This Row],[Intervalo]],Regiones[Skill],'BUPA Seguros'!$L$3)/Tabla54[[#This Row],[Recibidas]],0)</f>
        <v>0.96</v>
      </c>
      <c r="I84" s="21">
        <f>IFERROR(Tabla54[[#This Row],[Atendidas]]/Tabla54[[#This Row],[Recibidas]],0)</f>
        <v>1</v>
      </c>
    </row>
    <row r="85" spans="2:9" x14ac:dyDescent="0.3">
      <c r="B85" s="25">
        <f t="shared" si="12"/>
        <v>46205</v>
      </c>
      <c r="C85" s="26">
        <v>0.64583333333333304</v>
      </c>
      <c r="D85" s="19">
        <f>+SUMIFS(Regiones[Ofrecidas],Regiones[Fecha],Tabla54[[#This Row],[Fecha]],Regiones[Intervalo],Tabla54[[#This Row],[Intervalo]],Regiones[Skill],'BUPA Seguros'!$L$3)</f>
        <v>30</v>
      </c>
      <c r="E85" s="19">
        <f>+SUMIFS(Regiones[Contestadas],Regiones[Fecha],Tabla54[[#This Row],[Fecha]],Regiones[Intervalo],Tabla54[[#This Row],[Intervalo]],Regiones[Skill],'BUPA Seguros'!$L$3)</f>
        <v>29</v>
      </c>
      <c r="F85" s="20">
        <v>24.872212215656429</v>
      </c>
      <c r="G85" s="19">
        <f>IFERROR(SUMIFS(Regiones[TMO],Regiones[Fecha],Tabla54[[#This Row],[Fecha]],Regiones[Intervalo],Tabla54[[#This Row],[Intervalo]],Regiones[Skill],'BUPA Seguros'!$L$3)/Tabla54[[#This Row],[Atendidas]],0)</f>
        <v>123.96551724137932</v>
      </c>
      <c r="H85" s="21">
        <f>IFERROR(SUMIFS(Regiones[Aten &lt; 20 seg],Regiones[Fecha],Tabla54[[#This Row],[Fecha]],Regiones[Intervalo],Tabla54[[#This Row],[Intervalo]],Regiones[Skill],'BUPA Seguros'!$L$3)/Tabla54[[#This Row],[Recibidas]],0)</f>
        <v>0.83200000000000007</v>
      </c>
      <c r="I85" s="21">
        <f>IFERROR(Tabla54[[#This Row],[Atendidas]]/Tabla54[[#This Row],[Recibidas]],0)</f>
        <v>0.96666666666666667</v>
      </c>
    </row>
    <row r="86" spans="2:9" x14ac:dyDescent="0.3">
      <c r="B86" s="27">
        <f t="shared" si="12"/>
        <v>46205</v>
      </c>
      <c r="C86" s="18">
        <v>0.66666666666666696</v>
      </c>
      <c r="D86" s="19">
        <f>+SUMIFS(Regiones[Ofrecidas],Regiones[Fecha],Tabla54[[#This Row],[Fecha]],Regiones[Intervalo],Tabla54[[#This Row],[Intervalo]],Regiones[Skill],'BUPA Seguros'!$L$3)</f>
        <v>30</v>
      </c>
      <c r="E86" s="19">
        <f>+SUMIFS(Regiones[Contestadas],Regiones[Fecha],Tabla54[[#This Row],[Fecha]],Regiones[Intervalo],Tabla54[[#This Row],[Intervalo]],Regiones[Skill],'BUPA Seguros'!$L$3)</f>
        <v>29</v>
      </c>
      <c r="F86" s="20">
        <v>25.160418614447352</v>
      </c>
      <c r="G86" s="19">
        <f>IFERROR(SUMIFS(Regiones[TMO],Regiones[Fecha],Tabla54[[#This Row],[Fecha]],Regiones[Intervalo],Tabla54[[#This Row],[Intervalo]],Regiones[Skill],'BUPA Seguros'!$L$3)/Tabla54[[#This Row],[Atendidas]],0)</f>
        <v>84.241379310344826</v>
      </c>
      <c r="H86" s="21">
        <f>IFERROR(SUMIFS(Regiones[Aten &lt; 20 seg],Regiones[Fecha],Tabla54[[#This Row],[Fecha]],Regiones[Intervalo],Tabla54[[#This Row],[Intervalo]],Regiones[Skill],'BUPA Seguros'!$L$3)/Tabla54[[#This Row],[Recibidas]],0)</f>
        <v>0.86566666666666658</v>
      </c>
      <c r="I86" s="21">
        <f>IFERROR(Tabla54[[#This Row],[Atendidas]]/Tabla54[[#This Row],[Recibidas]],0)</f>
        <v>0.96666666666666667</v>
      </c>
    </row>
    <row r="87" spans="2:9" x14ac:dyDescent="0.3">
      <c r="B87" s="25">
        <f t="shared" si="12"/>
        <v>46205</v>
      </c>
      <c r="C87" s="26">
        <v>0.6875</v>
      </c>
      <c r="D87" s="19">
        <f>+SUMIFS(Regiones[Ofrecidas],Regiones[Fecha],Tabla54[[#This Row],[Fecha]],Regiones[Intervalo],Tabla54[[#This Row],[Intervalo]],Regiones[Skill],'BUPA Seguros'!$L$3)</f>
        <v>20</v>
      </c>
      <c r="E87" s="19">
        <f>+SUMIFS(Regiones[Contestadas],Regiones[Fecha],Tabla54[[#This Row],[Fecha]],Regiones[Intervalo],Tabla54[[#This Row],[Intervalo]],Regiones[Skill],'BUPA Seguros'!$L$3)</f>
        <v>20</v>
      </c>
      <c r="F87" s="20">
        <v>24.980289615203024</v>
      </c>
      <c r="G87" s="19">
        <f>IFERROR(SUMIFS(Regiones[TMO],Regiones[Fecha],Tabla54[[#This Row],[Fecha]],Regiones[Intervalo],Tabla54[[#This Row],[Intervalo]],Regiones[Skill],'BUPA Seguros'!$L$3)/Tabla54[[#This Row],[Atendidas]],0)</f>
        <v>140.75</v>
      </c>
      <c r="H87" s="21">
        <f>IFERROR(SUMIFS(Regiones[Aten &lt; 20 seg],Regiones[Fecha],Tabla54[[#This Row],[Fecha]],Regiones[Intervalo],Tabla54[[#This Row],[Intervalo]],Regiones[Skill],'BUPA Seguros'!$L$3)/Tabla54[[#This Row],[Recibidas]],0)</f>
        <v>1</v>
      </c>
      <c r="I87" s="21">
        <f>IFERROR(Tabla54[[#This Row],[Atendidas]]/Tabla54[[#This Row],[Recibidas]],0)</f>
        <v>1</v>
      </c>
    </row>
    <row r="88" spans="2:9" x14ac:dyDescent="0.3">
      <c r="B88" s="27">
        <f t="shared" si="12"/>
        <v>46205</v>
      </c>
      <c r="C88" s="18">
        <v>0.70833333333333304</v>
      </c>
      <c r="D88" s="19">
        <f>+SUMIFS(Regiones[Ofrecidas],Regiones[Fecha],Tabla54[[#This Row],[Fecha]],Regiones[Intervalo],Tabla54[[#This Row],[Intervalo]],Regiones[Skill],'BUPA Seguros'!$L$3)</f>
        <v>21</v>
      </c>
      <c r="E88" s="19">
        <f>+SUMIFS(Regiones[Contestadas],Regiones[Fecha],Tabla54[[#This Row],[Fecha]],Regiones[Intervalo],Tabla54[[#This Row],[Intervalo]],Regiones[Skill],'BUPA Seguros'!$L$3)</f>
        <v>21</v>
      </c>
      <c r="F88" s="20">
        <v>24.825378675852903</v>
      </c>
      <c r="G88" s="19">
        <f>IFERROR(SUMIFS(Regiones[TMO],Regiones[Fecha],Tabla54[[#This Row],[Fecha]],Regiones[Intervalo],Tabla54[[#This Row],[Intervalo]],Regiones[Skill],'BUPA Seguros'!$L$3)/Tabla54[[#This Row],[Atendidas]],0)</f>
        <v>146.0952380952381</v>
      </c>
      <c r="H88" s="21">
        <f>IFERROR(SUMIFS(Regiones[Aten &lt; 20 seg],Regiones[Fecha],Tabla54[[#This Row],[Fecha]],Regiones[Intervalo],Tabla54[[#This Row],[Intervalo]],Regiones[Skill],'BUPA Seguros'!$L$3)/Tabla54[[#This Row],[Recibidas]],0)</f>
        <v>0.95238095238095233</v>
      </c>
      <c r="I88" s="21">
        <f>IFERROR(Tabla54[[#This Row],[Atendidas]]/Tabla54[[#This Row],[Recibidas]],0)</f>
        <v>1</v>
      </c>
    </row>
    <row r="89" spans="2:9" x14ac:dyDescent="0.3">
      <c r="B89" s="25">
        <f t="shared" si="12"/>
        <v>46205</v>
      </c>
      <c r="C89" s="26">
        <v>0.72916666666666696</v>
      </c>
      <c r="D89" s="19">
        <f>+SUMIFS(Regiones[Ofrecidas],Regiones[Fecha],Tabla54[[#This Row],[Fecha]],Regiones[Intervalo],Tabla54[[#This Row],[Intervalo]],Regiones[Skill],'BUPA Seguros'!$L$3)</f>
        <v>16</v>
      </c>
      <c r="E89" s="19">
        <f>+SUMIFS(Regiones[Contestadas],Regiones[Fecha],Tabla54[[#This Row],[Fecha]],Regiones[Intervalo],Tabla54[[#This Row],[Intervalo]],Regiones[Skill],'BUPA Seguros'!$L$3)</f>
        <v>15</v>
      </c>
      <c r="F89" s="20">
        <v>23.895913039752184</v>
      </c>
      <c r="G89" s="19">
        <f>IFERROR(SUMIFS(Regiones[TMO],Regiones[Fecha],Tabla54[[#This Row],[Fecha]],Regiones[Intervalo],Tabla54[[#This Row],[Intervalo]],Regiones[Skill],'BUPA Seguros'!$L$3)/Tabla54[[#This Row],[Atendidas]],0)</f>
        <v>242.73333333333332</v>
      </c>
      <c r="H89" s="21">
        <f>IFERROR(SUMIFS(Regiones[Aten &lt; 20 seg],Regiones[Fecha],Tabla54[[#This Row],[Fecha]],Regiones[Intervalo],Tabla54[[#This Row],[Intervalo]],Regiones[Skill],'BUPA Seguros'!$L$3)/Tabla54[[#This Row],[Recibidas]],0)</f>
        <v>0.37624999999999997</v>
      </c>
      <c r="I89" s="21">
        <f>IFERROR(Tabla54[[#This Row],[Atendidas]]/Tabla54[[#This Row],[Recibidas]],0)</f>
        <v>0.9375</v>
      </c>
    </row>
    <row r="90" spans="2:9" x14ac:dyDescent="0.3">
      <c r="B90" s="27">
        <f t="shared" si="12"/>
        <v>46205</v>
      </c>
      <c r="C90" s="18">
        <v>0.75</v>
      </c>
      <c r="D90" s="19">
        <f>+SUMIFS(Regiones[Ofrecidas],Regiones[Fecha],Tabla54[[#This Row],[Fecha]],Regiones[Intervalo],Tabla54[[#This Row],[Intervalo]],Regiones[Skill],'BUPA Seguros'!$L$3)</f>
        <v>1</v>
      </c>
      <c r="E90" s="19">
        <f>+SUMIFS(Regiones[Contestadas],Regiones[Fecha],Tabla54[[#This Row],[Fecha]],Regiones[Intervalo],Tabla54[[#This Row],[Intervalo]],Regiones[Skill],'BUPA Seguros'!$L$3)</f>
        <v>1</v>
      </c>
      <c r="F90" s="20">
        <v>0</v>
      </c>
      <c r="G90" s="19">
        <f>IFERROR(SUMIFS(Regiones[TMO],Regiones[Fecha],Tabla54[[#This Row],[Fecha]],Regiones[Intervalo],Tabla54[[#This Row],[Intervalo]],Regiones[Skill],'BUPA Seguros'!$L$3)/Tabla54[[#This Row],[Atendidas]],0)</f>
        <v>1405</v>
      </c>
      <c r="H90" s="21">
        <f>IFERROR(SUMIFS(Regiones[Aten &lt; 20 seg],Regiones[Fecha],Tabla54[[#This Row],[Fecha]],Regiones[Intervalo],Tabla54[[#This Row],[Intervalo]],Regiones[Skill],'BUPA Seguros'!$L$3)/Tabla54[[#This Row],[Recibidas]],0)</f>
        <v>1</v>
      </c>
      <c r="I90" s="21">
        <f>IFERROR(Tabla54[[#This Row],[Atendidas]]/Tabla54[[#This Row],[Recibidas]],0)</f>
        <v>1</v>
      </c>
    </row>
    <row r="91" spans="2:9" x14ac:dyDescent="0.3">
      <c r="B91" s="25">
        <f t="shared" si="12"/>
        <v>46205</v>
      </c>
      <c r="C91" s="26">
        <v>0.77083333333333304</v>
      </c>
      <c r="D91" s="19">
        <f>+SUMIFS(Regiones[Ofrecidas],Regiones[Fecha],Tabla54[[#This Row],[Fecha]],Regiones[Intervalo],Tabla54[[#This Row],[Intervalo]],Regiones[Skill],'BUPA Seguros'!$L$3)</f>
        <v>0</v>
      </c>
      <c r="E91" s="19">
        <f>+SUMIFS(Regiones[Contestadas],Regiones[Fecha],Tabla54[[#This Row],[Fecha]],Regiones[Intervalo],Tabla54[[#This Row],[Intervalo]],Regiones[Skill],'BUPA Seguros'!$L$3)</f>
        <v>0</v>
      </c>
      <c r="F91" s="20">
        <v>0</v>
      </c>
      <c r="G91" s="19">
        <f>IFERROR(SUMIFS(Regiones[TMO],Regiones[Fecha],Tabla54[[#This Row],[Fecha]],Regiones[Intervalo],Tabla54[[#This Row],[Intervalo]],Regiones[Skill],'BUPA Seguros'!$L$3)/Tabla54[[#This Row],[Atendidas]],0)</f>
        <v>0</v>
      </c>
      <c r="H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" s="21">
        <f>IFERROR(Tabla54[[#This Row],[Atendidas]]/Tabla54[[#This Row],[Recibidas]],0)</f>
        <v>0</v>
      </c>
    </row>
    <row r="92" spans="2:9" x14ac:dyDescent="0.3">
      <c r="B92" s="27">
        <f t="shared" si="12"/>
        <v>46205</v>
      </c>
      <c r="C92" s="18">
        <v>0.79166666666666696</v>
      </c>
      <c r="D92" s="19">
        <f>+SUMIFS(Regiones[Ofrecidas],Regiones[Fecha],Tabla54[[#This Row],[Fecha]],Regiones[Intervalo],Tabla54[[#This Row],[Intervalo]],Regiones[Skill],'BUPA Seguros'!$L$3)</f>
        <v>0</v>
      </c>
      <c r="E92" s="19">
        <f>+SUMIFS(Regiones[Contestadas],Regiones[Fecha],Tabla54[[#This Row],[Fecha]],Regiones[Intervalo],Tabla54[[#This Row],[Intervalo]],Regiones[Skill],'BUPA Seguros'!$L$3)</f>
        <v>0</v>
      </c>
      <c r="F92" s="20">
        <v>0</v>
      </c>
      <c r="G92" s="19">
        <f>IFERROR(SUMIFS(Regiones[TMO],Regiones[Fecha],Tabla54[[#This Row],[Fecha]],Regiones[Intervalo],Tabla54[[#This Row],[Intervalo]],Regiones[Skill],'BUPA Seguros'!$L$3)/Tabla54[[#This Row],[Atendidas]],0)</f>
        <v>0</v>
      </c>
      <c r="H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" s="21">
        <f>IFERROR(Tabla54[[#This Row],[Atendidas]]/Tabla54[[#This Row],[Recibidas]],0)</f>
        <v>0</v>
      </c>
    </row>
    <row r="93" spans="2:9" x14ac:dyDescent="0.3">
      <c r="B93" s="25">
        <f t="shared" si="12"/>
        <v>46205</v>
      </c>
      <c r="C93" s="26">
        <v>0.8125</v>
      </c>
      <c r="D93" s="19">
        <f>+SUMIFS(Regiones[Ofrecidas],Regiones[Fecha],Tabla54[[#This Row],[Fecha]],Regiones[Intervalo],Tabla54[[#This Row],[Intervalo]],Regiones[Skill],'BUPA Seguros'!$L$3)</f>
        <v>0</v>
      </c>
      <c r="E93" s="19">
        <f>+SUMIFS(Regiones[Contestadas],Regiones[Fecha],Tabla54[[#This Row],[Fecha]],Regiones[Intervalo],Tabla54[[#This Row],[Intervalo]],Regiones[Skill],'BUPA Seguros'!$L$3)</f>
        <v>0</v>
      </c>
      <c r="F93" s="20">
        <v>0</v>
      </c>
      <c r="G93" s="19">
        <f>IFERROR(SUMIFS(Regiones[TMO],Regiones[Fecha],Tabla54[[#This Row],[Fecha]],Regiones[Intervalo],Tabla54[[#This Row],[Intervalo]],Regiones[Skill],'BUPA Seguros'!$L$3)/Tabla54[[#This Row],[Atendidas]],0)</f>
        <v>0</v>
      </c>
      <c r="H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" s="21">
        <f>IFERROR(Tabla54[[#This Row],[Atendidas]]/Tabla54[[#This Row],[Recibidas]],0)</f>
        <v>0</v>
      </c>
    </row>
    <row r="94" spans="2:9" x14ac:dyDescent="0.3">
      <c r="B94" s="27">
        <f t="shared" si="12"/>
        <v>46205</v>
      </c>
      <c r="C94" s="18">
        <v>0.83333333333333304</v>
      </c>
      <c r="D94" s="19">
        <f>+SUMIFS(Regiones[Ofrecidas],Regiones[Fecha],Tabla54[[#This Row],[Fecha]],Regiones[Intervalo],Tabla54[[#This Row],[Intervalo]],Regiones[Skill],'BUPA Seguros'!$L$3)</f>
        <v>0</v>
      </c>
      <c r="E94" s="19">
        <f>+SUMIFS(Regiones[Contestadas],Regiones[Fecha],Tabla54[[#This Row],[Fecha]],Regiones[Intervalo],Tabla54[[#This Row],[Intervalo]],Regiones[Skill],'BUPA Seguros'!$L$3)</f>
        <v>0</v>
      </c>
      <c r="F94" s="20">
        <v>0</v>
      </c>
      <c r="G94" s="19">
        <f>IFERROR(SUMIFS(Regiones[TMO],Regiones[Fecha],Tabla54[[#This Row],[Fecha]],Regiones[Intervalo],Tabla54[[#This Row],[Intervalo]],Regiones[Skill],'BUPA Seguros'!$L$3)/Tabla54[[#This Row],[Atendidas]],0)</f>
        <v>0</v>
      </c>
      <c r="H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" s="21">
        <f>IFERROR(Tabla54[[#This Row],[Atendidas]]/Tabla54[[#This Row],[Recibidas]],0)</f>
        <v>0</v>
      </c>
    </row>
    <row r="95" spans="2:9" x14ac:dyDescent="0.3">
      <c r="B95" s="25">
        <f t="shared" si="12"/>
        <v>46205</v>
      </c>
      <c r="C95" s="26">
        <v>0.85416666666666696</v>
      </c>
      <c r="D95" s="19">
        <f>+SUMIFS(Regiones[Ofrecidas],Regiones[Fecha],Tabla54[[#This Row],[Fecha]],Regiones[Intervalo],Tabla54[[#This Row],[Intervalo]],Regiones[Skill],'BUPA Seguros'!$L$3)</f>
        <v>0</v>
      </c>
      <c r="E95" s="19">
        <f>+SUMIFS(Regiones[Contestadas],Regiones[Fecha],Tabla54[[#This Row],[Fecha]],Regiones[Intervalo],Tabla54[[#This Row],[Intervalo]],Regiones[Skill],'BUPA Seguros'!$L$3)</f>
        <v>0</v>
      </c>
      <c r="F95" s="20">
        <v>0</v>
      </c>
      <c r="G95" s="19">
        <f>IFERROR(SUMIFS(Regiones[TMO],Regiones[Fecha],Tabla54[[#This Row],[Fecha]],Regiones[Intervalo],Tabla54[[#This Row],[Intervalo]],Regiones[Skill],'BUPA Seguros'!$L$3)/Tabla54[[#This Row],[Atendidas]],0)</f>
        <v>0</v>
      </c>
      <c r="H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" s="21">
        <f>IFERROR(Tabla54[[#This Row],[Atendidas]]/Tabla54[[#This Row],[Recibidas]],0)</f>
        <v>0</v>
      </c>
    </row>
    <row r="96" spans="2:9" x14ac:dyDescent="0.3">
      <c r="B96" s="27">
        <f t="shared" si="12"/>
        <v>46205</v>
      </c>
      <c r="C96" s="18">
        <v>0.875</v>
      </c>
      <c r="D96" s="19">
        <f>+SUMIFS(Regiones[Ofrecidas],Regiones[Fecha],Tabla54[[#This Row],[Fecha]],Regiones[Intervalo],Tabla54[[#This Row],[Intervalo]],Regiones[Skill],'BUPA Seguros'!$L$3)</f>
        <v>0</v>
      </c>
      <c r="E96" s="19">
        <f>+SUMIFS(Regiones[Contestadas],Regiones[Fecha],Tabla54[[#This Row],[Fecha]],Regiones[Intervalo],Tabla54[[#This Row],[Intervalo]],Regiones[Skill],'BUPA Seguros'!$L$3)</f>
        <v>0</v>
      </c>
      <c r="F96" s="20">
        <v>0</v>
      </c>
      <c r="G96" s="19">
        <f>IFERROR(SUMIFS(Regiones[TMO],Regiones[Fecha],Tabla54[[#This Row],[Fecha]],Regiones[Intervalo],Tabla54[[#This Row],[Intervalo]],Regiones[Skill],'BUPA Seguros'!$L$3)/Tabla54[[#This Row],[Atendidas]],0)</f>
        <v>0</v>
      </c>
      <c r="H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" s="21">
        <f>IFERROR(Tabla54[[#This Row],[Atendidas]]/Tabla54[[#This Row],[Recibidas]],0)</f>
        <v>0</v>
      </c>
    </row>
    <row r="97" spans="2:9" x14ac:dyDescent="0.3">
      <c r="B97" s="25">
        <f t="shared" si="12"/>
        <v>46205</v>
      </c>
      <c r="C97" s="26">
        <v>0.89583333333333304</v>
      </c>
      <c r="D97" s="19">
        <f>+SUMIFS(Regiones[Ofrecidas],Regiones[Fecha],Tabla54[[#This Row],[Fecha]],Regiones[Intervalo],Tabla54[[#This Row],[Intervalo]],Regiones[Skill],'BUPA Seguros'!$L$3)</f>
        <v>0</v>
      </c>
      <c r="E97" s="19">
        <f>+SUMIFS(Regiones[Contestadas],Regiones[Fecha],Tabla54[[#This Row],[Fecha]],Regiones[Intervalo],Tabla54[[#This Row],[Intervalo]],Regiones[Skill],'BUPA Seguros'!$L$3)</f>
        <v>0</v>
      </c>
      <c r="F97" s="20">
        <v>0</v>
      </c>
      <c r="G97" s="19">
        <f>IFERROR(SUMIFS(Regiones[TMO],Regiones[Fecha],Tabla54[[#This Row],[Fecha]],Regiones[Intervalo],Tabla54[[#This Row],[Intervalo]],Regiones[Skill],'BUPA Seguros'!$L$3)/Tabla54[[#This Row],[Atendidas]],0)</f>
        <v>0</v>
      </c>
      <c r="H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" s="21">
        <f>IFERROR(Tabla54[[#This Row],[Atendidas]]/Tabla54[[#This Row],[Recibidas]],0)</f>
        <v>0</v>
      </c>
    </row>
    <row r="98" spans="2:9" x14ac:dyDescent="0.3">
      <c r="B98" s="27">
        <f t="shared" si="12"/>
        <v>46205</v>
      </c>
      <c r="C98" s="18">
        <v>0.91666666666666696</v>
      </c>
      <c r="D98" s="19">
        <f>+SUMIFS(Regiones[Ofrecidas],Regiones[Fecha],Tabla54[[#This Row],[Fecha]],Regiones[Intervalo],Tabla54[[#This Row],[Intervalo]],Regiones[Skill],'BUPA Seguros'!$L$3)</f>
        <v>0</v>
      </c>
      <c r="E98" s="19">
        <f>+SUMIFS(Regiones[Contestadas],Regiones[Fecha],Tabla54[[#This Row],[Fecha]],Regiones[Intervalo],Tabla54[[#This Row],[Intervalo]],Regiones[Skill],'BUPA Seguros'!$L$3)</f>
        <v>0</v>
      </c>
      <c r="F98" s="20">
        <v>0</v>
      </c>
      <c r="G98" s="19">
        <f>IFERROR(SUMIFS(Regiones[TMO],Regiones[Fecha],Tabla54[[#This Row],[Fecha]],Regiones[Intervalo],Tabla54[[#This Row],[Intervalo]],Regiones[Skill],'BUPA Seguros'!$L$3)/Tabla54[[#This Row],[Atendidas]],0)</f>
        <v>0</v>
      </c>
      <c r="H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" s="21">
        <f>IFERROR(Tabla54[[#This Row],[Atendidas]]/Tabla54[[#This Row],[Recibidas]],0)</f>
        <v>0</v>
      </c>
    </row>
    <row r="99" spans="2:9" x14ac:dyDescent="0.3">
      <c r="B99" s="25">
        <f t="shared" si="12"/>
        <v>46205</v>
      </c>
      <c r="C99" s="26">
        <v>0.9375</v>
      </c>
      <c r="D99" s="19">
        <f>+SUMIFS(Regiones[Ofrecidas],Regiones[Fecha],Tabla54[[#This Row],[Fecha]],Regiones[Intervalo],Tabla54[[#This Row],[Intervalo]],Regiones[Skill],'BUPA Seguros'!$L$3)</f>
        <v>0</v>
      </c>
      <c r="E99" s="19">
        <f>+SUMIFS(Regiones[Contestadas],Regiones[Fecha],Tabla54[[#This Row],[Fecha]],Regiones[Intervalo],Tabla54[[#This Row],[Intervalo]],Regiones[Skill],'BUPA Seguros'!$L$3)</f>
        <v>0</v>
      </c>
      <c r="F99" s="20">
        <v>0</v>
      </c>
      <c r="G99" s="19">
        <f>IFERROR(SUMIFS(Regiones[TMO],Regiones[Fecha],Tabla54[[#This Row],[Fecha]],Regiones[Intervalo],Tabla54[[#This Row],[Intervalo]],Regiones[Skill],'BUPA Seguros'!$L$3)/Tabla54[[#This Row],[Atendidas]],0)</f>
        <v>0</v>
      </c>
      <c r="H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" s="21">
        <f>IFERROR(Tabla54[[#This Row],[Atendidas]]/Tabla54[[#This Row],[Recibidas]],0)</f>
        <v>0</v>
      </c>
    </row>
    <row r="100" spans="2:9" x14ac:dyDescent="0.3">
      <c r="B100" s="27">
        <f t="shared" si="12"/>
        <v>46205</v>
      </c>
      <c r="C100" s="18">
        <v>0.95833333333333304</v>
      </c>
      <c r="D100" s="19">
        <f>+SUMIFS(Regiones[Ofrecidas],Regiones[Fecha],Tabla54[[#This Row],[Fecha]],Regiones[Intervalo],Tabla54[[#This Row],[Intervalo]],Regiones[Skill],'BUPA Seguros'!$L$3)</f>
        <v>0</v>
      </c>
      <c r="E100" s="19">
        <f>+SUMIFS(Regiones[Contestadas],Regiones[Fecha],Tabla54[[#This Row],[Fecha]],Regiones[Intervalo],Tabla54[[#This Row],[Intervalo]],Regiones[Skill],'BUPA Seguros'!$L$3)</f>
        <v>0</v>
      </c>
      <c r="F100" s="20">
        <v>0</v>
      </c>
      <c r="G100" s="19">
        <f>IFERROR(SUMIFS(Regiones[TMO],Regiones[Fecha],Tabla54[[#This Row],[Fecha]],Regiones[Intervalo],Tabla54[[#This Row],[Intervalo]],Regiones[Skill],'BUPA Seguros'!$L$3)/Tabla54[[#This Row],[Atendidas]],0)</f>
        <v>0</v>
      </c>
      <c r="H1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" s="21">
        <f>IFERROR(Tabla54[[#This Row],[Atendidas]]/Tabla54[[#This Row],[Recibidas]],0)</f>
        <v>0</v>
      </c>
    </row>
    <row r="101" spans="2:9" x14ac:dyDescent="0.3">
      <c r="B101" s="25">
        <f t="shared" si="12"/>
        <v>46205</v>
      </c>
      <c r="C101" s="26">
        <v>0.97916666666666696</v>
      </c>
      <c r="D101" s="19">
        <f>+SUMIFS(Regiones[Ofrecidas],Regiones[Fecha],Tabla54[[#This Row],[Fecha]],Regiones[Intervalo],Tabla54[[#This Row],[Intervalo]],Regiones[Skill],'BUPA Seguros'!$L$3)</f>
        <v>0</v>
      </c>
      <c r="E101" s="19">
        <f>+SUMIFS(Regiones[Contestadas],Regiones[Fecha],Tabla54[[#This Row],[Fecha]],Regiones[Intervalo],Tabla54[[#This Row],[Intervalo]],Regiones[Skill],'BUPA Seguros'!$L$3)</f>
        <v>0</v>
      </c>
      <c r="F101" s="20">
        <v>0</v>
      </c>
      <c r="G101" s="19">
        <f>IFERROR(SUMIFS(Regiones[TMO],Regiones[Fecha],Tabla54[[#This Row],[Fecha]],Regiones[Intervalo],Tabla54[[#This Row],[Intervalo]],Regiones[Skill],'BUPA Seguros'!$L$3)/Tabla54[[#This Row],[Atendidas]],0)</f>
        <v>0</v>
      </c>
      <c r="H1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" s="21">
        <f>IFERROR(Tabla54[[#This Row],[Atendidas]]/Tabla54[[#This Row],[Recibidas]],0)</f>
        <v>0</v>
      </c>
    </row>
    <row r="102" spans="2:9" x14ac:dyDescent="0.3">
      <c r="B102" s="27">
        <f>+B101+1</f>
        <v>46206</v>
      </c>
      <c r="C102" s="18">
        <v>0</v>
      </c>
      <c r="D102" s="19">
        <f>+SUMIFS(Regiones[Ofrecidas],Regiones[Fecha],Tabla54[[#This Row],[Fecha]],Regiones[Intervalo],Tabla54[[#This Row],[Intervalo]],Regiones[Skill],'BUPA Seguros'!$L$3)</f>
        <v>0</v>
      </c>
      <c r="E102" s="19">
        <f>+SUMIFS(Regiones[Contestadas],Regiones[Fecha],Tabla54[[#This Row],[Fecha]],Regiones[Intervalo],Tabla54[[#This Row],[Intervalo]],Regiones[Skill],'BUPA Seguros'!$L$3)</f>
        <v>0</v>
      </c>
      <c r="F102" s="20">
        <v>0</v>
      </c>
      <c r="G102" s="19">
        <f>IFERROR(SUMIFS(Regiones[TMO],Regiones[Fecha],Tabla54[[#This Row],[Fecha]],Regiones[Intervalo],Tabla54[[#This Row],[Intervalo]],Regiones[Skill],'BUPA Seguros'!$L$3)/Tabla54[[#This Row],[Atendidas]],0)</f>
        <v>0</v>
      </c>
      <c r="H1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" s="21">
        <f>IFERROR(Tabla54[[#This Row],[Atendidas]]/Tabla54[[#This Row],[Recibidas]],0)</f>
        <v>0</v>
      </c>
    </row>
    <row r="103" spans="2:9" x14ac:dyDescent="0.3">
      <c r="B103" s="25">
        <f>+B102</f>
        <v>46206</v>
      </c>
      <c r="C103" s="26">
        <v>2.0833333333333332E-2</v>
      </c>
      <c r="D103" s="19">
        <f>+SUMIFS(Regiones[Ofrecidas],Regiones[Fecha],Tabla54[[#This Row],[Fecha]],Regiones[Intervalo],Tabla54[[#This Row],[Intervalo]],Regiones[Skill],'BUPA Seguros'!$L$3)</f>
        <v>0</v>
      </c>
      <c r="E103" s="19">
        <f>+SUMIFS(Regiones[Contestadas],Regiones[Fecha],Tabla54[[#This Row],[Fecha]],Regiones[Intervalo],Tabla54[[#This Row],[Intervalo]],Regiones[Skill],'BUPA Seguros'!$L$3)</f>
        <v>0</v>
      </c>
      <c r="F103" s="20">
        <v>0</v>
      </c>
      <c r="G103" s="19">
        <f>IFERROR(SUMIFS(Regiones[TMO],Regiones[Fecha],Tabla54[[#This Row],[Fecha]],Regiones[Intervalo],Tabla54[[#This Row],[Intervalo]],Regiones[Skill],'BUPA Seguros'!$L$3)/Tabla54[[#This Row],[Atendidas]],0)</f>
        <v>0</v>
      </c>
      <c r="H1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" s="21">
        <f>IFERROR(Tabla54[[#This Row],[Atendidas]]/Tabla54[[#This Row],[Recibidas]],0)</f>
        <v>0</v>
      </c>
    </row>
    <row r="104" spans="2:9" x14ac:dyDescent="0.3">
      <c r="B104" s="27">
        <f t="shared" ref="B104:B149" si="13">+B103</f>
        <v>46206</v>
      </c>
      <c r="C104" s="18">
        <v>4.1666666666666699E-2</v>
      </c>
      <c r="D104" s="19">
        <f>+SUMIFS(Regiones[Ofrecidas],Regiones[Fecha],Tabla54[[#This Row],[Fecha]],Regiones[Intervalo],Tabla54[[#This Row],[Intervalo]],Regiones[Skill],'BUPA Seguros'!$L$3)</f>
        <v>0</v>
      </c>
      <c r="E104" s="19">
        <f>+SUMIFS(Regiones[Contestadas],Regiones[Fecha],Tabla54[[#This Row],[Fecha]],Regiones[Intervalo],Tabla54[[#This Row],[Intervalo]],Regiones[Skill],'BUPA Seguros'!$L$3)</f>
        <v>0</v>
      </c>
      <c r="F104" s="20">
        <v>0</v>
      </c>
      <c r="G104" s="19">
        <f>IFERROR(SUMIFS(Regiones[TMO],Regiones[Fecha],Tabla54[[#This Row],[Fecha]],Regiones[Intervalo],Tabla54[[#This Row],[Intervalo]],Regiones[Skill],'BUPA Seguros'!$L$3)/Tabla54[[#This Row],[Atendidas]],0)</f>
        <v>0</v>
      </c>
      <c r="H1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" s="21">
        <f>IFERROR(Tabla54[[#This Row],[Atendidas]]/Tabla54[[#This Row],[Recibidas]],0)</f>
        <v>0</v>
      </c>
    </row>
    <row r="105" spans="2:9" x14ac:dyDescent="0.3">
      <c r="B105" s="25">
        <f t="shared" si="13"/>
        <v>46206</v>
      </c>
      <c r="C105" s="26">
        <v>6.25E-2</v>
      </c>
      <c r="D105" s="19">
        <f>+SUMIFS(Regiones[Ofrecidas],Regiones[Fecha],Tabla54[[#This Row],[Fecha]],Regiones[Intervalo],Tabla54[[#This Row],[Intervalo]],Regiones[Skill],'BUPA Seguros'!$L$3)</f>
        <v>0</v>
      </c>
      <c r="E105" s="19">
        <f>+SUMIFS(Regiones[Contestadas],Regiones[Fecha],Tabla54[[#This Row],[Fecha]],Regiones[Intervalo],Tabla54[[#This Row],[Intervalo]],Regiones[Skill],'BUPA Seguros'!$L$3)</f>
        <v>0</v>
      </c>
      <c r="F105" s="20">
        <v>0</v>
      </c>
      <c r="G105" s="19">
        <f>IFERROR(SUMIFS(Regiones[TMO],Regiones[Fecha],Tabla54[[#This Row],[Fecha]],Regiones[Intervalo],Tabla54[[#This Row],[Intervalo]],Regiones[Skill],'BUPA Seguros'!$L$3)/Tabla54[[#This Row],[Atendidas]],0)</f>
        <v>0</v>
      </c>
      <c r="H1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" s="21">
        <f>IFERROR(Tabla54[[#This Row],[Atendidas]]/Tabla54[[#This Row],[Recibidas]],0)</f>
        <v>0</v>
      </c>
    </row>
    <row r="106" spans="2:9" x14ac:dyDescent="0.3">
      <c r="B106" s="27">
        <f t="shared" si="13"/>
        <v>46206</v>
      </c>
      <c r="C106" s="18">
        <v>8.3333333333333301E-2</v>
      </c>
      <c r="D106" s="19">
        <f>+SUMIFS(Regiones[Ofrecidas],Regiones[Fecha],Tabla54[[#This Row],[Fecha]],Regiones[Intervalo],Tabla54[[#This Row],[Intervalo]],Regiones[Skill],'BUPA Seguros'!$L$3)</f>
        <v>0</v>
      </c>
      <c r="E106" s="19">
        <f>+SUMIFS(Regiones[Contestadas],Regiones[Fecha],Tabla54[[#This Row],[Fecha]],Regiones[Intervalo],Tabla54[[#This Row],[Intervalo]],Regiones[Skill],'BUPA Seguros'!$L$3)</f>
        <v>0</v>
      </c>
      <c r="F106" s="20">
        <v>0</v>
      </c>
      <c r="G106" s="19">
        <f>IFERROR(SUMIFS(Regiones[TMO],Regiones[Fecha],Tabla54[[#This Row],[Fecha]],Regiones[Intervalo],Tabla54[[#This Row],[Intervalo]],Regiones[Skill],'BUPA Seguros'!$L$3)/Tabla54[[#This Row],[Atendidas]],0)</f>
        <v>0</v>
      </c>
      <c r="H1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" s="21">
        <f>IFERROR(Tabla54[[#This Row],[Atendidas]]/Tabla54[[#This Row],[Recibidas]],0)</f>
        <v>0</v>
      </c>
    </row>
    <row r="107" spans="2:9" x14ac:dyDescent="0.3">
      <c r="B107" s="25">
        <f t="shared" si="13"/>
        <v>46206</v>
      </c>
      <c r="C107" s="26">
        <v>0.104166666666667</v>
      </c>
      <c r="D107" s="19">
        <f>+SUMIFS(Regiones[Ofrecidas],Regiones[Fecha],Tabla54[[#This Row],[Fecha]],Regiones[Intervalo],Tabla54[[#This Row],[Intervalo]],Regiones[Skill],'BUPA Seguros'!$L$3)</f>
        <v>0</v>
      </c>
      <c r="E107" s="19">
        <f>+SUMIFS(Regiones[Contestadas],Regiones[Fecha],Tabla54[[#This Row],[Fecha]],Regiones[Intervalo],Tabla54[[#This Row],[Intervalo]],Regiones[Skill],'BUPA Seguros'!$L$3)</f>
        <v>0</v>
      </c>
      <c r="F107" s="20">
        <v>0</v>
      </c>
      <c r="G107" s="19">
        <f>IFERROR(SUMIFS(Regiones[TMO],Regiones[Fecha],Tabla54[[#This Row],[Fecha]],Regiones[Intervalo],Tabla54[[#This Row],[Intervalo]],Regiones[Skill],'BUPA Seguros'!$L$3)/Tabla54[[#This Row],[Atendidas]],0)</f>
        <v>0</v>
      </c>
      <c r="H1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" s="21">
        <f>IFERROR(Tabla54[[#This Row],[Atendidas]]/Tabla54[[#This Row],[Recibidas]],0)</f>
        <v>0</v>
      </c>
    </row>
    <row r="108" spans="2:9" x14ac:dyDescent="0.3">
      <c r="B108" s="27">
        <f t="shared" si="13"/>
        <v>46206</v>
      </c>
      <c r="C108" s="18">
        <v>0.125</v>
      </c>
      <c r="D108" s="19">
        <f>+SUMIFS(Regiones[Ofrecidas],Regiones[Fecha],Tabla54[[#This Row],[Fecha]],Regiones[Intervalo],Tabla54[[#This Row],[Intervalo]],Regiones[Skill],'BUPA Seguros'!$L$3)</f>
        <v>0</v>
      </c>
      <c r="E108" s="19">
        <f>+SUMIFS(Regiones[Contestadas],Regiones[Fecha],Tabla54[[#This Row],[Fecha]],Regiones[Intervalo],Tabla54[[#This Row],[Intervalo]],Regiones[Skill],'BUPA Seguros'!$L$3)</f>
        <v>0</v>
      </c>
      <c r="F108" s="20">
        <v>0</v>
      </c>
      <c r="G108" s="19">
        <f>IFERROR(SUMIFS(Regiones[TMO],Regiones[Fecha],Tabla54[[#This Row],[Fecha]],Regiones[Intervalo],Tabla54[[#This Row],[Intervalo]],Regiones[Skill],'BUPA Seguros'!$L$3)/Tabla54[[#This Row],[Atendidas]],0)</f>
        <v>0</v>
      </c>
      <c r="H1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" s="21">
        <f>IFERROR(Tabla54[[#This Row],[Atendidas]]/Tabla54[[#This Row],[Recibidas]],0)</f>
        <v>0</v>
      </c>
    </row>
    <row r="109" spans="2:9" x14ac:dyDescent="0.3">
      <c r="B109" s="25">
        <f t="shared" si="13"/>
        <v>46206</v>
      </c>
      <c r="C109" s="26">
        <v>0.14583333333333301</v>
      </c>
      <c r="D109" s="19">
        <f>+SUMIFS(Regiones[Ofrecidas],Regiones[Fecha],Tabla54[[#This Row],[Fecha]],Regiones[Intervalo],Tabla54[[#This Row],[Intervalo]],Regiones[Skill],'BUPA Seguros'!$L$3)</f>
        <v>0</v>
      </c>
      <c r="E109" s="19">
        <f>+SUMIFS(Regiones[Contestadas],Regiones[Fecha],Tabla54[[#This Row],[Fecha]],Regiones[Intervalo],Tabla54[[#This Row],[Intervalo]],Regiones[Skill],'BUPA Seguros'!$L$3)</f>
        <v>0</v>
      </c>
      <c r="F109" s="20">
        <v>0</v>
      </c>
      <c r="G109" s="19">
        <f>IFERROR(SUMIFS(Regiones[TMO],Regiones[Fecha],Tabla54[[#This Row],[Fecha]],Regiones[Intervalo],Tabla54[[#This Row],[Intervalo]],Regiones[Skill],'BUPA Seguros'!$L$3)/Tabla54[[#This Row],[Atendidas]],0)</f>
        <v>0</v>
      </c>
      <c r="H1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" s="21">
        <f>IFERROR(Tabla54[[#This Row],[Atendidas]]/Tabla54[[#This Row],[Recibidas]],0)</f>
        <v>0</v>
      </c>
    </row>
    <row r="110" spans="2:9" x14ac:dyDescent="0.3">
      <c r="B110" s="27">
        <f t="shared" si="13"/>
        <v>46206</v>
      </c>
      <c r="C110" s="18">
        <v>0.16666666666666699</v>
      </c>
      <c r="D110" s="19">
        <f>+SUMIFS(Regiones[Ofrecidas],Regiones[Fecha],Tabla54[[#This Row],[Fecha]],Regiones[Intervalo],Tabla54[[#This Row],[Intervalo]],Regiones[Skill],'BUPA Seguros'!$L$3)</f>
        <v>0</v>
      </c>
      <c r="E110" s="19">
        <f>+SUMIFS(Regiones[Contestadas],Regiones[Fecha],Tabla54[[#This Row],[Fecha]],Regiones[Intervalo],Tabla54[[#This Row],[Intervalo]],Regiones[Skill],'BUPA Seguros'!$L$3)</f>
        <v>0</v>
      </c>
      <c r="F110" s="20">
        <v>0</v>
      </c>
      <c r="G110" s="19">
        <f>IFERROR(SUMIFS(Regiones[TMO],Regiones[Fecha],Tabla54[[#This Row],[Fecha]],Regiones[Intervalo],Tabla54[[#This Row],[Intervalo]],Regiones[Skill],'BUPA Seguros'!$L$3)/Tabla54[[#This Row],[Atendidas]],0)</f>
        <v>0</v>
      </c>
      <c r="H1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" s="21">
        <f>IFERROR(Tabla54[[#This Row],[Atendidas]]/Tabla54[[#This Row],[Recibidas]],0)</f>
        <v>0</v>
      </c>
    </row>
    <row r="111" spans="2:9" x14ac:dyDescent="0.3">
      <c r="B111" s="25">
        <f t="shared" si="13"/>
        <v>46206</v>
      </c>
      <c r="C111" s="26">
        <v>0.1875</v>
      </c>
      <c r="D111" s="19">
        <f>+SUMIFS(Regiones[Ofrecidas],Regiones[Fecha],Tabla54[[#This Row],[Fecha]],Regiones[Intervalo],Tabla54[[#This Row],[Intervalo]],Regiones[Skill],'BUPA Seguros'!$L$3)</f>
        <v>0</v>
      </c>
      <c r="E111" s="19">
        <f>+SUMIFS(Regiones[Contestadas],Regiones[Fecha],Tabla54[[#This Row],[Fecha]],Regiones[Intervalo],Tabla54[[#This Row],[Intervalo]],Regiones[Skill],'BUPA Seguros'!$L$3)</f>
        <v>0</v>
      </c>
      <c r="F111" s="20">
        <v>0</v>
      </c>
      <c r="G111" s="19">
        <f>IFERROR(SUMIFS(Regiones[TMO],Regiones[Fecha],Tabla54[[#This Row],[Fecha]],Regiones[Intervalo],Tabla54[[#This Row],[Intervalo]],Regiones[Skill],'BUPA Seguros'!$L$3)/Tabla54[[#This Row],[Atendidas]],0)</f>
        <v>0</v>
      </c>
      <c r="H1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" s="21">
        <f>IFERROR(Tabla54[[#This Row],[Atendidas]]/Tabla54[[#This Row],[Recibidas]],0)</f>
        <v>0</v>
      </c>
    </row>
    <row r="112" spans="2:9" x14ac:dyDescent="0.3">
      <c r="B112" s="27">
        <f t="shared" si="13"/>
        <v>46206</v>
      </c>
      <c r="C112" s="18">
        <v>0.20833333333333301</v>
      </c>
      <c r="D112" s="19">
        <f>+SUMIFS(Regiones[Ofrecidas],Regiones[Fecha],Tabla54[[#This Row],[Fecha]],Regiones[Intervalo],Tabla54[[#This Row],[Intervalo]],Regiones[Skill],'BUPA Seguros'!$L$3)</f>
        <v>0</v>
      </c>
      <c r="E112" s="19">
        <f>+SUMIFS(Regiones[Contestadas],Regiones[Fecha],Tabla54[[#This Row],[Fecha]],Regiones[Intervalo],Tabla54[[#This Row],[Intervalo]],Regiones[Skill],'BUPA Seguros'!$L$3)</f>
        <v>0</v>
      </c>
      <c r="F112" s="20">
        <v>0</v>
      </c>
      <c r="G112" s="19">
        <f>IFERROR(SUMIFS(Regiones[TMO],Regiones[Fecha],Tabla54[[#This Row],[Fecha]],Regiones[Intervalo],Tabla54[[#This Row],[Intervalo]],Regiones[Skill],'BUPA Seguros'!$L$3)/Tabla54[[#This Row],[Atendidas]],0)</f>
        <v>0</v>
      </c>
      <c r="H1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" s="21">
        <f>IFERROR(Tabla54[[#This Row],[Atendidas]]/Tabla54[[#This Row],[Recibidas]],0)</f>
        <v>0</v>
      </c>
    </row>
    <row r="113" spans="2:9" x14ac:dyDescent="0.3">
      <c r="B113" s="25">
        <f t="shared" si="13"/>
        <v>46206</v>
      </c>
      <c r="C113" s="26">
        <v>0.22916666666666699</v>
      </c>
      <c r="D113" s="19">
        <f>+SUMIFS(Regiones[Ofrecidas],Regiones[Fecha],Tabla54[[#This Row],[Fecha]],Regiones[Intervalo],Tabla54[[#This Row],[Intervalo]],Regiones[Skill],'BUPA Seguros'!$L$3)</f>
        <v>0</v>
      </c>
      <c r="E113" s="19">
        <f>+SUMIFS(Regiones[Contestadas],Regiones[Fecha],Tabla54[[#This Row],[Fecha]],Regiones[Intervalo],Tabla54[[#This Row],[Intervalo]],Regiones[Skill],'BUPA Seguros'!$L$3)</f>
        <v>0</v>
      </c>
      <c r="F113" s="20">
        <v>0</v>
      </c>
      <c r="G113" s="19">
        <f>IFERROR(SUMIFS(Regiones[TMO],Regiones[Fecha],Tabla54[[#This Row],[Fecha]],Regiones[Intervalo],Tabla54[[#This Row],[Intervalo]],Regiones[Skill],'BUPA Seguros'!$L$3)/Tabla54[[#This Row],[Atendidas]],0)</f>
        <v>0</v>
      </c>
      <c r="H1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" s="21">
        <f>IFERROR(Tabla54[[#This Row],[Atendidas]]/Tabla54[[#This Row],[Recibidas]],0)</f>
        <v>0</v>
      </c>
    </row>
    <row r="114" spans="2:9" x14ac:dyDescent="0.3">
      <c r="B114" s="27">
        <f t="shared" si="13"/>
        <v>46206</v>
      </c>
      <c r="C114" s="18">
        <v>0.25</v>
      </c>
      <c r="D114" s="19">
        <f>+SUMIFS(Regiones[Ofrecidas],Regiones[Fecha],Tabla54[[#This Row],[Fecha]],Regiones[Intervalo],Tabla54[[#This Row],[Intervalo]],Regiones[Skill],'BUPA Seguros'!$L$3)</f>
        <v>0</v>
      </c>
      <c r="E114" s="19">
        <f>+SUMIFS(Regiones[Contestadas],Regiones[Fecha],Tabla54[[#This Row],[Fecha]],Regiones[Intervalo],Tabla54[[#This Row],[Intervalo]],Regiones[Skill],'BUPA Seguros'!$L$3)</f>
        <v>0</v>
      </c>
      <c r="F114" s="20">
        <v>0</v>
      </c>
      <c r="G114" s="19">
        <f>IFERROR(SUMIFS(Regiones[TMO],Regiones[Fecha],Tabla54[[#This Row],[Fecha]],Regiones[Intervalo],Tabla54[[#This Row],[Intervalo]],Regiones[Skill],'BUPA Seguros'!$L$3)/Tabla54[[#This Row],[Atendidas]],0)</f>
        <v>0</v>
      </c>
      <c r="H1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" s="21">
        <f>IFERROR(Tabla54[[#This Row],[Atendidas]]/Tabla54[[#This Row],[Recibidas]],0)</f>
        <v>0</v>
      </c>
    </row>
    <row r="115" spans="2:9" x14ac:dyDescent="0.3">
      <c r="B115" s="25">
        <f t="shared" si="13"/>
        <v>46206</v>
      </c>
      <c r="C115" s="26">
        <v>0.27083333333333298</v>
      </c>
      <c r="D115" s="19">
        <f>+SUMIFS(Regiones[Ofrecidas],Regiones[Fecha],Tabla54[[#This Row],[Fecha]],Regiones[Intervalo],Tabla54[[#This Row],[Intervalo]],Regiones[Skill],'BUPA Seguros'!$L$3)</f>
        <v>0</v>
      </c>
      <c r="E115" s="19">
        <f>+SUMIFS(Regiones[Contestadas],Regiones[Fecha],Tabla54[[#This Row],[Fecha]],Regiones[Intervalo],Tabla54[[#This Row],[Intervalo]],Regiones[Skill],'BUPA Seguros'!$L$3)</f>
        <v>0</v>
      </c>
      <c r="F115" s="20">
        <v>0</v>
      </c>
      <c r="G115" s="19">
        <f>IFERROR(SUMIFS(Regiones[TMO],Regiones[Fecha],Tabla54[[#This Row],[Fecha]],Regiones[Intervalo],Tabla54[[#This Row],[Intervalo]],Regiones[Skill],'BUPA Seguros'!$L$3)/Tabla54[[#This Row],[Atendidas]],0)</f>
        <v>0</v>
      </c>
      <c r="H1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" s="21">
        <f>IFERROR(Tabla54[[#This Row],[Atendidas]]/Tabla54[[#This Row],[Recibidas]],0)</f>
        <v>0</v>
      </c>
    </row>
    <row r="116" spans="2:9" x14ac:dyDescent="0.3">
      <c r="B116" s="27">
        <f t="shared" si="13"/>
        <v>46206</v>
      </c>
      <c r="C116" s="18">
        <v>0.29166666666666702</v>
      </c>
      <c r="D116" s="19">
        <f>+SUMIFS(Regiones[Ofrecidas],Regiones[Fecha],Tabla54[[#This Row],[Fecha]],Regiones[Intervalo],Tabla54[[#This Row],[Intervalo]],Regiones[Skill],'BUPA Seguros'!$L$3)</f>
        <v>0</v>
      </c>
      <c r="E116" s="19">
        <f>+SUMIFS(Regiones[Contestadas],Regiones[Fecha],Tabla54[[#This Row],[Fecha]],Regiones[Intervalo],Tabla54[[#This Row],[Intervalo]],Regiones[Skill],'BUPA Seguros'!$L$3)</f>
        <v>0</v>
      </c>
      <c r="F116" s="20">
        <v>0</v>
      </c>
      <c r="G116" s="19">
        <f>IFERROR(SUMIFS(Regiones[TMO],Regiones[Fecha],Tabla54[[#This Row],[Fecha]],Regiones[Intervalo],Tabla54[[#This Row],[Intervalo]],Regiones[Skill],'BUPA Seguros'!$L$3)/Tabla54[[#This Row],[Atendidas]],0)</f>
        <v>0</v>
      </c>
      <c r="H1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" s="21">
        <f>IFERROR(Tabla54[[#This Row],[Atendidas]]/Tabla54[[#This Row],[Recibidas]],0)</f>
        <v>0</v>
      </c>
    </row>
    <row r="117" spans="2:9" x14ac:dyDescent="0.3">
      <c r="B117" s="25">
        <f t="shared" si="13"/>
        <v>46206</v>
      </c>
      <c r="C117" s="26">
        <v>0.3125</v>
      </c>
      <c r="D117" s="19">
        <f>+SUMIFS(Regiones[Ofrecidas],Regiones[Fecha],Tabla54[[#This Row],[Fecha]],Regiones[Intervalo],Tabla54[[#This Row],[Intervalo]],Regiones[Skill],'BUPA Seguros'!$L$3)</f>
        <v>0</v>
      </c>
      <c r="E117" s="19">
        <f>+SUMIFS(Regiones[Contestadas],Regiones[Fecha],Tabla54[[#This Row],[Fecha]],Regiones[Intervalo],Tabla54[[#This Row],[Intervalo]],Regiones[Skill],'BUPA Seguros'!$L$3)</f>
        <v>0</v>
      </c>
      <c r="F117" s="20">
        <v>0</v>
      </c>
      <c r="G117" s="19">
        <f>IFERROR(SUMIFS(Regiones[TMO],Regiones[Fecha],Tabla54[[#This Row],[Fecha]],Regiones[Intervalo],Tabla54[[#This Row],[Intervalo]],Regiones[Skill],'BUPA Seguros'!$L$3)/Tabla54[[#This Row],[Atendidas]],0)</f>
        <v>0</v>
      </c>
      <c r="H1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" s="21">
        <f>IFERROR(Tabla54[[#This Row],[Atendidas]]/Tabla54[[#This Row],[Recibidas]],0)</f>
        <v>0</v>
      </c>
    </row>
    <row r="118" spans="2:9" x14ac:dyDescent="0.3">
      <c r="B118" s="27">
        <f t="shared" si="13"/>
        <v>46206</v>
      </c>
      <c r="C118" s="18">
        <v>0.33333333333333298</v>
      </c>
      <c r="D118" s="19">
        <f>+SUMIFS(Regiones[Ofrecidas],Regiones[Fecha],Tabla54[[#This Row],[Fecha]],Regiones[Intervalo],Tabla54[[#This Row],[Intervalo]],Regiones[Skill],'BUPA Seguros'!$L$3)</f>
        <v>0</v>
      </c>
      <c r="E118" s="19">
        <f>+SUMIFS(Regiones[Contestadas],Regiones[Fecha],Tabla54[[#This Row],[Fecha]],Regiones[Intervalo],Tabla54[[#This Row],[Intervalo]],Regiones[Skill],'BUPA Seguros'!$L$3)</f>
        <v>0</v>
      </c>
      <c r="F118" s="20">
        <v>0</v>
      </c>
      <c r="G118" s="19">
        <f>IFERROR(SUMIFS(Regiones[TMO],Regiones[Fecha],Tabla54[[#This Row],[Fecha]],Regiones[Intervalo],Tabla54[[#This Row],[Intervalo]],Regiones[Skill],'BUPA Seguros'!$L$3)/Tabla54[[#This Row],[Atendidas]],0)</f>
        <v>0</v>
      </c>
      <c r="H1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" s="21">
        <f>IFERROR(Tabla54[[#This Row],[Atendidas]]/Tabla54[[#This Row],[Recibidas]],0)</f>
        <v>0</v>
      </c>
    </row>
    <row r="119" spans="2:9" x14ac:dyDescent="0.3">
      <c r="B119" s="25">
        <f t="shared" si="13"/>
        <v>46206</v>
      </c>
      <c r="C119" s="26">
        <v>0.35416666666666702</v>
      </c>
      <c r="D119" s="19">
        <f>+SUMIFS(Regiones[Ofrecidas],Regiones[Fecha],Tabla54[[#This Row],[Fecha]],Regiones[Intervalo],Tabla54[[#This Row],[Intervalo]],Regiones[Skill],'BUPA Seguros'!$L$3)</f>
        <v>0</v>
      </c>
      <c r="E119" s="19">
        <f>+SUMIFS(Regiones[Contestadas],Regiones[Fecha],Tabla54[[#This Row],[Fecha]],Regiones[Intervalo],Tabla54[[#This Row],[Intervalo]],Regiones[Skill],'BUPA Seguros'!$L$3)</f>
        <v>0</v>
      </c>
      <c r="F119" s="20">
        <v>0</v>
      </c>
      <c r="G119" s="19">
        <f>IFERROR(SUMIFS(Regiones[TMO],Regiones[Fecha],Tabla54[[#This Row],[Fecha]],Regiones[Intervalo],Tabla54[[#This Row],[Intervalo]],Regiones[Skill],'BUPA Seguros'!$L$3)/Tabla54[[#This Row],[Atendidas]],0)</f>
        <v>0</v>
      </c>
      <c r="H1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" s="21">
        <f>IFERROR(Tabla54[[#This Row],[Atendidas]]/Tabla54[[#This Row],[Recibidas]],0)</f>
        <v>0</v>
      </c>
    </row>
    <row r="120" spans="2:9" x14ac:dyDescent="0.3">
      <c r="B120" s="27">
        <f t="shared" si="13"/>
        <v>46206</v>
      </c>
      <c r="C120" s="18">
        <v>0.375</v>
      </c>
      <c r="D120" s="19">
        <f>+SUMIFS(Regiones[Ofrecidas],Regiones[Fecha],Tabla54[[#This Row],[Fecha]],Regiones[Intervalo],Tabla54[[#This Row],[Intervalo]],Regiones[Skill],'BUPA Seguros'!$L$3)</f>
        <v>25</v>
      </c>
      <c r="E120" s="19">
        <f>+SUMIFS(Regiones[Contestadas],Regiones[Fecha],Tabla54[[#This Row],[Fecha]],Regiones[Intervalo],Tabla54[[#This Row],[Intervalo]],Regiones[Skill],'BUPA Seguros'!$L$3)</f>
        <v>23</v>
      </c>
      <c r="F120" s="20">
        <v>31.713195050671466</v>
      </c>
      <c r="G120" s="19">
        <f>IFERROR(SUMIFS(Regiones[TMO],Regiones[Fecha],Tabla54[[#This Row],[Fecha]],Regiones[Intervalo],Tabla54[[#This Row],[Intervalo]],Regiones[Skill],'BUPA Seguros'!$L$3)/Tabla54[[#This Row],[Atendidas]],0)</f>
        <v>115.8695652173913</v>
      </c>
      <c r="H120" s="21">
        <f>IFERROR(SUMIFS(Regiones[Aten &lt; 20 seg],Regiones[Fecha],Tabla54[[#This Row],[Fecha]],Regiones[Intervalo],Tabla54[[#This Row],[Intervalo]],Regiones[Skill],'BUPA Seguros'!$L$3)/Tabla54[[#This Row],[Recibidas]],0)</f>
        <v>0.66720000000000002</v>
      </c>
      <c r="I120" s="21">
        <f>IFERROR(Tabla54[[#This Row],[Atendidas]]/Tabla54[[#This Row],[Recibidas]],0)</f>
        <v>0.92</v>
      </c>
    </row>
    <row r="121" spans="2:9" x14ac:dyDescent="0.3">
      <c r="B121" s="25">
        <f t="shared" si="13"/>
        <v>46206</v>
      </c>
      <c r="C121" s="26">
        <v>0.39583333333333298</v>
      </c>
      <c r="D121" s="19">
        <f>+SUMIFS(Regiones[Ofrecidas],Regiones[Fecha],Tabla54[[#This Row],[Fecha]],Regiones[Intervalo],Tabla54[[#This Row],[Intervalo]],Regiones[Skill],'BUPA Seguros'!$L$3)</f>
        <v>32</v>
      </c>
      <c r="E121" s="19">
        <f>+SUMIFS(Regiones[Contestadas],Regiones[Fecha],Tabla54[[#This Row],[Fecha]],Regiones[Intervalo],Tabla54[[#This Row],[Intervalo]],Regiones[Skill],'BUPA Seguros'!$L$3)</f>
        <v>33</v>
      </c>
      <c r="F121" s="20">
        <v>32.953165947202457</v>
      </c>
      <c r="G121" s="19">
        <f>IFERROR(SUMIFS(Regiones[TMO],Regiones[Fecha],Tabla54[[#This Row],[Fecha]],Regiones[Intervalo],Tabla54[[#This Row],[Intervalo]],Regiones[Skill],'BUPA Seguros'!$L$3)/Tabla54[[#This Row],[Atendidas]],0)</f>
        <v>50.696969696969695</v>
      </c>
      <c r="H121" s="21">
        <f>IFERROR(SUMIFS(Regiones[Aten &lt; 20 seg],Regiones[Fecha],Tabla54[[#This Row],[Fecha]],Regiones[Intervalo],Tabla54[[#This Row],[Intervalo]],Regiones[Skill],'BUPA Seguros'!$L$3)/Tabla54[[#This Row],[Recibidas]],0)</f>
        <v>1</v>
      </c>
      <c r="I121" s="21">
        <f>IFERROR(Tabla54[[#This Row],[Atendidas]]/Tabla54[[#This Row],[Recibidas]],0)</f>
        <v>1.03125</v>
      </c>
    </row>
    <row r="122" spans="2:9" x14ac:dyDescent="0.3">
      <c r="B122" s="27">
        <f t="shared" si="13"/>
        <v>46206</v>
      </c>
      <c r="C122" s="18">
        <v>0.41666666666666702</v>
      </c>
      <c r="D122" s="19">
        <f>+SUMIFS(Regiones[Ofrecidas],Regiones[Fecha],Tabla54[[#This Row],[Fecha]],Regiones[Intervalo],Tabla54[[#This Row],[Intervalo]],Regiones[Skill],'BUPA Seguros'!$L$3)</f>
        <v>28</v>
      </c>
      <c r="E122" s="19">
        <f>+SUMIFS(Regiones[Contestadas],Regiones[Fecha],Tabla54[[#This Row],[Fecha]],Regiones[Intervalo],Tabla54[[#This Row],[Intervalo]],Regiones[Skill],'BUPA Seguros'!$L$3)</f>
        <v>28</v>
      </c>
      <c r="F122" s="20">
        <v>34.756759978520265</v>
      </c>
      <c r="G122" s="19">
        <f>IFERROR(SUMIFS(Regiones[TMO],Regiones[Fecha],Tabla54[[#This Row],[Fecha]],Regiones[Intervalo],Tabla54[[#This Row],[Intervalo]],Regiones[Skill],'BUPA Seguros'!$L$3)/Tabla54[[#This Row],[Atendidas]],0)</f>
        <v>110.60714285714286</v>
      </c>
      <c r="H122" s="21">
        <f>IFERROR(SUMIFS(Regiones[Aten &lt; 20 seg],Regiones[Fecha],Tabla54[[#This Row],[Fecha]],Regiones[Intervalo],Tabla54[[#This Row],[Intervalo]],Regiones[Skill],'BUPA Seguros'!$L$3)/Tabla54[[#This Row],[Recibidas]],0)</f>
        <v>0.78714285714285714</v>
      </c>
      <c r="I122" s="21">
        <f>IFERROR(Tabla54[[#This Row],[Atendidas]]/Tabla54[[#This Row],[Recibidas]],0)</f>
        <v>1</v>
      </c>
    </row>
    <row r="123" spans="2:9" x14ac:dyDescent="0.3">
      <c r="B123" s="25">
        <f t="shared" si="13"/>
        <v>46206</v>
      </c>
      <c r="C123" s="26">
        <v>0.4375</v>
      </c>
      <c r="D123" s="19">
        <f>+SUMIFS(Regiones[Ofrecidas],Regiones[Fecha],Tabla54[[#This Row],[Fecha]],Regiones[Intervalo],Tabla54[[#This Row],[Intervalo]],Regiones[Skill],'BUPA Seguros'!$L$3)</f>
        <v>34</v>
      </c>
      <c r="E123" s="19">
        <f>+SUMIFS(Regiones[Contestadas],Regiones[Fecha],Tabla54[[#This Row],[Fecha]],Regiones[Intervalo],Tabla54[[#This Row],[Intervalo]],Regiones[Skill],'BUPA Seguros'!$L$3)</f>
        <v>32</v>
      </c>
      <c r="F123" s="20">
        <v>34.694135185766172</v>
      </c>
      <c r="G123" s="19">
        <f>IFERROR(SUMIFS(Regiones[TMO],Regiones[Fecha],Tabla54[[#This Row],[Fecha]],Regiones[Intervalo],Tabla54[[#This Row],[Intervalo]],Regiones[Skill],'BUPA Seguros'!$L$3)/Tabla54[[#This Row],[Atendidas]],0)</f>
        <v>74.40625</v>
      </c>
      <c r="H123" s="21">
        <f>IFERROR(SUMIFS(Regiones[Aten &lt; 20 seg],Regiones[Fecha],Tabla54[[#This Row],[Fecha]],Regiones[Intervalo],Tabla54[[#This Row],[Intervalo]],Regiones[Skill],'BUPA Seguros'!$L$3)/Tabla54[[#This Row],[Recibidas]],0)</f>
        <v>0.62058823529411766</v>
      </c>
      <c r="I123" s="21">
        <f>IFERROR(Tabla54[[#This Row],[Atendidas]]/Tabla54[[#This Row],[Recibidas]],0)</f>
        <v>0.94117647058823528</v>
      </c>
    </row>
    <row r="124" spans="2:9" x14ac:dyDescent="0.3">
      <c r="B124" s="27">
        <f t="shared" si="13"/>
        <v>46206</v>
      </c>
      <c r="C124" s="18">
        <v>0.45833333333333298</v>
      </c>
      <c r="D124" s="19">
        <f>+SUMIFS(Regiones[Ofrecidas],Regiones[Fecha],Tabla54[[#This Row],[Fecha]],Regiones[Intervalo],Tabla54[[#This Row],[Intervalo]],Regiones[Skill],'BUPA Seguros'!$L$3)</f>
        <v>46</v>
      </c>
      <c r="E124" s="19">
        <f>+SUMIFS(Regiones[Contestadas],Regiones[Fecha],Tabla54[[#This Row],[Fecha]],Regiones[Intervalo],Tabla54[[#This Row],[Intervalo]],Regiones[Skill],'BUPA Seguros'!$L$3)</f>
        <v>43</v>
      </c>
      <c r="F124" s="20">
        <v>34.451985987117027</v>
      </c>
      <c r="G124" s="19">
        <f>IFERROR(SUMIFS(Regiones[TMO],Regiones[Fecha],Tabla54[[#This Row],[Fecha]],Regiones[Intervalo],Tabla54[[#This Row],[Intervalo]],Regiones[Skill],'BUPA Seguros'!$L$3)/Tabla54[[#This Row],[Atendidas]],0)</f>
        <v>73.093023255813947</v>
      </c>
      <c r="H124" s="21">
        <f>IFERROR(SUMIFS(Regiones[Aten &lt; 20 seg],Regiones[Fecha],Tabla54[[#This Row],[Fecha]],Regiones[Intervalo],Tabla54[[#This Row],[Intervalo]],Regiones[Skill],'BUPA Seguros'!$L$3)/Tabla54[[#This Row],[Recibidas]],0)</f>
        <v>0.47739130434782612</v>
      </c>
      <c r="I124" s="21">
        <f>IFERROR(Tabla54[[#This Row],[Atendidas]]/Tabla54[[#This Row],[Recibidas]],0)</f>
        <v>0.93478260869565222</v>
      </c>
    </row>
    <row r="125" spans="2:9" x14ac:dyDescent="0.3">
      <c r="B125" s="25">
        <f t="shared" si="13"/>
        <v>46206</v>
      </c>
      <c r="C125" s="26">
        <v>0.47916666666666702</v>
      </c>
      <c r="D125" s="19">
        <f>+SUMIFS(Regiones[Ofrecidas],Regiones[Fecha],Tabla54[[#This Row],[Fecha]],Regiones[Intervalo],Tabla54[[#This Row],[Intervalo]],Regiones[Skill],'BUPA Seguros'!$L$3)</f>
        <v>52</v>
      </c>
      <c r="E125" s="19">
        <f>+SUMIFS(Regiones[Contestadas],Regiones[Fecha],Tabla54[[#This Row],[Fecha]],Regiones[Intervalo],Tabla54[[#This Row],[Intervalo]],Regiones[Skill],'BUPA Seguros'!$L$3)</f>
        <v>47</v>
      </c>
      <c r="F125" s="20">
        <v>33.583588860926973</v>
      </c>
      <c r="G125" s="19">
        <f>IFERROR(SUMIFS(Regiones[TMO],Regiones[Fecha],Tabla54[[#This Row],[Fecha]],Regiones[Intervalo],Tabla54[[#This Row],[Intervalo]],Regiones[Skill],'BUPA Seguros'!$L$3)/Tabla54[[#This Row],[Atendidas]],0)</f>
        <v>77.765957446808514</v>
      </c>
      <c r="H125" s="21">
        <f>IFERROR(SUMIFS(Regiones[Aten &lt; 20 seg],Regiones[Fecha],Tabla54[[#This Row],[Fecha]],Regiones[Intervalo],Tabla54[[#This Row],[Intervalo]],Regiones[Skill],'BUPA Seguros'!$L$3)/Tabla54[[#This Row],[Recibidas]],0)</f>
        <v>0.40403846153846157</v>
      </c>
      <c r="I125" s="21">
        <f>IFERROR(Tabla54[[#This Row],[Atendidas]]/Tabla54[[#This Row],[Recibidas]],0)</f>
        <v>0.90384615384615385</v>
      </c>
    </row>
    <row r="126" spans="2:9" x14ac:dyDescent="0.3">
      <c r="B126" s="27">
        <f t="shared" si="13"/>
        <v>46206</v>
      </c>
      <c r="C126" s="18">
        <v>0.5</v>
      </c>
      <c r="D126" s="19">
        <f>+SUMIFS(Regiones[Ofrecidas],Regiones[Fecha],Tabla54[[#This Row],[Fecha]],Regiones[Intervalo],Tabla54[[#This Row],[Intervalo]],Regiones[Skill],'BUPA Seguros'!$L$3)</f>
        <v>46</v>
      </c>
      <c r="E126" s="19">
        <f>+SUMIFS(Regiones[Contestadas],Regiones[Fecha],Tabla54[[#This Row],[Fecha]],Regiones[Intervalo],Tabla54[[#This Row],[Intervalo]],Regiones[Skill],'BUPA Seguros'!$L$3)</f>
        <v>41</v>
      </c>
      <c r="F126" s="20">
        <v>32.681791845268066</v>
      </c>
      <c r="G126" s="19">
        <f>IFERROR(SUMIFS(Regiones[TMO],Regiones[Fecha],Tabla54[[#This Row],[Fecha]],Regiones[Intervalo],Tabla54[[#This Row],[Intervalo]],Regiones[Skill],'BUPA Seguros'!$L$3)/Tabla54[[#This Row],[Atendidas]],0)</f>
        <v>94.731707317073173</v>
      </c>
      <c r="H126" s="21">
        <f>IFERROR(SUMIFS(Regiones[Aten &lt; 20 seg],Regiones[Fecha],Tabla54[[#This Row],[Fecha]],Regiones[Intervalo],Tabla54[[#This Row],[Intervalo]],Regiones[Skill],'BUPA Seguros'!$L$3)/Tabla54[[#This Row],[Recibidas]],0)</f>
        <v>0.22500000000000001</v>
      </c>
      <c r="I126" s="21">
        <f>IFERROR(Tabla54[[#This Row],[Atendidas]]/Tabla54[[#This Row],[Recibidas]],0)</f>
        <v>0.89130434782608692</v>
      </c>
    </row>
    <row r="127" spans="2:9" x14ac:dyDescent="0.3">
      <c r="B127" s="25">
        <f t="shared" si="13"/>
        <v>46206</v>
      </c>
      <c r="C127" s="26">
        <v>0.52083333333333304</v>
      </c>
      <c r="D127" s="19">
        <f>+SUMIFS(Regiones[Ofrecidas],Regiones[Fecha],Tabla54[[#This Row],[Fecha]],Regiones[Intervalo],Tabla54[[#This Row],[Intervalo]],Regiones[Skill],'BUPA Seguros'!$L$3)</f>
        <v>34</v>
      </c>
      <c r="E127" s="19">
        <f>+SUMIFS(Regiones[Contestadas],Regiones[Fecha],Tabla54[[#This Row],[Fecha]],Regiones[Intervalo],Tabla54[[#This Row],[Intervalo]],Regiones[Skill],'BUPA Seguros'!$L$3)</f>
        <v>32</v>
      </c>
      <c r="F127" s="20">
        <v>31.763294884874735</v>
      </c>
      <c r="G127" s="19">
        <f>IFERROR(SUMIFS(Regiones[TMO],Regiones[Fecha],Tabla54[[#This Row],[Fecha]],Regiones[Intervalo],Tabla54[[#This Row],[Intervalo]],Regiones[Skill],'BUPA Seguros'!$L$3)/Tabla54[[#This Row],[Atendidas]],0)</f>
        <v>106.65625</v>
      </c>
      <c r="H127" s="21">
        <f>IFERROR(SUMIFS(Regiones[Aten &lt; 20 seg],Regiones[Fecha],Tabla54[[#This Row],[Fecha]],Regiones[Intervalo],Tabla54[[#This Row],[Intervalo]],Regiones[Skill],'BUPA Seguros'!$L$3)/Tabla54[[#This Row],[Recibidas]],0)</f>
        <v>0.65941176470588236</v>
      </c>
      <c r="I127" s="21">
        <f>IFERROR(Tabla54[[#This Row],[Atendidas]]/Tabla54[[#This Row],[Recibidas]],0)</f>
        <v>0.94117647058823528</v>
      </c>
    </row>
    <row r="128" spans="2:9" x14ac:dyDescent="0.3">
      <c r="B128" s="27">
        <f t="shared" si="13"/>
        <v>46206</v>
      </c>
      <c r="C128" s="18">
        <v>0.54166666666666696</v>
      </c>
      <c r="D128" s="19">
        <f>+SUMIFS(Regiones[Ofrecidas],Regiones[Fecha],Tabla54[[#This Row],[Fecha]],Regiones[Intervalo],Tabla54[[#This Row],[Intervalo]],Regiones[Skill],'BUPA Seguros'!$L$3)</f>
        <v>24</v>
      </c>
      <c r="E128" s="19">
        <f>+SUMIFS(Regiones[Contestadas],Regiones[Fecha],Tabla54[[#This Row],[Fecha]],Regiones[Intervalo],Tabla54[[#This Row],[Intervalo]],Regiones[Skill],'BUPA Seguros'!$L$3)</f>
        <v>24</v>
      </c>
      <c r="F128" s="20">
        <v>30.961697537622381</v>
      </c>
      <c r="G128" s="19">
        <f>IFERROR(SUMIFS(Regiones[TMO],Regiones[Fecha],Tabla54[[#This Row],[Fecha]],Regiones[Intervalo],Tabla54[[#This Row],[Intervalo]],Regiones[Skill],'BUPA Seguros'!$L$3)/Tabla54[[#This Row],[Atendidas]],0)</f>
        <v>144.79166666666666</v>
      </c>
      <c r="H128" s="21">
        <f>IFERROR(SUMIFS(Regiones[Aten &lt; 20 seg],Regiones[Fecha],Tabla54[[#This Row],[Fecha]],Regiones[Intervalo],Tabla54[[#This Row],[Intervalo]],Regiones[Skill],'BUPA Seguros'!$L$3)/Tabla54[[#This Row],[Recibidas]],0)</f>
        <v>0.62374999999999992</v>
      </c>
      <c r="I128" s="21">
        <f>IFERROR(Tabla54[[#This Row],[Atendidas]]/Tabla54[[#This Row],[Recibidas]],0)</f>
        <v>1</v>
      </c>
    </row>
    <row r="129" spans="2:9" x14ac:dyDescent="0.3">
      <c r="B129" s="25">
        <f t="shared" si="13"/>
        <v>46206</v>
      </c>
      <c r="C129" s="26">
        <v>0.5625</v>
      </c>
      <c r="D129" s="19">
        <f>+SUMIFS(Regiones[Ofrecidas],Regiones[Fecha],Tabla54[[#This Row],[Fecha]],Regiones[Intervalo],Tabla54[[#This Row],[Intervalo]],Regiones[Skill],'BUPA Seguros'!$L$3)</f>
        <v>34</v>
      </c>
      <c r="E129" s="19">
        <f>+SUMIFS(Regiones[Contestadas],Regiones[Fecha],Tabla54[[#This Row],[Fecha]],Regiones[Intervalo],Tabla54[[#This Row],[Intervalo]],Regiones[Skill],'BUPA Seguros'!$L$3)</f>
        <v>32</v>
      </c>
      <c r="F129" s="20">
        <v>29.876201129884805</v>
      </c>
      <c r="G129" s="19">
        <f>IFERROR(SUMIFS(Regiones[TMO],Regiones[Fecha],Tabla54[[#This Row],[Fecha]],Regiones[Intervalo],Tabla54[[#This Row],[Intervalo]],Regiones[Skill],'BUPA Seguros'!$L$3)/Tabla54[[#This Row],[Atendidas]],0)</f>
        <v>101.03125</v>
      </c>
      <c r="H129" s="21">
        <f>IFERROR(SUMIFS(Regiones[Aten &lt; 20 seg],Regiones[Fecha],Tabla54[[#This Row],[Fecha]],Regiones[Intervalo],Tabla54[[#This Row],[Intervalo]],Regiones[Skill],'BUPA Seguros'!$L$3)/Tabla54[[#This Row],[Recibidas]],0)</f>
        <v>0.5879411764705883</v>
      </c>
      <c r="I129" s="21">
        <f>IFERROR(Tabla54[[#This Row],[Atendidas]]/Tabla54[[#This Row],[Recibidas]],0)</f>
        <v>0.94117647058823528</v>
      </c>
    </row>
    <row r="130" spans="2:9" x14ac:dyDescent="0.3">
      <c r="B130" s="27">
        <f t="shared" si="13"/>
        <v>46206</v>
      </c>
      <c r="C130" s="18">
        <v>0.58333333333333304</v>
      </c>
      <c r="D130" s="19">
        <f>+SUMIFS(Regiones[Ofrecidas],Regiones[Fecha],Tabla54[[#This Row],[Fecha]],Regiones[Intervalo],Tabla54[[#This Row],[Intervalo]],Regiones[Skill],'BUPA Seguros'!$L$3)</f>
        <v>27</v>
      </c>
      <c r="E130" s="19">
        <f>+SUMIFS(Regiones[Contestadas],Regiones[Fecha],Tabla54[[#This Row],[Fecha]],Regiones[Intervalo],Tabla54[[#This Row],[Intervalo]],Regiones[Skill],'BUPA Seguros'!$L$3)</f>
        <v>25</v>
      </c>
      <c r="F130" s="20">
        <v>29.057903837898024</v>
      </c>
      <c r="G130" s="19">
        <f>IFERROR(SUMIFS(Regiones[TMO],Regiones[Fecha],Tabla54[[#This Row],[Fecha]],Regiones[Intervalo],Tabla54[[#This Row],[Intervalo]],Regiones[Skill],'BUPA Seguros'!$L$3)/Tabla54[[#This Row],[Atendidas]],0)</f>
        <v>113.8</v>
      </c>
      <c r="H130" s="21">
        <f>IFERROR(SUMIFS(Regiones[Aten &lt; 20 seg],Regiones[Fecha],Tabla54[[#This Row],[Fecha]],Regiones[Intervalo],Tabla54[[#This Row],[Intervalo]],Regiones[Skill],'BUPA Seguros'!$L$3)/Tabla54[[#This Row],[Recibidas]],0)</f>
        <v>0.29814814814814811</v>
      </c>
      <c r="I130" s="21">
        <f>IFERROR(Tabla54[[#This Row],[Atendidas]]/Tabla54[[#This Row],[Recibidas]],0)</f>
        <v>0.92592592592592593</v>
      </c>
    </row>
    <row r="131" spans="2:9" x14ac:dyDescent="0.3">
      <c r="B131" s="25">
        <f t="shared" si="13"/>
        <v>46206</v>
      </c>
      <c r="C131" s="26">
        <v>0.60416666666666696</v>
      </c>
      <c r="D131" s="19">
        <f>+SUMIFS(Regiones[Ofrecidas],Regiones[Fecha],Tabla54[[#This Row],[Fecha]],Regiones[Intervalo],Tabla54[[#This Row],[Intervalo]],Regiones[Skill],'BUPA Seguros'!$L$3)</f>
        <v>17</v>
      </c>
      <c r="E131" s="19">
        <f>+SUMIFS(Regiones[Contestadas],Regiones[Fecha],Tabla54[[#This Row],[Fecha]],Regiones[Intervalo],Tabla54[[#This Row],[Intervalo]],Regiones[Skill],'BUPA Seguros'!$L$3)</f>
        <v>17</v>
      </c>
      <c r="F131" s="20">
        <v>28.490105716927605</v>
      </c>
      <c r="G131" s="19">
        <f>IFERROR(SUMIFS(Regiones[TMO],Regiones[Fecha],Tabla54[[#This Row],[Fecha]],Regiones[Intervalo],Tabla54[[#This Row],[Intervalo]],Regiones[Skill],'BUPA Seguros'!$L$3)/Tabla54[[#This Row],[Atendidas]],0)</f>
        <v>176.94117647058823</v>
      </c>
      <c r="H131" s="21">
        <f>IFERROR(SUMIFS(Regiones[Aten &lt; 20 seg],Regiones[Fecha],Tabla54[[#This Row],[Fecha]],Regiones[Intervalo],Tabla54[[#This Row],[Intervalo]],Regiones[Skill],'BUPA Seguros'!$L$3)/Tabla54[[#This Row],[Recibidas]],0)</f>
        <v>1</v>
      </c>
      <c r="I131" s="21">
        <f>IFERROR(Tabla54[[#This Row],[Atendidas]]/Tabla54[[#This Row],[Recibidas]],0)</f>
        <v>1</v>
      </c>
    </row>
    <row r="132" spans="2:9" x14ac:dyDescent="0.3">
      <c r="B132" s="27">
        <f t="shared" si="13"/>
        <v>46206</v>
      </c>
      <c r="C132" s="18">
        <v>0.625</v>
      </c>
      <c r="D132" s="19">
        <f>+SUMIFS(Regiones[Ofrecidas],Regiones[Fecha],Tabla54[[#This Row],[Fecha]],Regiones[Intervalo],Tabla54[[#This Row],[Intervalo]],Regiones[Skill],'BUPA Seguros'!$L$3)</f>
        <v>20</v>
      </c>
      <c r="E132" s="19">
        <f>+SUMIFS(Regiones[Contestadas],Regiones[Fecha],Tabla54[[#This Row],[Fecha]],Regiones[Intervalo],Tabla54[[#This Row],[Intervalo]],Regiones[Skill],'BUPA Seguros'!$L$3)</f>
        <v>18</v>
      </c>
      <c r="F132" s="20">
        <v>28.373206103786632</v>
      </c>
      <c r="G132" s="19">
        <f>IFERROR(SUMIFS(Regiones[TMO],Regiones[Fecha],Tabla54[[#This Row],[Fecha]],Regiones[Intervalo],Tabla54[[#This Row],[Intervalo]],Regiones[Skill],'BUPA Seguros'!$L$3)/Tabla54[[#This Row],[Atendidas]],0)</f>
        <v>144.16666666666666</v>
      </c>
      <c r="H132" s="21">
        <f>IFERROR(SUMIFS(Regiones[Aten &lt; 20 seg],Regiones[Fecha],Tabla54[[#This Row],[Fecha]],Regiones[Intervalo],Tabla54[[#This Row],[Intervalo]],Regiones[Skill],'BUPA Seguros'!$L$3)/Tabla54[[#This Row],[Recibidas]],0)</f>
        <v>0.34849999999999998</v>
      </c>
      <c r="I132" s="21">
        <f>IFERROR(Tabla54[[#This Row],[Atendidas]]/Tabla54[[#This Row],[Recibidas]],0)</f>
        <v>0.9</v>
      </c>
    </row>
    <row r="133" spans="2:9" x14ac:dyDescent="0.3">
      <c r="B133" s="25">
        <f t="shared" si="13"/>
        <v>46206</v>
      </c>
      <c r="C133" s="26">
        <v>0.64583333333333304</v>
      </c>
      <c r="D133" s="19">
        <f>+SUMIFS(Regiones[Ofrecidas],Regiones[Fecha],Tabla54[[#This Row],[Fecha]],Regiones[Intervalo],Tabla54[[#This Row],[Intervalo]],Regiones[Skill],'BUPA Seguros'!$L$3)</f>
        <v>17</v>
      </c>
      <c r="E133" s="19">
        <f>+SUMIFS(Regiones[Contestadas],Regiones[Fecha],Tabla54[[#This Row],[Fecha]],Regiones[Intervalo],Tabla54[[#This Row],[Intervalo]],Regiones[Skill],'BUPA Seguros'!$L$3)</f>
        <v>17</v>
      </c>
      <c r="F133" s="20">
        <v>28.089307043301421</v>
      </c>
      <c r="G133" s="19">
        <f>IFERROR(SUMIFS(Regiones[TMO],Regiones[Fecha],Tabla54[[#This Row],[Fecha]],Regiones[Intervalo],Tabla54[[#This Row],[Intervalo]],Regiones[Skill],'BUPA Seguros'!$L$3)/Tabla54[[#This Row],[Atendidas]],0)</f>
        <v>171.70588235294119</v>
      </c>
      <c r="H133" s="21">
        <f>IFERROR(SUMIFS(Regiones[Aten &lt; 20 seg],Regiones[Fecha],Tabla54[[#This Row],[Fecha]],Regiones[Intervalo],Tabla54[[#This Row],[Intervalo]],Regiones[Skill],'BUPA Seguros'!$L$3)/Tabla54[[#This Row],[Recibidas]],0)</f>
        <v>0.88117647058823534</v>
      </c>
      <c r="I133" s="21">
        <f>IFERROR(Tabla54[[#This Row],[Atendidas]]/Tabla54[[#This Row],[Recibidas]],0)</f>
        <v>1</v>
      </c>
    </row>
    <row r="134" spans="2:9" x14ac:dyDescent="0.3">
      <c r="B134" s="27">
        <f t="shared" si="13"/>
        <v>46206</v>
      </c>
      <c r="C134" s="18">
        <v>0.66666666666666696</v>
      </c>
      <c r="D134" s="19">
        <f>+SUMIFS(Regiones[Ofrecidas],Regiones[Fecha],Tabla54[[#This Row],[Fecha]],Regiones[Intervalo],Tabla54[[#This Row],[Intervalo]],Regiones[Skill],'BUPA Seguros'!$L$3)</f>
        <v>24</v>
      </c>
      <c r="E134" s="19">
        <f>+SUMIFS(Regiones[Contestadas],Regiones[Fecha],Tabla54[[#This Row],[Fecha]],Regiones[Intervalo],Tabla54[[#This Row],[Intervalo]],Regiones[Skill],'BUPA Seguros'!$L$3)</f>
        <v>23</v>
      </c>
      <c r="F134" s="20">
        <v>26.87021107768846</v>
      </c>
      <c r="G134" s="19">
        <f>IFERROR(SUMIFS(Regiones[TMO],Regiones[Fecha],Tabla54[[#This Row],[Fecha]],Regiones[Intervalo],Tabla54[[#This Row],[Intervalo]],Regiones[Skill],'BUPA Seguros'!$L$3)/Tabla54[[#This Row],[Atendidas]],0)</f>
        <v>179</v>
      </c>
      <c r="H134" s="21">
        <f>IFERROR(SUMIFS(Regiones[Aten &lt; 20 seg],Regiones[Fecha],Tabla54[[#This Row],[Fecha]],Regiones[Intervalo],Tabla54[[#This Row],[Intervalo]],Regiones[Skill],'BUPA Seguros'!$L$3)/Tabla54[[#This Row],[Recibidas]],0)</f>
        <v>0.83416666666666661</v>
      </c>
      <c r="I134" s="21">
        <f>IFERROR(Tabla54[[#This Row],[Atendidas]]/Tabla54[[#This Row],[Recibidas]],0)</f>
        <v>0.95833333333333337</v>
      </c>
    </row>
    <row r="135" spans="2:9" x14ac:dyDescent="0.3">
      <c r="B135" s="25">
        <f t="shared" si="13"/>
        <v>46206</v>
      </c>
      <c r="C135" s="26">
        <v>0.6875</v>
      </c>
      <c r="D135" s="19">
        <f>+SUMIFS(Regiones[Ofrecidas],Regiones[Fecha],Tabla54[[#This Row],[Fecha]],Regiones[Intervalo],Tabla54[[#This Row],[Intervalo]],Regiones[Skill],'BUPA Seguros'!$L$3)</f>
        <v>15</v>
      </c>
      <c r="E135" s="19">
        <f>+SUMIFS(Regiones[Contestadas],Regiones[Fecha],Tabla54[[#This Row],[Fecha]],Regiones[Intervalo],Tabla54[[#This Row],[Intervalo]],Regiones[Skill],'BUPA Seguros'!$L$3)</f>
        <v>14</v>
      </c>
      <c r="F135" s="20">
        <v>24.665818372744475</v>
      </c>
      <c r="G135" s="19">
        <f>IFERROR(SUMIFS(Regiones[TMO],Regiones[Fecha],Tabla54[[#This Row],[Fecha]],Regiones[Intervalo],Tabla54[[#This Row],[Intervalo]],Regiones[Skill],'BUPA Seguros'!$L$3)/Tabla54[[#This Row],[Atendidas]],0)</f>
        <v>157.35714285714286</v>
      </c>
      <c r="H135" s="21">
        <f>IFERROR(SUMIFS(Regiones[Aten &lt; 20 seg],Regiones[Fecha],Tabla54[[#This Row],[Fecha]],Regiones[Intervalo],Tabla54[[#This Row],[Intervalo]],Regiones[Skill],'BUPA Seguros'!$L$3)/Tabla54[[#This Row],[Recibidas]],0)</f>
        <v>0.93333333333333335</v>
      </c>
      <c r="I135" s="21">
        <f>IFERROR(Tabla54[[#This Row],[Atendidas]]/Tabla54[[#This Row],[Recibidas]],0)</f>
        <v>0.93333333333333335</v>
      </c>
    </row>
    <row r="136" spans="2:9" x14ac:dyDescent="0.3">
      <c r="B136" s="27">
        <f t="shared" si="13"/>
        <v>46206</v>
      </c>
      <c r="C136" s="18">
        <v>0.70833333333333304</v>
      </c>
      <c r="D136" s="19">
        <f>+SUMIFS(Regiones[Ofrecidas],Regiones[Fecha],Tabla54[[#This Row],[Fecha]],Regiones[Intervalo],Tabla54[[#This Row],[Intervalo]],Regiones[Skill],'BUPA Seguros'!$L$3)</f>
        <v>29</v>
      </c>
      <c r="E136" s="19">
        <f>+SUMIFS(Regiones[Contestadas],Regiones[Fecha],Tabla54[[#This Row],[Fecha]],Regiones[Intervalo],Tabla54[[#This Row],[Intervalo]],Regiones[Skill],'BUPA Seguros'!$L$3)</f>
        <v>18</v>
      </c>
      <c r="F136" s="20">
        <v>21.392629204797341</v>
      </c>
      <c r="G136" s="19">
        <f>IFERROR(SUMIFS(Regiones[TMO],Regiones[Fecha],Tabla54[[#This Row],[Fecha]],Regiones[Intervalo],Tabla54[[#This Row],[Intervalo]],Regiones[Skill],'BUPA Seguros'!$L$3)/Tabla54[[#This Row],[Atendidas]],0)</f>
        <v>73.944444444444443</v>
      </c>
      <c r="H136" s="21">
        <f>IFERROR(SUMIFS(Regiones[Aten &lt; 20 seg],Regiones[Fecha],Tabla54[[#This Row],[Fecha]],Regiones[Intervalo],Tabla54[[#This Row],[Intervalo]],Regiones[Skill],'BUPA Seguros'!$L$3)/Tabla54[[#This Row],[Recibidas]],0)</f>
        <v>6.8965517241379309E-2</v>
      </c>
      <c r="I136" s="21">
        <f>IFERROR(Tabla54[[#This Row],[Atendidas]]/Tabla54[[#This Row],[Recibidas]],0)</f>
        <v>0.62068965517241381</v>
      </c>
    </row>
    <row r="137" spans="2:9" x14ac:dyDescent="0.3">
      <c r="B137" s="25">
        <f t="shared" si="13"/>
        <v>46206</v>
      </c>
      <c r="C137" s="26">
        <v>0.72916666666666696</v>
      </c>
      <c r="D137" s="19">
        <f>+SUMIFS(Regiones[Ofrecidas],Regiones[Fecha],Tabla54[[#This Row],[Fecha]],Regiones[Intervalo],Tabla54[[#This Row],[Intervalo]],Regiones[Skill],'BUPA Seguros'!$L$3)</f>
        <v>21</v>
      </c>
      <c r="E137" s="19">
        <f>+SUMIFS(Regiones[Contestadas],Regiones[Fecha],Tabla54[[#This Row],[Fecha]],Regiones[Intervalo],Tabla54[[#This Row],[Intervalo]],Regiones[Skill],'BUPA Seguros'!$L$3)</f>
        <v>18</v>
      </c>
      <c r="F137" s="20">
        <v>18.561988572312444</v>
      </c>
      <c r="G137" s="19">
        <f>IFERROR(SUMIFS(Regiones[TMO],Regiones[Fecha],Tabla54[[#This Row],[Fecha]],Regiones[Intervalo],Tabla54[[#This Row],[Intervalo]],Regiones[Skill],'BUPA Seguros'!$L$3)/Tabla54[[#This Row],[Atendidas]],0)</f>
        <v>154.33333333333334</v>
      </c>
      <c r="H137" s="21">
        <f>IFERROR(SUMIFS(Regiones[Aten &lt; 20 seg],Regiones[Fecha],Tabla54[[#This Row],[Fecha]],Regiones[Intervalo],Tabla54[[#This Row],[Intervalo]],Regiones[Skill],'BUPA Seguros'!$L$3)/Tabla54[[#This Row],[Recibidas]],0)</f>
        <v>0.32047619047619047</v>
      </c>
      <c r="I137" s="21">
        <f>IFERROR(Tabla54[[#This Row],[Atendidas]]/Tabla54[[#This Row],[Recibidas]],0)</f>
        <v>0.8571428571428571</v>
      </c>
    </row>
    <row r="138" spans="2:9" x14ac:dyDescent="0.3">
      <c r="B138" s="27">
        <f t="shared" si="13"/>
        <v>46206</v>
      </c>
      <c r="C138" s="18">
        <v>0.75</v>
      </c>
      <c r="D138" s="19">
        <f>+SUMIFS(Regiones[Ofrecidas],Regiones[Fecha],Tabla54[[#This Row],[Fecha]],Regiones[Intervalo],Tabla54[[#This Row],[Intervalo]],Regiones[Skill],'BUPA Seguros'!$L$3)</f>
        <v>0</v>
      </c>
      <c r="E138" s="19">
        <f>+SUMIFS(Regiones[Contestadas],Regiones[Fecha],Tabla54[[#This Row],[Fecha]],Regiones[Intervalo],Tabla54[[#This Row],[Intervalo]],Regiones[Skill],'BUPA Seguros'!$L$3)</f>
        <v>0</v>
      </c>
      <c r="F138" s="20">
        <v>0</v>
      </c>
      <c r="G138" s="19">
        <f>IFERROR(SUMIFS(Regiones[TMO],Regiones[Fecha],Tabla54[[#This Row],[Fecha]],Regiones[Intervalo],Tabla54[[#This Row],[Intervalo]],Regiones[Skill],'BUPA Seguros'!$L$3)/Tabla54[[#This Row],[Atendidas]],0)</f>
        <v>0</v>
      </c>
      <c r="H1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" s="21">
        <f>IFERROR(Tabla54[[#This Row],[Atendidas]]/Tabla54[[#This Row],[Recibidas]],0)</f>
        <v>0</v>
      </c>
    </row>
    <row r="139" spans="2:9" x14ac:dyDescent="0.3">
      <c r="B139" s="25">
        <f t="shared" si="13"/>
        <v>46206</v>
      </c>
      <c r="C139" s="26">
        <v>0.77083333333333304</v>
      </c>
      <c r="D139" s="19">
        <f>+SUMIFS(Regiones[Ofrecidas],Regiones[Fecha],Tabla54[[#This Row],[Fecha]],Regiones[Intervalo],Tabla54[[#This Row],[Intervalo]],Regiones[Skill],'BUPA Seguros'!$L$3)</f>
        <v>0</v>
      </c>
      <c r="E139" s="19">
        <f>+SUMIFS(Regiones[Contestadas],Regiones[Fecha],Tabla54[[#This Row],[Fecha]],Regiones[Intervalo],Tabla54[[#This Row],[Intervalo]],Regiones[Skill],'BUPA Seguros'!$L$3)</f>
        <v>0</v>
      </c>
      <c r="F139" s="20">
        <v>0</v>
      </c>
      <c r="G139" s="19">
        <f>IFERROR(SUMIFS(Regiones[TMO],Regiones[Fecha],Tabla54[[#This Row],[Fecha]],Regiones[Intervalo],Tabla54[[#This Row],[Intervalo]],Regiones[Skill],'BUPA Seguros'!$L$3)/Tabla54[[#This Row],[Atendidas]],0)</f>
        <v>0</v>
      </c>
      <c r="H1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" s="21">
        <f>IFERROR(Tabla54[[#This Row],[Atendidas]]/Tabla54[[#This Row],[Recibidas]],0)</f>
        <v>0</v>
      </c>
    </row>
    <row r="140" spans="2:9" x14ac:dyDescent="0.3">
      <c r="B140" s="27">
        <f t="shared" si="13"/>
        <v>46206</v>
      </c>
      <c r="C140" s="18">
        <v>0.79166666666666696</v>
      </c>
      <c r="D140" s="19">
        <f>+SUMIFS(Regiones[Ofrecidas],Regiones[Fecha],Tabla54[[#This Row],[Fecha]],Regiones[Intervalo],Tabla54[[#This Row],[Intervalo]],Regiones[Skill],'BUPA Seguros'!$L$3)</f>
        <v>0</v>
      </c>
      <c r="E140" s="19">
        <f>+SUMIFS(Regiones[Contestadas],Regiones[Fecha],Tabla54[[#This Row],[Fecha]],Regiones[Intervalo],Tabla54[[#This Row],[Intervalo]],Regiones[Skill],'BUPA Seguros'!$L$3)</f>
        <v>0</v>
      </c>
      <c r="F140" s="20">
        <v>0</v>
      </c>
      <c r="G140" s="19">
        <f>IFERROR(SUMIFS(Regiones[TMO],Regiones[Fecha],Tabla54[[#This Row],[Fecha]],Regiones[Intervalo],Tabla54[[#This Row],[Intervalo]],Regiones[Skill],'BUPA Seguros'!$L$3)/Tabla54[[#This Row],[Atendidas]],0)</f>
        <v>0</v>
      </c>
      <c r="H1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" s="21">
        <f>IFERROR(Tabla54[[#This Row],[Atendidas]]/Tabla54[[#This Row],[Recibidas]],0)</f>
        <v>0</v>
      </c>
    </row>
    <row r="141" spans="2:9" x14ac:dyDescent="0.3">
      <c r="B141" s="25">
        <f t="shared" si="13"/>
        <v>46206</v>
      </c>
      <c r="C141" s="26">
        <v>0.8125</v>
      </c>
      <c r="D141" s="19">
        <f>+SUMIFS(Regiones[Ofrecidas],Regiones[Fecha],Tabla54[[#This Row],[Fecha]],Regiones[Intervalo],Tabla54[[#This Row],[Intervalo]],Regiones[Skill],'BUPA Seguros'!$L$3)</f>
        <v>0</v>
      </c>
      <c r="E141" s="19">
        <f>+SUMIFS(Regiones[Contestadas],Regiones[Fecha],Tabla54[[#This Row],[Fecha]],Regiones[Intervalo],Tabla54[[#This Row],[Intervalo]],Regiones[Skill],'BUPA Seguros'!$L$3)</f>
        <v>0</v>
      </c>
      <c r="F141" s="20">
        <v>0</v>
      </c>
      <c r="G141" s="19">
        <f>IFERROR(SUMIFS(Regiones[TMO],Regiones[Fecha],Tabla54[[#This Row],[Fecha]],Regiones[Intervalo],Tabla54[[#This Row],[Intervalo]],Regiones[Skill],'BUPA Seguros'!$L$3)/Tabla54[[#This Row],[Atendidas]],0)</f>
        <v>0</v>
      </c>
      <c r="H1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" s="21">
        <f>IFERROR(Tabla54[[#This Row],[Atendidas]]/Tabla54[[#This Row],[Recibidas]],0)</f>
        <v>0</v>
      </c>
    </row>
    <row r="142" spans="2:9" x14ac:dyDescent="0.3">
      <c r="B142" s="27">
        <f t="shared" si="13"/>
        <v>46206</v>
      </c>
      <c r="C142" s="18">
        <v>0.83333333333333304</v>
      </c>
      <c r="D142" s="19">
        <f>+SUMIFS(Regiones[Ofrecidas],Regiones[Fecha],Tabla54[[#This Row],[Fecha]],Regiones[Intervalo],Tabla54[[#This Row],[Intervalo]],Regiones[Skill],'BUPA Seguros'!$L$3)</f>
        <v>0</v>
      </c>
      <c r="E142" s="19">
        <f>+SUMIFS(Regiones[Contestadas],Regiones[Fecha],Tabla54[[#This Row],[Fecha]],Regiones[Intervalo],Tabla54[[#This Row],[Intervalo]],Regiones[Skill],'BUPA Seguros'!$L$3)</f>
        <v>0</v>
      </c>
      <c r="F142" s="20">
        <v>0</v>
      </c>
      <c r="G142" s="19">
        <f>IFERROR(SUMIFS(Regiones[TMO],Regiones[Fecha],Tabla54[[#This Row],[Fecha]],Regiones[Intervalo],Tabla54[[#This Row],[Intervalo]],Regiones[Skill],'BUPA Seguros'!$L$3)/Tabla54[[#This Row],[Atendidas]],0)</f>
        <v>0</v>
      </c>
      <c r="H1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" s="21">
        <f>IFERROR(Tabla54[[#This Row],[Atendidas]]/Tabla54[[#This Row],[Recibidas]],0)</f>
        <v>0</v>
      </c>
    </row>
    <row r="143" spans="2:9" x14ac:dyDescent="0.3">
      <c r="B143" s="25">
        <f t="shared" si="13"/>
        <v>46206</v>
      </c>
      <c r="C143" s="26">
        <v>0.85416666666666696</v>
      </c>
      <c r="D143" s="19">
        <f>+SUMIFS(Regiones[Ofrecidas],Regiones[Fecha],Tabla54[[#This Row],[Fecha]],Regiones[Intervalo],Tabla54[[#This Row],[Intervalo]],Regiones[Skill],'BUPA Seguros'!$L$3)</f>
        <v>0</v>
      </c>
      <c r="E143" s="19">
        <f>+SUMIFS(Regiones[Contestadas],Regiones[Fecha],Tabla54[[#This Row],[Fecha]],Regiones[Intervalo],Tabla54[[#This Row],[Intervalo]],Regiones[Skill],'BUPA Seguros'!$L$3)</f>
        <v>0</v>
      </c>
      <c r="F143" s="20">
        <v>0</v>
      </c>
      <c r="G143" s="19">
        <f>IFERROR(SUMIFS(Regiones[TMO],Regiones[Fecha],Tabla54[[#This Row],[Fecha]],Regiones[Intervalo],Tabla54[[#This Row],[Intervalo]],Regiones[Skill],'BUPA Seguros'!$L$3)/Tabla54[[#This Row],[Atendidas]],0)</f>
        <v>0</v>
      </c>
      <c r="H1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" s="21">
        <f>IFERROR(Tabla54[[#This Row],[Atendidas]]/Tabla54[[#This Row],[Recibidas]],0)</f>
        <v>0</v>
      </c>
    </row>
    <row r="144" spans="2:9" x14ac:dyDescent="0.3">
      <c r="B144" s="27">
        <f t="shared" si="13"/>
        <v>46206</v>
      </c>
      <c r="C144" s="18">
        <v>0.875</v>
      </c>
      <c r="D144" s="19">
        <f>+SUMIFS(Regiones[Ofrecidas],Regiones[Fecha],Tabla54[[#This Row],[Fecha]],Regiones[Intervalo],Tabla54[[#This Row],[Intervalo]],Regiones[Skill],'BUPA Seguros'!$L$3)</f>
        <v>0</v>
      </c>
      <c r="E144" s="19">
        <f>+SUMIFS(Regiones[Contestadas],Regiones[Fecha],Tabla54[[#This Row],[Fecha]],Regiones[Intervalo],Tabla54[[#This Row],[Intervalo]],Regiones[Skill],'BUPA Seguros'!$L$3)</f>
        <v>0</v>
      </c>
      <c r="F144" s="20">
        <v>0</v>
      </c>
      <c r="G144" s="19">
        <f>IFERROR(SUMIFS(Regiones[TMO],Regiones[Fecha],Tabla54[[#This Row],[Fecha]],Regiones[Intervalo],Tabla54[[#This Row],[Intervalo]],Regiones[Skill],'BUPA Seguros'!$L$3)/Tabla54[[#This Row],[Atendidas]],0)</f>
        <v>0</v>
      </c>
      <c r="H1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" s="21">
        <f>IFERROR(Tabla54[[#This Row],[Atendidas]]/Tabla54[[#This Row],[Recibidas]],0)</f>
        <v>0</v>
      </c>
    </row>
    <row r="145" spans="2:9" x14ac:dyDescent="0.3">
      <c r="B145" s="25">
        <f t="shared" si="13"/>
        <v>46206</v>
      </c>
      <c r="C145" s="26">
        <v>0.89583333333333304</v>
      </c>
      <c r="D145" s="19">
        <f>+SUMIFS(Regiones[Ofrecidas],Regiones[Fecha],Tabla54[[#This Row],[Fecha]],Regiones[Intervalo],Tabla54[[#This Row],[Intervalo]],Regiones[Skill],'BUPA Seguros'!$L$3)</f>
        <v>0</v>
      </c>
      <c r="E145" s="19">
        <f>+SUMIFS(Regiones[Contestadas],Regiones[Fecha],Tabla54[[#This Row],[Fecha]],Regiones[Intervalo],Tabla54[[#This Row],[Intervalo]],Regiones[Skill],'BUPA Seguros'!$L$3)</f>
        <v>0</v>
      </c>
      <c r="F145" s="20">
        <v>0</v>
      </c>
      <c r="G145" s="19">
        <f>IFERROR(SUMIFS(Regiones[TMO],Regiones[Fecha],Tabla54[[#This Row],[Fecha]],Regiones[Intervalo],Tabla54[[#This Row],[Intervalo]],Regiones[Skill],'BUPA Seguros'!$L$3)/Tabla54[[#This Row],[Atendidas]],0)</f>
        <v>0</v>
      </c>
      <c r="H1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" s="21">
        <f>IFERROR(Tabla54[[#This Row],[Atendidas]]/Tabla54[[#This Row],[Recibidas]],0)</f>
        <v>0</v>
      </c>
    </row>
    <row r="146" spans="2:9" x14ac:dyDescent="0.3">
      <c r="B146" s="27">
        <f t="shared" si="13"/>
        <v>46206</v>
      </c>
      <c r="C146" s="18">
        <v>0.91666666666666696</v>
      </c>
      <c r="D146" s="19">
        <f>+SUMIFS(Regiones[Ofrecidas],Regiones[Fecha],Tabla54[[#This Row],[Fecha]],Regiones[Intervalo],Tabla54[[#This Row],[Intervalo]],Regiones[Skill],'BUPA Seguros'!$L$3)</f>
        <v>0</v>
      </c>
      <c r="E146" s="19">
        <f>+SUMIFS(Regiones[Contestadas],Regiones[Fecha],Tabla54[[#This Row],[Fecha]],Regiones[Intervalo],Tabla54[[#This Row],[Intervalo]],Regiones[Skill],'BUPA Seguros'!$L$3)</f>
        <v>0</v>
      </c>
      <c r="F146" s="20">
        <v>0</v>
      </c>
      <c r="G146" s="19">
        <f>IFERROR(SUMIFS(Regiones[TMO],Regiones[Fecha],Tabla54[[#This Row],[Fecha]],Regiones[Intervalo],Tabla54[[#This Row],[Intervalo]],Regiones[Skill],'BUPA Seguros'!$L$3)/Tabla54[[#This Row],[Atendidas]],0)</f>
        <v>0</v>
      </c>
      <c r="H1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" s="21">
        <f>IFERROR(Tabla54[[#This Row],[Atendidas]]/Tabla54[[#This Row],[Recibidas]],0)</f>
        <v>0</v>
      </c>
    </row>
    <row r="147" spans="2:9" x14ac:dyDescent="0.3">
      <c r="B147" s="25">
        <f t="shared" si="13"/>
        <v>46206</v>
      </c>
      <c r="C147" s="26">
        <v>0.9375</v>
      </c>
      <c r="D147" s="19">
        <f>+SUMIFS(Regiones[Ofrecidas],Regiones[Fecha],Tabla54[[#This Row],[Fecha]],Regiones[Intervalo],Tabla54[[#This Row],[Intervalo]],Regiones[Skill],'BUPA Seguros'!$L$3)</f>
        <v>0</v>
      </c>
      <c r="E147" s="19">
        <f>+SUMIFS(Regiones[Contestadas],Regiones[Fecha],Tabla54[[#This Row],[Fecha]],Regiones[Intervalo],Tabla54[[#This Row],[Intervalo]],Regiones[Skill],'BUPA Seguros'!$L$3)</f>
        <v>0</v>
      </c>
      <c r="F147" s="20">
        <v>0</v>
      </c>
      <c r="G147" s="19">
        <f>IFERROR(SUMIFS(Regiones[TMO],Regiones[Fecha],Tabla54[[#This Row],[Fecha]],Regiones[Intervalo],Tabla54[[#This Row],[Intervalo]],Regiones[Skill],'BUPA Seguros'!$L$3)/Tabla54[[#This Row],[Atendidas]],0)</f>
        <v>0</v>
      </c>
      <c r="H1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" s="21">
        <f>IFERROR(Tabla54[[#This Row],[Atendidas]]/Tabla54[[#This Row],[Recibidas]],0)</f>
        <v>0</v>
      </c>
    </row>
    <row r="148" spans="2:9" x14ac:dyDescent="0.3">
      <c r="B148" s="27">
        <f t="shared" si="13"/>
        <v>46206</v>
      </c>
      <c r="C148" s="18">
        <v>0.95833333333333304</v>
      </c>
      <c r="D148" s="19">
        <f>+SUMIFS(Regiones[Ofrecidas],Regiones[Fecha],Tabla54[[#This Row],[Fecha]],Regiones[Intervalo],Tabla54[[#This Row],[Intervalo]],Regiones[Skill],'BUPA Seguros'!$L$3)</f>
        <v>0</v>
      </c>
      <c r="E148" s="19">
        <f>+SUMIFS(Regiones[Contestadas],Regiones[Fecha],Tabla54[[#This Row],[Fecha]],Regiones[Intervalo],Tabla54[[#This Row],[Intervalo]],Regiones[Skill],'BUPA Seguros'!$L$3)</f>
        <v>0</v>
      </c>
      <c r="F148" s="20">
        <v>0</v>
      </c>
      <c r="G148" s="19">
        <f>IFERROR(SUMIFS(Regiones[TMO],Regiones[Fecha],Tabla54[[#This Row],[Fecha]],Regiones[Intervalo],Tabla54[[#This Row],[Intervalo]],Regiones[Skill],'BUPA Seguros'!$L$3)/Tabla54[[#This Row],[Atendidas]],0)</f>
        <v>0</v>
      </c>
      <c r="H1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" s="21">
        <f>IFERROR(Tabla54[[#This Row],[Atendidas]]/Tabla54[[#This Row],[Recibidas]],0)</f>
        <v>0</v>
      </c>
    </row>
    <row r="149" spans="2:9" x14ac:dyDescent="0.3">
      <c r="B149" s="25">
        <f t="shared" si="13"/>
        <v>46206</v>
      </c>
      <c r="C149" s="26">
        <v>0.97916666666666696</v>
      </c>
      <c r="D149" s="19">
        <f>+SUMIFS(Regiones[Ofrecidas],Regiones[Fecha],Tabla54[[#This Row],[Fecha]],Regiones[Intervalo],Tabla54[[#This Row],[Intervalo]],Regiones[Skill],'BUPA Seguros'!$L$3)</f>
        <v>0</v>
      </c>
      <c r="E149" s="19">
        <f>+SUMIFS(Regiones[Contestadas],Regiones[Fecha],Tabla54[[#This Row],[Fecha]],Regiones[Intervalo],Tabla54[[#This Row],[Intervalo]],Regiones[Skill],'BUPA Seguros'!$L$3)</f>
        <v>0</v>
      </c>
      <c r="F149" s="20">
        <v>0</v>
      </c>
      <c r="G149" s="19">
        <f>IFERROR(SUMIFS(Regiones[TMO],Regiones[Fecha],Tabla54[[#This Row],[Fecha]],Regiones[Intervalo],Tabla54[[#This Row],[Intervalo]],Regiones[Skill],'BUPA Seguros'!$L$3)/Tabla54[[#This Row],[Atendidas]],0)</f>
        <v>0</v>
      </c>
      <c r="H1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9" s="21">
        <f>IFERROR(Tabla54[[#This Row],[Atendidas]]/Tabla54[[#This Row],[Recibidas]],0)</f>
        <v>0</v>
      </c>
    </row>
    <row r="150" spans="2:9" x14ac:dyDescent="0.3">
      <c r="B150" s="27">
        <f>+B149+1</f>
        <v>46207</v>
      </c>
      <c r="C150" s="18">
        <v>0</v>
      </c>
      <c r="D150" s="19">
        <f>+SUMIFS(Regiones[Ofrecidas],Regiones[Fecha],Tabla54[[#This Row],[Fecha]],Regiones[Intervalo],Tabla54[[#This Row],[Intervalo]],Regiones[Skill],'BUPA Seguros'!$L$3)</f>
        <v>0</v>
      </c>
      <c r="E150" s="19">
        <f>+SUMIFS(Regiones[Contestadas],Regiones[Fecha],Tabla54[[#This Row],[Fecha]],Regiones[Intervalo],Tabla54[[#This Row],[Intervalo]],Regiones[Skill],'BUPA Seguros'!$L$3)</f>
        <v>0</v>
      </c>
      <c r="F150" s="20">
        <v>0</v>
      </c>
      <c r="G150" s="19">
        <f>IFERROR(SUMIFS(Regiones[TMO],Regiones[Fecha],Tabla54[[#This Row],[Fecha]],Regiones[Intervalo],Tabla54[[#This Row],[Intervalo]],Regiones[Skill],'BUPA Seguros'!$L$3)/Tabla54[[#This Row],[Atendidas]],0)</f>
        <v>0</v>
      </c>
      <c r="H1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0" s="21">
        <f>IFERROR(Tabla54[[#This Row],[Atendidas]]/Tabla54[[#This Row],[Recibidas]],0)</f>
        <v>0</v>
      </c>
    </row>
    <row r="151" spans="2:9" x14ac:dyDescent="0.3">
      <c r="B151" s="25">
        <f>+B150</f>
        <v>46207</v>
      </c>
      <c r="C151" s="26">
        <v>2.0833333333333332E-2</v>
      </c>
      <c r="D151" s="19">
        <f>+SUMIFS(Regiones[Ofrecidas],Regiones[Fecha],Tabla54[[#This Row],[Fecha]],Regiones[Intervalo],Tabla54[[#This Row],[Intervalo]],Regiones[Skill],'BUPA Seguros'!$L$3)</f>
        <v>0</v>
      </c>
      <c r="E151" s="19">
        <f>+SUMIFS(Regiones[Contestadas],Regiones[Fecha],Tabla54[[#This Row],[Fecha]],Regiones[Intervalo],Tabla54[[#This Row],[Intervalo]],Regiones[Skill],'BUPA Seguros'!$L$3)</f>
        <v>0</v>
      </c>
      <c r="F151" s="20">
        <v>0</v>
      </c>
      <c r="G151" s="19">
        <f>IFERROR(SUMIFS(Regiones[TMO],Regiones[Fecha],Tabla54[[#This Row],[Fecha]],Regiones[Intervalo],Tabla54[[#This Row],[Intervalo]],Regiones[Skill],'BUPA Seguros'!$L$3)/Tabla54[[#This Row],[Atendidas]],0)</f>
        <v>0</v>
      </c>
      <c r="H1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1" s="21">
        <f>IFERROR(Tabla54[[#This Row],[Atendidas]]/Tabla54[[#This Row],[Recibidas]],0)</f>
        <v>0</v>
      </c>
    </row>
    <row r="152" spans="2:9" x14ac:dyDescent="0.3">
      <c r="B152" s="27">
        <f t="shared" ref="B152:B197" si="14">+B151</f>
        <v>46207</v>
      </c>
      <c r="C152" s="18">
        <v>4.1666666666666699E-2</v>
      </c>
      <c r="D152" s="19">
        <f>+SUMIFS(Regiones[Ofrecidas],Regiones[Fecha],Tabla54[[#This Row],[Fecha]],Regiones[Intervalo],Tabla54[[#This Row],[Intervalo]],Regiones[Skill],'BUPA Seguros'!$L$3)</f>
        <v>0</v>
      </c>
      <c r="E152" s="19">
        <f>+SUMIFS(Regiones[Contestadas],Regiones[Fecha],Tabla54[[#This Row],[Fecha]],Regiones[Intervalo],Tabla54[[#This Row],[Intervalo]],Regiones[Skill],'BUPA Seguros'!$L$3)</f>
        <v>0</v>
      </c>
      <c r="F152" s="20">
        <v>0</v>
      </c>
      <c r="G152" s="19">
        <f>IFERROR(SUMIFS(Regiones[TMO],Regiones[Fecha],Tabla54[[#This Row],[Fecha]],Regiones[Intervalo],Tabla54[[#This Row],[Intervalo]],Regiones[Skill],'BUPA Seguros'!$L$3)/Tabla54[[#This Row],[Atendidas]],0)</f>
        <v>0</v>
      </c>
      <c r="H1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2" s="21">
        <f>IFERROR(Tabla54[[#This Row],[Atendidas]]/Tabla54[[#This Row],[Recibidas]],0)</f>
        <v>0</v>
      </c>
    </row>
    <row r="153" spans="2:9" x14ac:dyDescent="0.3">
      <c r="B153" s="25">
        <f t="shared" si="14"/>
        <v>46207</v>
      </c>
      <c r="C153" s="26">
        <v>6.25E-2</v>
      </c>
      <c r="D153" s="19">
        <f>+SUMIFS(Regiones[Ofrecidas],Regiones[Fecha],Tabla54[[#This Row],[Fecha]],Regiones[Intervalo],Tabla54[[#This Row],[Intervalo]],Regiones[Skill],'BUPA Seguros'!$L$3)</f>
        <v>0</v>
      </c>
      <c r="E153" s="19">
        <f>+SUMIFS(Regiones[Contestadas],Regiones[Fecha],Tabla54[[#This Row],[Fecha]],Regiones[Intervalo],Tabla54[[#This Row],[Intervalo]],Regiones[Skill],'BUPA Seguros'!$L$3)</f>
        <v>0</v>
      </c>
      <c r="F153" s="20">
        <v>0</v>
      </c>
      <c r="G153" s="19">
        <f>IFERROR(SUMIFS(Regiones[TMO],Regiones[Fecha],Tabla54[[#This Row],[Fecha]],Regiones[Intervalo],Tabla54[[#This Row],[Intervalo]],Regiones[Skill],'BUPA Seguros'!$L$3)/Tabla54[[#This Row],[Atendidas]],0)</f>
        <v>0</v>
      </c>
      <c r="H1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3" s="21">
        <f>IFERROR(Tabla54[[#This Row],[Atendidas]]/Tabla54[[#This Row],[Recibidas]],0)</f>
        <v>0</v>
      </c>
    </row>
    <row r="154" spans="2:9" x14ac:dyDescent="0.3">
      <c r="B154" s="27">
        <f t="shared" si="14"/>
        <v>46207</v>
      </c>
      <c r="C154" s="18">
        <v>8.3333333333333301E-2</v>
      </c>
      <c r="D154" s="19">
        <f>+SUMIFS(Regiones[Ofrecidas],Regiones[Fecha],Tabla54[[#This Row],[Fecha]],Regiones[Intervalo],Tabla54[[#This Row],[Intervalo]],Regiones[Skill],'BUPA Seguros'!$L$3)</f>
        <v>0</v>
      </c>
      <c r="E154" s="19">
        <f>+SUMIFS(Regiones[Contestadas],Regiones[Fecha],Tabla54[[#This Row],[Fecha]],Regiones[Intervalo],Tabla54[[#This Row],[Intervalo]],Regiones[Skill],'BUPA Seguros'!$L$3)</f>
        <v>0</v>
      </c>
      <c r="F154" s="20">
        <v>0</v>
      </c>
      <c r="G154" s="19">
        <f>IFERROR(SUMIFS(Regiones[TMO],Regiones[Fecha],Tabla54[[#This Row],[Fecha]],Regiones[Intervalo],Tabla54[[#This Row],[Intervalo]],Regiones[Skill],'BUPA Seguros'!$L$3)/Tabla54[[#This Row],[Atendidas]],0)</f>
        <v>0</v>
      </c>
      <c r="H1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4" s="21">
        <f>IFERROR(Tabla54[[#This Row],[Atendidas]]/Tabla54[[#This Row],[Recibidas]],0)</f>
        <v>0</v>
      </c>
    </row>
    <row r="155" spans="2:9" x14ac:dyDescent="0.3">
      <c r="B155" s="25">
        <f t="shared" si="14"/>
        <v>46207</v>
      </c>
      <c r="C155" s="26">
        <v>0.104166666666667</v>
      </c>
      <c r="D155" s="19">
        <f>+SUMIFS(Regiones[Ofrecidas],Regiones[Fecha],Tabla54[[#This Row],[Fecha]],Regiones[Intervalo],Tabla54[[#This Row],[Intervalo]],Regiones[Skill],'BUPA Seguros'!$L$3)</f>
        <v>0</v>
      </c>
      <c r="E155" s="19">
        <f>+SUMIFS(Regiones[Contestadas],Regiones[Fecha],Tabla54[[#This Row],[Fecha]],Regiones[Intervalo],Tabla54[[#This Row],[Intervalo]],Regiones[Skill],'BUPA Seguros'!$L$3)</f>
        <v>0</v>
      </c>
      <c r="F155" s="20">
        <v>0</v>
      </c>
      <c r="G155" s="19">
        <f>IFERROR(SUMIFS(Regiones[TMO],Regiones[Fecha],Tabla54[[#This Row],[Fecha]],Regiones[Intervalo],Tabla54[[#This Row],[Intervalo]],Regiones[Skill],'BUPA Seguros'!$L$3)/Tabla54[[#This Row],[Atendidas]],0)</f>
        <v>0</v>
      </c>
      <c r="H1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5" s="21">
        <f>IFERROR(Tabla54[[#This Row],[Atendidas]]/Tabla54[[#This Row],[Recibidas]],0)</f>
        <v>0</v>
      </c>
    </row>
    <row r="156" spans="2:9" x14ac:dyDescent="0.3">
      <c r="B156" s="27">
        <f t="shared" si="14"/>
        <v>46207</v>
      </c>
      <c r="C156" s="18">
        <v>0.125</v>
      </c>
      <c r="D156" s="19">
        <f>+SUMIFS(Regiones[Ofrecidas],Regiones[Fecha],Tabla54[[#This Row],[Fecha]],Regiones[Intervalo],Tabla54[[#This Row],[Intervalo]],Regiones[Skill],'BUPA Seguros'!$L$3)</f>
        <v>0</v>
      </c>
      <c r="E156" s="19">
        <f>+SUMIFS(Regiones[Contestadas],Regiones[Fecha],Tabla54[[#This Row],[Fecha]],Regiones[Intervalo],Tabla54[[#This Row],[Intervalo]],Regiones[Skill],'BUPA Seguros'!$L$3)</f>
        <v>0</v>
      </c>
      <c r="F156" s="20">
        <v>0</v>
      </c>
      <c r="G156" s="19">
        <f>IFERROR(SUMIFS(Regiones[TMO],Regiones[Fecha],Tabla54[[#This Row],[Fecha]],Regiones[Intervalo],Tabla54[[#This Row],[Intervalo]],Regiones[Skill],'BUPA Seguros'!$L$3)/Tabla54[[#This Row],[Atendidas]],0)</f>
        <v>0</v>
      </c>
      <c r="H1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6" s="21">
        <f>IFERROR(Tabla54[[#This Row],[Atendidas]]/Tabla54[[#This Row],[Recibidas]],0)</f>
        <v>0</v>
      </c>
    </row>
    <row r="157" spans="2:9" x14ac:dyDescent="0.3">
      <c r="B157" s="25">
        <f t="shared" si="14"/>
        <v>46207</v>
      </c>
      <c r="C157" s="26">
        <v>0.14583333333333301</v>
      </c>
      <c r="D157" s="19">
        <f>+SUMIFS(Regiones[Ofrecidas],Regiones[Fecha],Tabla54[[#This Row],[Fecha]],Regiones[Intervalo],Tabla54[[#This Row],[Intervalo]],Regiones[Skill],'BUPA Seguros'!$L$3)</f>
        <v>0</v>
      </c>
      <c r="E157" s="19">
        <f>+SUMIFS(Regiones[Contestadas],Regiones[Fecha],Tabla54[[#This Row],[Fecha]],Regiones[Intervalo],Tabla54[[#This Row],[Intervalo]],Regiones[Skill],'BUPA Seguros'!$L$3)</f>
        <v>0</v>
      </c>
      <c r="F157" s="20">
        <v>0</v>
      </c>
      <c r="G157" s="19">
        <f>IFERROR(SUMIFS(Regiones[TMO],Regiones[Fecha],Tabla54[[#This Row],[Fecha]],Regiones[Intervalo],Tabla54[[#This Row],[Intervalo]],Regiones[Skill],'BUPA Seguros'!$L$3)/Tabla54[[#This Row],[Atendidas]],0)</f>
        <v>0</v>
      </c>
      <c r="H1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7" s="21">
        <f>IFERROR(Tabla54[[#This Row],[Atendidas]]/Tabla54[[#This Row],[Recibidas]],0)</f>
        <v>0</v>
      </c>
    </row>
    <row r="158" spans="2:9" x14ac:dyDescent="0.3">
      <c r="B158" s="27">
        <f t="shared" si="14"/>
        <v>46207</v>
      </c>
      <c r="C158" s="18">
        <v>0.16666666666666699</v>
      </c>
      <c r="D158" s="19">
        <f>+SUMIFS(Regiones[Ofrecidas],Regiones[Fecha],Tabla54[[#This Row],[Fecha]],Regiones[Intervalo],Tabla54[[#This Row],[Intervalo]],Regiones[Skill],'BUPA Seguros'!$L$3)</f>
        <v>0</v>
      </c>
      <c r="E158" s="19">
        <f>+SUMIFS(Regiones[Contestadas],Regiones[Fecha],Tabla54[[#This Row],[Fecha]],Regiones[Intervalo],Tabla54[[#This Row],[Intervalo]],Regiones[Skill],'BUPA Seguros'!$L$3)</f>
        <v>0</v>
      </c>
      <c r="F158" s="20">
        <v>0</v>
      </c>
      <c r="G158" s="19">
        <f>IFERROR(SUMIFS(Regiones[TMO],Regiones[Fecha],Tabla54[[#This Row],[Fecha]],Regiones[Intervalo],Tabla54[[#This Row],[Intervalo]],Regiones[Skill],'BUPA Seguros'!$L$3)/Tabla54[[#This Row],[Atendidas]],0)</f>
        <v>0</v>
      </c>
      <c r="H1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8" s="21">
        <f>IFERROR(Tabla54[[#This Row],[Atendidas]]/Tabla54[[#This Row],[Recibidas]],0)</f>
        <v>0</v>
      </c>
    </row>
    <row r="159" spans="2:9" x14ac:dyDescent="0.3">
      <c r="B159" s="25">
        <f t="shared" si="14"/>
        <v>46207</v>
      </c>
      <c r="C159" s="26">
        <v>0.1875</v>
      </c>
      <c r="D159" s="19">
        <f>+SUMIFS(Regiones[Ofrecidas],Regiones[Fecha],Tabla54[[#This Row],[Fecha]],Regiones[Intervalo],Tabla54[[#This Row],[Intervalo]],Regiones[Skill],'BUPA Seguros'!$L$3)</f>
        <v>0</v>
      </c>
      <c r="E159" s="19">
        <f>+SUMIFS(Regiones[Contestadas],Regiones[Fecha],Tabla54[[#This Row],[Fecha]],Regiones[Intervalo],Tabla54[[#This Row],[Intervalo]],Regiones[Skill],'BUPA Seguros'!$L$3)</f>
        <v>0</v>
      </c>
      <c r="F159" s="20">
        <v>0</v>
      </c>
      <c r="G159" s="19">
        <f>IFERROR(SUMIFS(Regiones[TMO],Regiones[Fecha],Tabla54[[#This Row],[Fecha]],Regiones[Intervalo],Tabla54[[#This Row],[Intervalo]],Regiones[Skill],'BUPA Seguros'!$L$3)/Tabla54[[#This Row],[Atendidas]],0)</f>
        <v>0</v>
      </c>
      <c r="H1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59" s="21">
        <f>IFERROR(Tabla54[[#This Row],[Atendidas]]/Tabla54[[#This Row],[Recibidas]],0)</f>
        <v>0</v>
      </c>
    </row>
    <row r="160" spans="2:9" x14ac:dyDescent="0.3">
      <c r="B160" s="27">
        <f t="shared" si="14"/>
        <v>46207</v>
      </c>
      <c r="C160" s="18">
        <v>0.20833333333333301</v>
      </c>
      <c r="D160" s="19">
        <f>+SUMIFS(Regiones[Ofrecidas],Regiones[Fecha],Tabla54[[#This Row],[Fecha]],Regiones[Intervalo],Tabla54[[#This Row],[Intervalo]],Regiones[Skill],'BUPA Seguros'!$L$3)</f>
        <v>0</v>
      </c>
      <c r="E160" s="19">
        <f>+SUMIFS(Regiones[Contestadas],Regiones[Fecha],Tabla54[[#This Row],[Fecha]],Regiones[Intervalo],Tabla54[[#This Row],[Intervalo]],Regiones[Skill],'BUPA Seguros'!$L$3)</f>
        <v>0</v>
      </c>
      <c r="F160" s="20">
        <v>0</v>
      </c>
      <c r="G160" s="19">
        <f>IFERROR(SUMIFS(Regiones[TMO],Regiones[Fecha],Tabla54[[#This Row],[Fecha]],Regiones[Intervalo],Tabla54[[#This Row],[Intervalo]],Regiones[Skill],'BUPA Seguros'!$L$3)/Tabla54[[#This Row],[Atendidas]],0)</f>
        <v>0</v>
      </c>
      <c r="H1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0" s="21">
        <f>IFERROR(Tabla54[[#This Row],[Atendidas]]/Tabla54[[#This Row],[Recibidas]],0)</f>
        <v>0</v>
      </c>
    </row>
    <row r="161" spans="2:9" x14ac:dyDescent="0.3">
      <c r="B161" s="25">
        <f t="shared" si="14"/>
        <v>46207</v>
      </c>
      <c r="C161" s="26">
        <v>0.22916666666666699</v>
      </c>
      <c r="D161" s="19">
        <f>+SUMIFS(Regiones[Ofrecidas],Regiones[Fecha],Tabla54[[#This Row],[Fecha]],Regiones[Intervalo],Tabla54[[#This Row],[Intervalo]],Regiones[Skill],'BUPA Seguros'!$L$3)</f>
        <v>0</v>
      </c>
      <c r="E161" s="19">
        <f>+SUMIFS(Regiones[Contestadas],Regiones[Fecha],Tabla54[[#This Row],[Fecha]],Regiones[Intervalo],Tabla54[[#This Row],[Intervalo]],Regiones[Skill],'BUPA Seguros'!$L$3)</f>
        <v>0</v>
      </c>
      <c r="F161" s="20">
        <v>0</v>
      </c>
      <c r="G161" s="19">
        <f>IFERROR(SUMIFS(Regiones[TMO],Regiones[Fecha],Tabla54[[#This Row],[Fecha]],Regiones[Intervalo],Tabla54[[#This Row],[Intervalo]],Regiones[Skill],'BUPA Seguros'!$L$3)/Tabla54[[#This Row],[Atendidas]],0)</f>
        <v>0</v>
      </c>
      <c r="H1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1" s="21">
        <f>IFERROR(Tabla54[[#This Row],[Atendidas]]/Tabla54[[#This Row],[Recibidas]],0)</f>
        <v>0</v>
      </c>
    </row>
    <row r="162" spans="2:9" x14ac:dyDescent="0.3">
      <c r="B162" s="27">
        <f t="shared" si="14"/>
        <v>46207</v>
      </c>
      <c r="C162" s="18">
        <v>0.25</v>
      </c>
      <c r="D162" s="19">
        <f>+SUMIFS(Regiones[Ofrecidas],Regiones[Fecha],Tabla54[[#This Row],[Fecha]],Regiones[Intervalo],Tabla54[[#This Row],[Intervalo]],Regiones[Skill],'BUPA Seguros'!$L$3)</f>
        <v>0</v>
      </c>
      <c r="E162" s="19">
        <f>+SUMIFS(Regiones[Contestadas],Regiones[Fecha],Tabla54[[#This Row],[Fecha]],Regiones[Intervalo],Tabla54[[#This Row],[Intervalo]],Regiones[Skill],'BUPA Seguros'!$L$3)</f>
        <v>0</v>
      </c>
      <c r="F162" s="20">
        <v>0</v>
      </c>
      <c r="G162" s="19">
        <f>IFERROR(SUMIFS(Regiones[TMO],Regiones[Fecha],Tabla54[[#This Row],[Fecha]],Regiones[Intervalo],Tabla54[[#This Row],[Intervalo]],Regiones[Skill],'BUPA Seguros'!$L$3)/Tabla54[[#This Row],[Atendidas]],0)</f>
        <v>0</v>
      </c>
      <c r="H1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2" s="21">
        <f>IFERROR(Tabla54[[#This Row],[Atendidas]]/Tabla54[[#This Row],[Recibidas]],0)</f>
        <v>0</v>
      </c>
    </row>
    <row r="163" spans="2:9" x14ac:dyDescent="0.3">
      <c r="B163" s="25">
        <f t="shared" si="14"/>
        <v>46207</v>
      </c>
      <c r="C163" s="26">
        <v>0.27083333333333298</v>
      </c>
      <c r="D163" s="19">
        <f>+SUMIFS(Regiones[Ofrecidas],Regiones[Fecha],Tabla54[[#This Row],[Fecha]],Regiones[Intervalo],Tabla54[[#This Row],[Intervalo]],Regiones[Skill],'BUPA Seguros'!$L$3)</f>
        <v>0</v>
      </c>
      <c r="E163" s="19">
        <f>+SUMIFS(Regiones[Contestadas],Regiones[Fecha],Tabla54[[#This Row],[Fecha]],Regiones[Intervalo],Tabla54[[#This Row],[Intervalo]],Regiones[Skill],'BUPA Seguros'!$L$3)</f>
        <v>0</v>
      </c>
      <c r="F163" s="20">
        <v>0</v>
      </c>
      <c r="G163" s="19">
        <f>IFERROR(SUMIFS(Regiones[TMO],Regiones[Fecha],Tabla54[[#This Row],[Fecha]],Regiones[Intervalo],Tabla54[[#This Row],[Intervalo]],Regiones[Skill],'BUPA Seguros'!$L$3)/Tabla54[[#This Row],[Atendidas]],0)</f>
        <v>0</v>
      </c>
      <c r="H1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3" s="21">
        <f>IFERROR(Tabla54[[#This Row],[Atendidas]]/Tabla54[[#This Row],[Recibidas]],0)</f>
        <v>0</v>
      </c>
    </row>
    <row r="164" spans="2:9" x14ac:dyDescent="0.3">
      <c r="B164" s="27">
        <f t="shared" si="14"/>
        <v>46207</v>
      </c>
      <c r="C164" s="18">
        <v>0.29166666666666702</v>
      </c>
      <c r="D164" s="19">
        <f>+SUMIFS(Regiones[Ofrecidas],Regiones[Fecha],Tabla54[[#This Row],[Fecha]],Regiones[Intervalo],Tabla54[[#This Row],[Intervalo]],Regiones[Skill],'BUPA Seguros'!$L$3)</f>
        <v>0</v>
      </c>
      <c r="E164" s="19">
        <f>+SUMIFS(Regiones[Contestadas],Regiones[Fecha],Tabla54[[#This Row],[Fecha]],Regiones[Intervalo],Tabla54[[#This Row],[Intervalo]],Regiones[Skill],'BUPA Seguros'!$L$3)</f>
        <v>0</v>
      </c>
      <c r="F164" s="20">
        <v>0</v>
      </c>
      <c r="G164" s="19">
        <f>IFERROR(SUMIFS(Regiones[TMO],Regiones[Fecha],Tabla54[[#This Row],[Fecha]],Regiones[Intervalo],Tabla54[[#This Row],[Intervalo]],Regiones[Skill],'BUPA Seguros'!$L$3)/Tabla54[[#This Row],[Atendidas]],0)</f>
        <v>0</v>
      </c>
      <c r="H1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4" s="21">
        <f>IFERROR(Tabla54[[#This Row],[Atendidas]]/Tabla54[[#This Row],[Recibidas]],0)</f>
        <v>0</v>
      </c>
    </row>
    <row r="165" spans="2:9" x14ac:dyDescent="0.3">
      <c r="B165" s="25">
        <f t="shared" si="14"/>
        <v>46207</v>
      </c>
      <c r="C165" s="26">
        <v>0.3125</v>
      </c>
      <c r="D165" s="19">
        <f>+SUMIFS(Regiones[Ofrecidas],Regiones[Fecha],Tabla54[[#This Row],[Fecha]],Regiones[Intervalo],Tabla54[[#This Row],[Intervalo]],Regiones[Skill],'BUPA Seguros'!$L$3)</f>
        <v>0</v>
      </c>
      <c r="E165" s="19">
        <f>+SUMIFS(Regiones[Contestadas],Regiones[Fecha],Tabla54[[#This Row],[Fecha]],Regiones[Intervalo],Tabla54[[#This Row],[Intervalo]],Regiones[Skill],'BUPA Seguros'!$L$3)</f>
        <v>0</v>
      </c>
      <c r="F165" s="20">
        <v>0</v>
      </c>
      <c r="G165" s="19">
        <f>IFERROR(SUMIFS(Regiones[TMO],Regiones[Fecha],Tabla54[[#This Row],[Fecha]],Regiones[Intervalo],Tabla54[[#This Row],[Intervalo]],Regiones[Skill],'BUPA Seguros'!$L$3)/Tabla54[[#This Row],[Atendidas]],0)</f>
        <v>0</v>
      </c>
      <c r="H1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5" s="21">
        <f>IFERROR(Tabla54[[#This Row],[Atendidas]]/Tabla54[[#This Row],[Recibidas]],0)</f>
        <v>0</v>
      </c>
    </row>
    <row r="166" spans="2:9" x14ac:dyDescent="0.3">
      <c r="B166" s="27">
        <f t="shared" si="14"/>
        <v>46207</v>
      </c>
      <c r="C166" s="18">
        <v>0.33333333333333298</v>
      </c>
      <c r="D166" s="19">
        <f>+SUMIFS(Regiones[Ofrecidas],Regiones[Fecha],Tabla54[[#This Row],[Fecha]],Regiones[Intervalo],Tabla54[[#This Row],[Intervalo]],Regiones[Skill],'BUPA Seguros'!$L$3)</f>
        <v>0</v>
      </c>
      <c r="E166" s="19">
        <f>+SUMIFS(Regiones[Contestadas],Regiones[Fecha],Tabla54[[#This Row],[Fecha]],Regiones[Intervalo],Tabla54[[#This Row],[Intervalo]],Regiones[Skill],'BUPA Seguros'!$L$3)</f>
        <v>0</v>
      </c>
      <c r="F166" s="20">
        <v>0</v>
      </c>
      <c r="G166" s="19">
        <f>IFERROR(SUMIFS(Regiones[TMO],Regiones[Fecha],Tabla54[[#This Row],[Fecha]],Regiones[Intervalo],Tabla54[[#This Row],[Intervalo]],Regiones[Skill],'BUPA Seguros'!$L$3)/Tabla54[[#This Row],[Atendidas]],0)</f>
        <v>0</v>
      </c>
      <c r="H1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6" s="21">
        <f>IFERROR(Tabla54[[#This Row],[Atendidas]]/Tabla54[[#This Row],[Recibidas]],0)</f>
        <v>0</v>
      </c>
    </row>
    <row r="167" spans="2:9" x14ac:dyDescent="0.3">
      <c r="B167" s="25">
        <f t="shared" si="14"/>
        <v>46207</v>
      </c>
      <c r="C167" s="26">
        <v>0.35416666666666702</v>
      </c>
      <c r="D167" s="19">
        <f>+SUMIFS(Regiones[Ofrecidas],Regiones[Fecha],Tabla54[[#This Row],[Fecha]],Regiones[Intervalo],Tabla54[[#This Row],[Intervalo]],Regiones[Skill],'BUPA Seguros'!$L$3)</f>
        <v>0</v>
      </c>
      <c r="E167" s="19">
        <f>+SUMIFS(Regiones[Contestadas],Regiones[Fecha],Tabla54[[#This Row],[Fecha]],Regiones[Intervalo],Tabla54[[#This Row],[Intervalo]],Regiones[Skill],'BUPA Seguros'!$L$3)</f>
        <v>0</v>
      </c>
      <c r="F167" s="20">
        <v>0</v>
      </c>
      <c r="G167" s="19">
        <f>IFERROR(SUMIFS(Regiones[TMO],Regiones[Fecha],Tabla54[[#This Row],[Fecha]],Regiones[Intervalo],Tabla54[[#This Row],[Intervalo]],Regiones[Skill],'BUPA Seguros'!$L$3)/Tabla54[[#This Row],[Atendidas]],0)</f>
        <v>0</v>
      </c>
      <c r="H1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7" s="21">
        <f>IFERROR(Tabla54[[#This Row],[Atendidas]]/Tabla54[[#This Row],[Recibidas]],0)</f>
        <v>0</v>
      </c>
    </row>
    <row r="168" spans="2:9" x14ac:dyDescent="0.3">
      <c r="B168" s="27">
        <f t="shared" si="14"/>
        <v>46207</v>
      </c>
      <c r="C168" s="18">
        <v>0.375</v>
      </c>
      <c r="D168" s="19">
        <f>+SUMIFS(Regiones[Ofrecidas],Regiones[Fecha],Tabla54[[#This Row],[Fecha]],Regiones[Intervalo],Tabla54[[#This Row],[Intervalo]],Regiones[Skill],'BUPA Seguros'!$L$3)</f>
        <v>0</v>
      </c>
      <c r="E168" s="19">
        <f>+SUMIFS(Regiones[Contestadas],Regiones[Fecha],Tabla54[[#This Row],[Fecha]],Regiones[Intervalo],Tabla54[[#This Row],[Intervalo]],Regiones[Skill],'BUPA Seguros'!$L$3)</f>
        <v>0</v>
      </c>
      <c r="F168" s="20">
        <v>0</v>
      </c>
      <c r="G168" s="19">
        <f>IFERROR(SUMIFS(Regiones[TMO],Regiones[Fecha],Tabla54[[#This Row],[Fecha]],Regiones[Intervalo],Tabla54[[#This Row],[Intervalo]],Regiones[Skill],'BUPA Seguros'!$L$3)/Tabla54[[#This Row],[Atendidas]],0)</f>
        <v>0</v>
      </c>
      <c r="H1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8" s="21">
        <f>IFERROR(Tabla54[[#This Row],[Atendidas]]/Tabla54[[#This Row],[Recibidas]],0)</f>
        <v>0</v>
      </c>
    </row>
    <row r="169" spans="2:9" x14ac:dyDescent="0.3">
      <c r="B169" s="25">
        <f t="shared" si="14"/>
        <v>46207</v>
      </c>
      <c r="C169" s="26">
        <v>0.39583333333333298</v>
      </c>
      <c r="D169" s="19">
        <f>+SUMIFS(Regiones[Ofrecidas],Regiones[Fecha],Tabla54[[#This Row],[Fecha]],Regiones[Intervalo],Tabla54[[#This Row],[Intervalo]],Regiones[Skill],'BUPA Seguros'!$L$3)</f>
        <v>0</v>
      </c>
      <c r="E169" s="19">
        <f>+SUMIFS(Regiones[Contestadas],Regiones[Fecha],Tabla54[[#This Row],[Fecha]],Regiones[Intervalo],Tabla54[[#This Row],[Intervalo]],Regiones[Skill],'BUPA Seguros'!$L$3)</f>
        <v>0</v>
      </c>
      <c r="F169" s="20">
        <v>0</v>
      </c>
      <c r="G169" s="19">
        <f>IFERROR(SUMIFS(Regiones[TMO],Regiones[Fecha],Tabla54[[#This Row],[Fecha]],Regiones[Intervalo],Tabla54[[#This Row],[Intervalo]],Regiones[Skill],'BUPA Seguros'!$L$3)/Tabla54[[#This Row],[Atendidas]],0)</f>
        <v>0</v>
      </c>
      <c r="H1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69" s="21">
        <f>IFERROR(Tabla54[[#This Row],[Atendidas]]/Tabla54[[#This Row],[Recibidas]],0)</f>
        <v>0</v>
      </c>
    </row>
    <row r="170" spans="2:9" x14ac:dyDescent="0.3">
      <c r="B170" s="27">
        <f t="shared" si="14"/>
        <v>46207</v>
      </c>
      <c r="C170" s="18">
        <v>0.41666666666666702</v>
      </c>
      <c r="D170" s="19">
        <f>+SUMIFS(Regiones[Ofrecidas],Regiones[Fecha],Tabla54[[#This Row],[Fecha]],Regiones[Intervalo],Tabla54[[#This Row],[Intervalo]],Regiones[Skill],'BUPA Seguros'!$L$3)</f>
        <v>0</v>
      </c>
      <c r="E170" s="19">
        <f>+SUMIFS(Regiones[Contestadas],Regiones[Fecha],Tabla54[[#This Row],[Fecha]],Regiones[Intervalo],Tabla54[[#This Row],[Intervalo]],Regiones[Skill],'BUPA Seguros'!$L$3)</f>
        <v>0</v>
      </c>
      <c r="F170" s="20">
        <v>0</v>
      </c>
      <c r="G170" s="19">
        <f>IFERROR(SUMIFS(Regiones[TMO],Regiones[Fecha],Tabla54[[#This Row],[Fecha]],Regiones[Intervalo],Tabla54[[#This Row],[Intervalo]],Regiones[Skill],'BUPA Seguros'!$L$3)/Tabla54[[#This Row],[Atendidas]],0)</f>
        <v>0</v>
      </c>
      <c r="H1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0" s="21">
        <f>IFERROR(Tabla54[[#This Row],[Atendidas]]/Tabla54[[#This Row],[Recibidas]],0)</f>
        <v>0</v>
      </c>
    </row>
    <row r="171" spans="2:9" x14ac:dyDescent="0.3">
      <c r="B171" s="25">
        <f t="shared" si="14"/>
        <v>46207</v>
      </c>
      <c r="C171" s="26">
        <v>0.4375</v>
      </c>
      <c r="D171" s="19">
        <f>+SUMIFS(Regiones[Ofrecidas],Regiones[Fecha],Tabla54[[#This Row],[Fecha]],Regiones[Intervalo],Tabla54[[#This Row],[Intervalo]],Regiones[Skill],'BUPA Seguros'!$L$3)</f>
        <v>0</v>
      </c>
      <c r="E171" s="19">
        <f>+SUMIFS(Regiones[Contestadas],Regiones[Fecha],Tabla54[[#This Row],[Fecha]],Regiones[Intervalo],Tabla54[[#This Row],[Intervalo]],Regiones[Skill],'BUPA Seguros'!$L$3)</f>
        <v>0</v>
      </c>
      <c r="F171" s="20">
        <v>0</v>
      </c>
      <c r="G171" s="19">
        <f>IFERROR(SUMIFS(Regiones[TMO],Regiones[Fecha],Tabla54[[#This Row],[Fecha]],Regiones[Intervalo],Tabla54[[#This Row],[Intervalo]],Regiones[Skill],'BUPA Seguros'!$L$3)/Tabla54[[#This Row],[Atendidas]],0)</f>
        <v>0</v>
      </c>
      <c r="H1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1" s="21">
        <f>IFERROR(Tabla54[[#This Row],[Atendidas]]/Tabla54[[#This Row],[Recibidas]],0)</f>
        <v>0</v>
      </c>
    </row>
    <row r="172" spans="2:9" x14ac:dyDescent="0.3">
      <c r="B172" s="27">
        <f t="shared" si="14"/>
        <v>46207</v>
      </c>
      <c r="C172" s="18">
        <v>0.45833333333333298</v>
      </c>
      <c r="D172" s="19">
        <f>+SUMIFS(Regiones[Ofrecidas],Regiones[Fecha],Tabla54[[#This Row],[Fecha]],Regiones[Intervalo],Tabla54[[#This Row],[Intervalo]],Regiones[Skill],'BUPA Seguros'!$L$3)</f>
        <v>1</v>
      </c>
      <c r="E172" s="19">
        <f>+SUMIFS(Regiones[Contestadas],Regiones[Fecha],Tabla54[[#This Row],[Fecha]],Regiones[Intervalo],Tabla54[[#This Row],[Intervalo]],Regiones[Skill],'BUPA Seguros'!$L$3)</f>
        <v>0</v>
      </c>
      <c r="F172" s="20">
        <v>0</v>
      </c>
      <c r="G172" s="19">
        <f>IFERROR(SUMIFS(Regiones[TMO],Regiones[Fecha],Tabla54[[#This Row],[Fecha]],Regiones[Intervalo],Tabla54[[#This Row],[Intervalo]],Regiones[Skill],'BUPA Seguros'!$L$3)/Tabla54[[#This Row],[Atendidas]],0)</f>
        <v>0</v>
      </c>
      <c r="H1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2" s="21">
        <f>IFERROR(Tabla54[[#This Row],[Atendidas]]/Tabla54[[#This Row],[Recibidas]],0)</f>
        <v>0</v>
      </c>
    </row>
    <row r="173" spans="2:9" x14ac:dyDescent="0.3">
      <c r="B173" s="25">
        <f t="shared" si="14"/>
        <v>46207</v>
      </c>
      <c r="C173" s="26">
        <v>0.47916666666666702</v>
      </c>
      <c r="D173" s="19">
        <f>+SUMIFS(Regiones[Ofrecidas],Regiones[Fecha],Tabla54[[#This Row],[Fecha]],Regiones[Intervalo],Tabla54[[#This Row],[Intervalo]],Regiones[Skill],'BUPA Seguros'!$L$3)</f>
        <v>2</v>
      </c>
      <c r="E173" s="19">
        <f>+SUMIFS(Regiones[Contestadas],Regiones[Fecha],Tabla54[[#This Row],[Fecha]],Regiones[Intervalo],Tabla54[[#This Row],[Intervalo]],Regiones[Skill],'BUPA Seguros'!$L$3)</f>
        <v>0</v>
      </c>
      <c r="F173" s="20">
        <v>0</v>
      </c>
      <c r="G173" s="19">
        <f>IFERROR(SUMIFS(Regiones[TMO],Regiones[Fecha],Tabla54[[#This Row],[Fecha]],Regiones[Intervalo],Tabla54[[#This Row],[Intervalo]],Regiones[Skill],'BUPA Seguros'!$L$3)/Tabla54[[#This Row],[Atendidas]],0)</f>
        <v>0</v>
      </c>
      <c r="H1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3" s="21">
        <f>IFERROR(Tabla54[[#This Row],[Atendidas]]/Tabla54[[#This Row],[Recibidas]],0)</f>
        <v>0</v>
      </c>
    </row>
    <row r="174" spans="2:9" x14ac:dyDescent="0.3">
      <c r="B174" s="27">
        <f t="shared" si="14"/>
        <v>46207</v>
      </c>
      <c r="C174" s="18">
        <v>0.5</v>
      </c>
      <c r="D174" s="19">
        <f>+SUMIFS(Regiones[Ofrecidas],Regiones[Fecha],Tabla54[[#This Row],[Fecha]],Regiones[Intervalo],Tabla54[[#This Row],[Intervalo]],Regiones[Skill],'BUPA Seguros'!$L$3)</f>
        <v>1</v>
      </c>
      <c r="E174" s="19">
        <f>+SUMIFS(Regiones[Contestadas],Regiones[Fecha],Tabla54[[#This Row],[Fecha]],Regiones[Intervalo],Tabla54[[#This Row],[Intervalo]],Regiones[Skill],'BUPA Seguros'!$L$3)</f>
        <v>0</v>
      </c>
      <c r="F174" s="20">
        <v>0</v>
      </c>
      <c r="G174" s="19">
        <f>IFERROR(SUMIFS(Regiones[TMO],Regiones[Fecha],Tabla54[[#This Row],[Fecha]],Regiones[Intervalo],Tabla54[[#This Row],[Intervalo]],Regiones[Skill],'BUPA Seguros'!$L$3)/Tabla54[[#This Row],[Atendidas]],0)</f>
        <v>0</v>
      </c>
      <c r="H1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4" s="21">
        <f>IFERROR(Tabla54[[#This Row],[Atendidas]]/Tabla54[[#This Row],[Recibidas]],0)</f>
        <v>0</v>
      </c>
    </row>
    <row r="175" spans="2:9" x14ac:dyDescent="0.3">
      <c r="B175" s="25">
        <f t="shared" si="14"/>
        <v>46207</v>
      </c>
      <c r="C175" s="26">
        <v>0.52083333333333304</v>
      </c>
      <c r="D175" s="19">
        <f>+SUMIFS(Regiones[Ofrecidas],Regiones[Fecha],Tabla54[[#This Row],[Fecha]],Regiones[Intervalo],Tabla54[[#This Row],[Intervalo]],Regiones[Skill],'BUPA Seguros'!$L$3)</f>
        <v>2</v>
      </c>
      <c r="E175" s="19">
        <f>+SUMIFS(Regiones[Contestadas],Regiones[Fecha],Tabla54[[#This Row],[Fecha]],Regiones[Intervalo],Tabla54[[#This Row],[Intervalo]],Regiones[Skill],'BUPA Seguros'!$L$3)</f>
        <v>0</v>
      </c>
      <c r="F175" s="20">
        <v>0</v>
      </c>
      <c r="G175" s="19">
        <f>IFERROR(SUMIFS(Regiones[TMO],Regiones[Fecha],Tabla54[[#This Row],[Fecha]],Regiones[Intervalo],Tabla54[[#This Row],[Intervalo]],Regiones[Skill],'BUPA Seguros'!$L$3)/Tabla54[[#This Row],[Atendidas]],0)</f>
        <v>0</v>
      </c>
      <c r="H1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5" s="21">
        <f>IFERROR(Tabla54[[#This Row],[Atendidas]]/Tabla54[[#This Row],[Recibidas]],0)</f>
        <v>0</v>
      </c>
    </row>
    <row r="176" spans="2:9" x14ac:dyDescent="0.3">
      <c r="B176" s="27">
        <f t="shared" si="14"/>
        <v>46207</v>
      </c>
      <c r="C176" s="18">
        <v>0.54166666666666696</v>
      </c>
      <c r="D176" s="19">
        <f>+SUMIFS(Regiones[Ofrecidas],Regiones[Fecha],Tabla54[[#This Row],[Fecha]],Regiones[Intervalo],Tabla54[[#This Row],[Intervalo]],Regiones[Skill],'BUPA Seguros'!$L$3)</f>
        <v>1</v>
      </c>
      <c r="E176" s="19">
        <f>+SUMIFS(Regiones[Contestadas],Regiones[Fecha],Tabla54[[#This Row],[Fecha]],Regiones[Intervalo],Tabla54[[#This Row],[Intervalo]],Regiones[Skill],'BUPA Seguros'!$L$3)</f>
        <v>0</v>
      </c>
      <c r="F176" s="20">
        <v>0</v>
      </c>
      <c r="G176" s="19">
        <f>IFERROR(SUMIFS(Regiones[TMO],Regiones[Fecha],Tabla54[[#This Row],[Fecha]],Regiones[Intervalo],Tabla54[[#This Row],[Intervalo]],Regiones[Skill],'BUPA Seguros'!$L$3)/Tabla54[[#This Row],[Atendidas]],0)</f>
        <v>0</v>
      </c>
      <c r="H1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6" s="21">
        <f>IFERROR(Tabla54[[#This Row],[Atendidas]]/Tabla54[[#This Row],[Recibidas]],0)</f>
        <v>0</v>
      </c>
    </row>
    <row r="177" spans="2:9" x14ac:dyDescent="0.3">
      <c r="B177" s="25">
        <f t="shared" si="14"/>
        <v>46207</v>
      </c>
      <c r="C177" s="26">
        <v>0.5625</v>
      </c>
      <c r="D177" s="19">
        <f>+SUMIFS(Regiones[Ofrecidas],Regiones[Fecha],Tabla54[[#This Row],[Fecha]],Regiones[Intervalo],Tabla54[[#This Row],[Intervalo]],Regiones[Skill],'BUPA Seguros'!$L$3)</f>
        <v>1</v>
      </c>
      <c r="E177" s="19">
        <f>+SUMIFS(Regiones[Contestadas],Regiones[Fecha],Tabla54[[#This Row],[Fecha]],Regiones[Intervalo],Tabla54[[#This Row],[Intervalo]],Regiones[Skill],'BUPA Seguros'!$L$3)</f>
        <v>0</v>
      </c>
      <c r="F177" s="20">
        <v>0</v>
      </c>
      <c r="G177" s="19">
        <f>IFERROR(SUMIFS(Regiones[TMO],Regiones[Fecha],Tabla54[[#This Row],[Fecha]],Regiones[Intervalo],Tabla54[[#This Row],[Intervalo]],Regiones[Skill],'BUPA Seguros'!$L$3)/Tabla54[[#This Row],[Atendidas]],0)</f>
        <v>0</v>
      </c>
      <c r="H1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7" s="21">
        <f>IFERROR(Tabla54[[#This Row],[Atendidas]]/Tabla54[[#This Row],[Recibidas]],0)</f>
        <v>0</v>
      </c>
    </row>
    <row r="178" spans="2:9" x14ac:dyDescent="0.3">
      <c r="B178" s="27">
        <f t="shared" si="14"/>
        <v>46207</v>
      </c>
      <c r="C178" s="18">
        <v>0.58333333333333304</v>
      </c>
      <c r="D178" s="19">
        <f>+SUMIFS(Regiones[Ofrecidas],Regiones[Fecha],Tabla54[[#This Row],[Fecha]],Regiones[Intervalo],Tabla54[[#This Row],[Intervalo]],Regiones[Skill],'BUPA Seguros'!$L$3)</f>
        <v>0</v>
      </c>
      <c r="E178" s="19">
        <f>+SUMIFS(Regiones[Contestadas],Regiones[Fecha],Tabla54[[#This Row],[Fecha]],Regiones[Intervalo],Tabla54[[#This Row],[Intervalo]],Regiones[Skill],'BUPA Seguros'!$L$3)</f>
        <v>0</v>
      </c>
      <c r="F178" s="20">
        <v>0</v>
      </c>
      <c r="G178" s="19">
        <f>IFERROR(SUMIFS(Regiones[TMO],Regiones[Fecha],Tabla54[[#This Row],[Fecha]],Regiones[Intervalo],Tabla54[[#This Row],[Intervalo]],Regiones[Skill],'BUPA Seguros'!$L$3)/Tabla54[[#This Row],[Atendidas]],0)</f>
        <v>0</v>
      </c>
      <c r="H1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8" s="21">
        <f>IFERROR(Tabla54[[#This Row],[Atendidas]]/Tabla54[[#This Row],[Recibidas]],0)</f>
        <v>0</v>
      </c>
    </row>
    <row r="179" spans="2:9" x14ac:dyDescent="0.3">
      <c r="B179" s="25">
        <f t="shared" si="14"/>
        <v>46207</v>
      </c>
      <c r="C179" s="26">
        <v>0.60416666666666696</v>
      </c>
      <c r="D179" s="19">
        <f>+SUMIFS(Regiones[Ofrecidas],Regiones[Fecha],Tabla54[[#This Row],[Fecha]],Regiones[Intervalo],Tabla54[[#This Row],[Intervalo]],Regiones[Skill],'BUPA Seguros'!$L$3)</f>
        <v>0</v>
      </c>
      <c r="E179" s="19">
        <f>+SUMIFS(Regiones[Contestadas],Regiones[Fecha],Tabla54[[#This Row],[Fecha]],Regiones[Intervalo],Tabla54[[#This Row],[Intervalo]],Regiones[Skill],'BUPA Seguros'!$L$3)</f>
        <v>0</v>
      </c>
      <c r="F179" s="20">
        <v>0</v>
      </c>
      <c r="G179" s="19">
        <f>IFERROR(SUMIFS(Regiones[TMO],Regiones[Fecha],Tabla54[[#This Row],[Fecha]],Regiones[Intervalo],Tabla54[[#This Row],[Intervalo]],Regiones[Skill],'BUPA Seguros'!$L$3)/Tabla54[[#This Row],[Atendidas]],0)</f>
        <v>0</v>
      </c>
      <c r="H1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79" s="21">
        <f>IFERROR(Tabla54[[#This Row],[Atendidas]]/Tabla54[[#This Row],[Recibidas]],0)</f>
        <v>0</v>
      </c>
    </row>
    <row r="180" spans="2:9" x14ac:dyDescent="0.3">
      <c r="B180" s="27">
        <f t="shared" si="14"/>
        <v>46207</v>
      </c>
      <c r="C180" s="18">
        <v>0.625</v>
      </c>
      <c r="D180" s="19">
        <f>+SUMIFS(Regiones[Ofrecidas],Regiones[Fecha],Tabla54[[#This Row],[Fecha]],Regiones[Intervalo],Tabla54[[#This Row],[Intervalo]],Regiones[Skill],'BUPA Seguros'!$L$3)</f>
        <v>0</v>
      </c>
      <c r="E180" s="19">
        <f>+SUMIFS(Regiones[Contestadas],Regiones[Fecha],Tabla54[[#This Row],[Fecha]],Regiones[Intervalo],Tabla54[[#This Row],[Intervalo]],Regiones[Skill],'BUPA Seguros'!$L$3)</f>
        <v>0</v>
      </c>
      <c r="F180" s="20">
        <v>0</v>
      </c>
      <c r="G180" s="19">
        <f>IFERROR(SUMIFS(Regiones[TMO],Regiones[Fecha],Tabla54[[#This Row],[Fecha]],Regiones[Intervalo],Tabla54[[#This Row],[Intervalo]],Regiones[Skill],'BUPA Seguros'!$L$3)/Tabla54[[#This Row],[Atendidas]],0)</f>
        <v>0</v>
      </c>
      <c r="H1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0" s="21">
        <f>IFERROR(Tabla54[[#This Row],[Atendidas]]/Tabla54[[#This Row],[Recibidas]],0)</f>
        <v>0</v>
      </c>
    </row>
    <row r="181" spans="2:9" x14ac:dyDescent="0.3">
      <c r="B181" s="25">
        <f t="shared" si="14"/>
        <v>46207</v>
      </c>
      <c r="C181" s="26">
        <v>0.64583333333333304</v>
      </c>
      <c r="D181" s="19">
        <f>+SUMIFS(Regiones[Ofrecidas],Regiones[Fecha],Tabla54[[#This Row],[Fecha]],Regiones[Intervalo],Tabla54[[#This Row],[Intervalo]],Regiones[Skill],'BUPA Seguros'!$L$3)</f>
        <v>0</v>
      </c>
      <c r="E181" s="19">
        <f>+SUMIFS(Regiones[Contestadas],Regiones[Fecha],Tabla54[[#This Row],[Fecha]],Regiones[Intervalo],Tabla54[[#This Row],[Intervalo]],Regiones[Skill],'BUPA Seguros'!$L$3)</f>
        <v>0</v>
      </c>
      <c r="F181" s="20">
        <v>0</v>
      </c>
      <c r="G181" s="19">
        <f>IFERROR(SUMIFS(Regiones[TMO],Regiones[Fecha],Tabla54[[#This Row],[Fecha]],Regiones[Intervalo],Tabla54[[#This Row],[Intervalo]],Regiones[Skill],'BUPA Seguros'!$L$3)/Tabla54[[#This Row],[Atendidas]],0)</f>
        <v>0</v>
      </c>
      <c r="H1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1" s="21">
        <f>IFERROR(Tabla54[[#This Row],[Atendidas]]/Tabla54[[#This Row],[Recibidas]],0)</f>
        <v>0</v>
      </c>
    </row>
    <row r="182" spans="2:9" x14ac:dyDescent="0.3">
      <c r="B182" s="27">
        <f t="shared" si="14"/>
        <v>46207</v>
      </c>
      <c r="C182" s="18">
        <v>0.66666666666666696</v>
      </c>
      <c r="D182" s="19">
        <f>+SUMIFS(Regiones[Ofrecidas],Regiones[Fecha],Tabla54[[#This Row],[Fecha]],Regiones[Intervalo],Tabla54[[#This Row],[Intervalo]],Regiones[Skill],'BUPA Seguros'!$L$3)</f>
        <v>0</v>
      </c>
      <c r="E182" s="19">
        <f>+SUMIFS(Regiones[Contestadas],Regiones[Fecha],Tabla54[[#This Row],[Fecha]],Regiones[Intervalo],Tabla54[[#This Row],[Intervalo]],Regiones[Skill],'BUPA Seguros'!$L$3)</f>
        <v>0</v>
      </c>
      <c r="F182" s="20">
        <v>0</v>
      </c>
      <c r="G182" s="19">
        <f>IFERROR(SUMIFS(Regiones[TMO],Regiones[Fecha],Tabla54[[#This Row],[Fecha]],Regiones[Intervalo],Tabla54[[#This Row],[Intervalo]],Regiones[Skill],'BUPA Seguros'!$L$3)/Tabla54[[#This Row],[Atendidas]],0)</f>
        <v>0</v>
      </c>
      <c r="H1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2" s="21">
        <f>IFERROR(Tabla54[[#This Row],[Atendidas]]/Tabla54[[#This Row],[Recibidas]],0)</f>
        <v>0</v>
      </c>
    </row>
    <row r="183" spans="2:9" x14ac:dyDescent="0.3">
      <c r="B183" s="25">
        <f t="shared" si="14"/>
        <v>46207</v>
      </c>
      <c r="C183" s="26">
        <v>0.6875</v>
      </c>
      <c r="D183" s="19">
        <f>+SUMIFS(Regiones[Ofrecidas],Regiones[Fecha],Tabla54[[#This Row],[Fecha]],Regiones[Intervalo],Tabla54[[#This Row],[Intervalo]],Regiones[Skill],'BUPA Seguros'!$L$3)</f>
        <v>0</v>
      </c>
      <c r="E183" s="19">
        <f>+SUMIFS(Regiones[Contestadas],Regiones[Fecha],Tabla54[[#This Row],[Fecha]],Regiones[Intervalo],Tabla54[[#This Row],[Intervalo]],Regiones[Skill],'BUPA Seguros'!$L$3)</f>
        <v>0</v>
      </c>
      <c r="F183" s="20">
        <v>0</v>
      </c>
      <c r="G183" s="19">
        <f>IFERROR(SUMIFS(Regiones[TMO],Regiones[Fecha],Tabla54[[#This Row],[Fecha]],Regiones[Intervalo],Tabla54[[#This Row],[Intervalo]],Regiones[Skill],'BUPA Seguros'!$L$3)/Tabla54[[#This Row],[Atendidas]],0)</f>
        <v>0</v>
      </c>
      <c r="H1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3" s="21">
        <f>IFERROR(Tabla54[[#This Row],[Atendidas]]/Tabla54[[#This Row],[Recibidas]],0)</f>
        <v>0</v>
      </c>
    </row>
    <row r="184" spans="2:9" x14ac:dyDescent="0.3">
      <c r="B184" s="27">
        <f t="shared" si="14"/>
        <v>46207</v>
      </c>
      <c r="C184" s="18">
        <v>0.70833333333333304</v>
      </c>
      <c r="D184" s="19">
        <f>+SUMIFS(Regiones[Ofrecidas],Regiones[Fecha],Tabla54[[#This Row],[Fecha]],Regiones[Intervalo],Tabla54[[#This Row],[Intervalo]],Regiones[Skill],'BUPA Seguros'!$L$3)</f>
        <v>0</v>
      </c>
      <c r="E184" s="19">
        <f>+SUMIFS(Regiones[Contestadas],Regiones[Fecha],Tabla54[[#This Row],[Fecha]],Regiones[Intervalo],Tabla54[[#This Row],[Intervalo]],Regiones[Skill],'BUPA Seguros'!$L$3)</f>
        <v>0</v>
      </c>
      <c r="F184" s="20">
        <v>0</v>
      </c>
      <c r="G184" s="19">
        <f>IFERROR(SUMIFS(Regiones[TMO],Regiones[Fecha],Tabla54[[#This Row],[Fecha]],Regiones[Intervalo],Tabla54[[#This Row],[Intervalo]],Regiones[Skill],'BUPA Seguros'!$L$3)/Tabla54[[#This Row],[Atendidas]],0)</f>
        <v>0</v>
      </c>
      <c r="H1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4" s="21">
        <f>IFERROR(Tabla54[[#This Row],[Atendidas]]/Tabla54[[#This Row],[Recibidas]],0)</f>
        <v>0</v>
      </c>
    </row>
    <row r="185" spans="2:9" x14ac:dyDescent="0.3">
      <c r="B185" s="25">
        <f t="shared" si="14"/>
        <v>46207</v>
      </c>
      <c r="C185" s="26">
        <v>0.72916666666666696</v>
      </c>
      <c r="D185" s="19">
        <f>+SUMIFS(Regiones[Ofrecidas],Regiones[Fecha],Tabla54[[#This Row],[Fecha]],Regiones[Intervalo],Tabla54[[#This Row],[Intervalo]],Regiones[Skill],'BUPA Seguros'!$L$3)</f>
        <v>0</v>
      </c>
      <c r="E185" s="19">
        <f>+SUMIFS(Regiones[Contestadas],Regiones[Fecha],Tabla54[[#This Row],[Fecha]],Regiones[Intervalo],Tabla54[[#This Row],[Intervalo]],Regiones[Skill],'BUPA Seguros'!$L$3)</f>
        <v>0</v>
      </c>
      <c r="F185" s="20">
        <v>0</v>
      </c>
      <c r="G185" s="19">
        <f>IFERROR(SUMIFS(Regiones[TMO],Regiones[Fecha],Tabla54[[#This Row],[Fecha]],Regiones[Intervalo],Tabla54[[#This Row],[Intervalo]],Regiones[Skill],'BUPA Seguros'!$L$3)/Tabla54[[#This Row],[Atendidas]],0)</f>
        <v>0</v>
      </c>
      <c r="H1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5" s="21">
        <f>IFERROR(Tabla54[[#This Row],[Atendidas]]/Tabla54[[#This Row],[Recibidas]],0)</f>
        <v>0</v>
      </c>
    </row>
    <row r="186" spans="2:9" x14ac:dyDescent="0.3">
      <c r="B186" s="27">
        <f t="shared" si="14"/>
        <v>46207</v>
      </c>
      <c r="C186" s="18">
        <v>0.75</v>
      </c>
      <c r="D186" s="19">
        <f>+SUMIFS(Regiones[Ofrecidas],Regiones[Fecha],Tabla54[[#This Row],[Fecha]],Regiones[Intervalo],Tabla54[[#This Row],[Intervalo]],Regiones[Skill],'BUPA Seguros'!$L$3)</f>
        <v>0</v>
      </c>
      <c r="E186" s="19">
        <f>+SUMIFS(Regiones[Contestadas],Regiones[Fecha],Tabla54[[#This Row],[Fecha]],Regiones[Intervalo],Tabla54[[#This Row],[Intervalo]],Regiones[Skill],'BUPA Seguros'!$L$3)</f>
        <v>0</v>
      </c>
      <c r="F186" s="20">
        <v>0</v>
      </c>
      <c r="G186" s="19">
        <f>IFERROR(SUMIFS(Regiones[TMO],Regiones[Fecha],Tabla54[[#This Row],[Fecha]],Regiones[Intervalo],Tabla54[[#This Row],[Intervalo]],Regiones[Skill],'BUPA Seguros'!$L$3)/Tabla54[[#This Row],[Atendidas]],0)</f>
        <v>0</v>
      </c>
      <c r="H1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6" s="21">
        <f>IFERROR(Tabla54[[#This Row],[Atendidas]]/Tabla54[[#This Row],[Recibidas]],0)</f>
        <v>0</v>
      </c>
    </row>
    <row r="187" spans="2:9" x14ac:dyDescent="0.3">
      <c r="B187" s="25">
        <f t="shared" si="14"/>
        <v>46207</v>
      </c>
      <c r="C187" s="26">
        <v>0.77083333333333304</v>
      </c>
      <c r="D187" s="19">
        <f>+SUMIFS(Regiones[Ofrecidas],Regiones[Fecha],Tabla54[[#This Row],[Fecha]],Regiones[Intervalo],Tabla54[[#This Row],[Intervalo]],Regiones[Skill],'BUPA Seguros'!$L$3)</f>
        <v>0</v>
      </c>
      <c r="E187" s="19">
        <f>+SUMIFS(Regiones[Contestadas],Regiones[Fecha],Tabla54[[#This Row],[Fecha]],Regiones[Intervalo],Tabla54[[#This Row],[Intervalo]],Regiones[Skill],'BUPA Seguros'!$L$3)</f>
        <v>0</v>
      </c>
      <c r="F187" s="20">
        <v>0</v>
      </c>
      <c r="G187" s="19">
        <f>IFERROR(SUMIFS(Regiones[TMO],Regiones[Fecha],Tabla54[[#This Row],[Fecha]],Regiones[Intervalo],Tabla54[[#This Row],[Intervalo]],Regiones[Skill],'BUPA Seguros'!$L$3)/Tabla54[[#This Row],[Atendidas]],0)</f>
        <v>0</v>
      </c>
      <c r="H1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7" s="21">
        <f>IFERROR(Tabla54[[#This Row],[Atendidas]]/Tabla54[[#This Row],[Recibidas]],0)</f>
        <v>0</v>
      </c>
    </row>
    <row r="188" spans="2:9" x14ac:dyDescent="0.3">
      <c r="B188" s="27">
        <f t="shared" si="14"/>
        <v>46207</v>
      </c>
      <c r="C188" s="18">
        <v>0.79166666666666696</v>
      </c>
      <c r="D188" s="19">
        <f>+SUMIFS(Regiones[Ofrecidas],Regiones[Fecha],Tabla54[[#This Row],[Fecha]],Regiones[Intervalo],Tabla54[[#This Row],[Intervalo]],Regiones[Skill],'BUPA Seguros'!$L$3)</f>
        <v>0</v>
      </c>
      <c r="E188" s="19">
        <f>+SUMIFS(Regiones[Contestadas],Regiones[Fecha],Tabla54[[#This Row],[Fecha]],Regiones[Intervalo],Tabla54[[#This Row],[Intervalo]],Regiones[Skill],'BUPA Seguros'!$L$3)</f>
        <v>0</v>
      </c>
      <c r="F188" s="20">
        <v>0</v>
      </c>
      <c r="G188" s="19">
        <f>IFERROR(SUMIFS(Regiones[TMO],Regiones[Fecha],Tabla54[[#This Row],[Fecha]],Regiones[Intervalo],Tabla54[[#This Row],[Intervalo]],Regiones[Skill],'BUPA Seguros'!$L$3)/Tabla54[[#This Row],[Atendidas]],0)</f>
        <v>0</v>
      </c>
      <c r="H1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8" s="21">
        <f>IFERROR(Tabla54[[#This Row],[Atendidas]]/Tabla54[[#This Row],[Recibidas]],0)</f>
        <v>0</v>
      </c>
    </row>
    <row r="189" spans="2:9" x14ac:dyDescent="0.3">
      <c r="B189" s="25">
        <f t="shared" si="14"/>
        <v>46207</v>
      </c>
      <c r="C189" s="26">
        <v>0.8125</v>
      </c>
      <c r="D189" s="19">
        <f>+SUMIFS(Regiones[Ofrecidas],Regiones[Fecha],Tabla54[[#This Row],[Fecha]],Regiones[Intervalo],Tabla54[[#This Row],[Intervalo]],Regiones[Skill],'BUPA Seguros'!$L$3)</f>
        <v>0</v>
      </c>
      <c r="E189" s="19">
        <f>+SUMIFS(Regiones[Contestadas],Regiones[Fecha],Tabla54[[#This Row],[Fecha]],Regiones[Intervalo],Tabla54[[#This Row],[Intervalo]],Regiones[Skill],'BUPA Seguros'!$L$3)</f>
        <v>0</v>
      </c>
      <c r="F189" s="20">
        <v>0</v>
      </c>
      <c r="G189" s="19">
        <f>IFERROR(SUMIFS(Regiones[TMO],Regiones[Fecha],Tabla54[[#This Row],[Fecha]],Regiones[Intervalo],Tabla54[[#This Row],[Intervalo]],Regiones[Skill],'BUPA Seguros'!$L$3)/Tabla54[[#This Row],[Atendidas]],0)</f>
        <v>0</v>
      </c>
      <c r="H1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89" s="21">
        <f>IFERROR(Tabla54[[#This Row],[Atendidas]]/Tabla54[[#This Row],[Recibidas]],0)</f>
        <v>0</v>
      </c>
    </row>
    <row r="190" spans="2:9" x14ac:dyDescent="0.3">
      <c r="B190" s="27">
        <f t="shared" si="14"/>
        <v>46207</v>
      </c>
      <c r="C190" s="18">
        <v>0.83333333333333304</v>
      </c>
      <c r="D190" s="19">
        <f>+SUMIFS(Regiones[Ofrecidas],Regiones[Fecha],Tabla54[[#This Row],[Fecha]],Regiones[Intervalo],Tabla54[[#This Row],[Intervalo]],Regiones[Skill],'BUPA Seguros'!$L$3)</f>
        <v>0</v>
      </c>
      <c r="E190" s="19">
        <f>+SUMIFS(Regiones[Contestadas],Regiones[Fecha],Tabla54[[#This Row],[Fecha]],Regiones[Intervalo],Tabla54[[#This Row],[Intervalo]],Regiones[Skill],'BUPA Seguros'!$L$3)</f>
        <v>0</v>
      </c>
      <c r="F190" s="20">
        <v>0</v>
      </c>
      <c r="G190" s="19">
        <f>IFERROR(SUMIFS(Regiones[TMO],Regiones[Fecha],Tabla54[[#This Row],[Fecha]],Regiones[Intervalo],Tabla54[[#This Row],[Intervalo]],Regiones[Skill],'BUPA Seguros'!$L$3)/Tabla54[[#This Row],[Atendidas]],0)</f>
        <v>0</v>
      </c>
      <c r="H1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0" s="21">
        <f>IFERROR(Tabla54[[#This Row],[Atendidas]]/Tabla54[[#This Row],[Recibidas]],0)</f>
        <v>0</v>
      </c>
    </row>
    <row r="191" spans="2:9" x14ac:dyDescent="0.3">
      <c r="B191" s="25">
        <f t="shared" si="14"/>
        <v>46207</v>
      </c>
      <c r="C191" s="26">
        <v>0.85416666666666696</v>
      </c>
      <c r="D191" s="19">
        <f>+SUMIFS(Regiones[Ofrecidas],Regiones[Fecha],Tabla54[[#This Row],[Fecha]],Regiones[Intervalo],Tabla54[[#This Row],[Intervalo]],Regiones[Skill],'BUPA Seguros'!$L$3)</f>
        <v>0</v>
      </c>
      <c r="E191" s="19">
        <f>+SUMIFS(Regiones[Contestadas],Regiones[Fecha],Tabla54[[#This Row],[Fecha]],Regiones[Intervalo],Tabla54[[#This Row],[Intervalo]],Regiones[Skill],'BUPA Seguros'!$L$3)</f>
        <v>0</v>
      </c>
      <c r="F191" s="20">
        <v>0</v>
      </c>
      <c r="G191" s="19">
        <f>IFERROR(SUMIFS(Regiones[TMO],Regiones[Fecha],Tabla54[[#This Row],[Fecha]],Regiones[Intervalo],Tabla54[[#This Row],[Intervalo]],Regiones[Skill],'BUPA Seguros'!$L$3)/Tabla54[[#This Row],[Atendidas]],0)</f>
        <v>0</v>
      </c>
      <c r="H1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1" s="21">
        <f>IFERROR(Tabla54[[#This Row],[Atendidas]]/Tabla54[[#This Row],[Recibidas]],0)</f>
        <v>0</v>
      </c>
    </row>
    <row r="192" spans="2:9" x14ac:dyDescent="0.3">
      <c r="B192" s="27">
        <f t="shared" si="14"/>
        <v>46207</v>
      </c>
      <c r="C192" s="18">
        <v>0.875</v>
      </c>
      <c r="D192" s="19">
        <f>+SUMIFS(Regiones[Ofrecidas],Regiones[Fecha],Tabla54[[#This Row],[Fecha]],Regiones[Intervalo],Tabla54[[#This Row],[Intervalo]],Regiones[Skill],'BUPA Seguros'!$L$3)</f>
        <v>0</v>
      </c>
      <c r="E192" s="19">
        <f>+SUMIFS(Regiones[Contestadas],Regiones[Fecha],Tabla54[[#This Row],[Fecha]],Regiones[Intervalo],Tabla54[[#This Row],[Intervalo]],Regiones[Skill],'BUPA Seguros'!$L$3)</f>
        <v>0</v>
      </c>
      <c r="F192" s="20">
        <v>0</v>
      </c>
      <c r="G192" s="19">
        <f>IFERROR(SUMIFS(Regiones[TMO],Regiones[Fecha],Tabla54[[#This Row],[Fecha]],Regiones[Intervalo],Tabla54[[#This Row],[Intervalo]],Regiones[Skill],'BUPA Seguros'!$L$3)/Tabla54[[#This Row],[Atendidas]],0)</f>
        <v>0</v>
      </c>
      <c r="H1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2" s="21">
        <f>IFERROR(Tabla54[[#This Row],[Atendidas]]/Tabla54[[#This Row],[Recibidas]],0)</f>
        <v>0</v>
      </c>
    </row>
    <row r="193" spans="2:9" x14ac:dyDescent="0.3">
      <c r="B193" s="25">
        <f t="shared" si="14"/>
        <v>46207</v>
      </c>
      <c r="C193" s="26">
        <v>0.89583333333333304</v>
      </c>
      <c r="D193" s="19">
        <f>+SUMIFS(Regiones[Ofrecidas],Regiones[Fecha],Tabla54[[#This Row],[Fecha]],Regiones[Intervalo],Tabla54[[#This Row],[Intervalo]],Regiones[Skill],'BUPA Seguros'!$L$3)</f>
        <v>0</v>
      </c>
      <c r="E193" s="19">
        <f>+SUMIFS(Regiones[Contestadas],Regiones[Fecha],Tabla54[[#This Row],[Fecha]],Regiones[Intervalo],Tabla54[[#This Row],[Intervalo]],Regiones[Skill],'BUPA Seguros'!$L$3)</f>
        <v>0</v>
      </c>
      <c r="F193" s="20">
        <v>0</v>
      </c>
      <c r="G193" s="19">
        <f>IFERROR(SUMIFS(Regiones[TMO],Regiones[Fecha],Tabla54[[#This Row],[Fecha]],Regiones[Intervalo],Tabla54[[#This Row],[Intervalo]],Regiones[Skill],'BUPA Seguros'!$L$3)/Tabla54[[#This Row],[Atendidas]],0)</f>
        <v>0</v>
      </c>
      <c r="H1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3" s="21">
        <f>IFERROR(Tabla54[[#This Row],[Atendidas]]/Tabla54[[#This Row],[Recibidas]],0)</f>
        <v>0</v>
      </c>
    </row>
    <row r="194" spans="2:9" x14ac:dyDescent="0.3">
      <c r="B194" s="27">
        <f t="shared" si="14"/>
        <v>46207</v>
      </c>
      <c r="C194" s="18">
        <v>0.91666666666666696</v>
      </c>
      <c r="D194" s="19">
        <f>+SUMIFS(Regiones[Ofrecidas],Regiones[Fecha],Tabla54[[#This Row],[Fecha]],Regiones[Intervalo],Tabla54[[#This Row],[Intervalo]],Regiones[Skill],'BUPA Seguros'!$L$3)</f>
        <v>0</v>
      </c>
      <c r="E194" s="19">
        <f>+SUMIFS(Regiones[Contestadas],Regiones[Fecha],Tabla54[[#This Row],[Fecha]],Regiones[Intervalo],Tabla54[[#This Row],[Intervalo]],Regiones[Skill],'BUPA Seguros'!$L$3)</f>
        <v>0</v>
      </c>
      <c r="F194" s="20">
        <v>0</v>
      </c>
      <c r="G194" s="19">
        <f>IFERROR(SUMIFS(Regiones[TMO],Regiones[Fecha],Tabla54[[#This Row],[Fecha]],Regiones[Intervalo],Tabla54[[#This Row],[Intervalo]],Regiones[Skill],'BUPA Seguros'!$L$3)/Tabla54[[#This Row],[Atendidas]],0)</f>
        <v>0</v>
      </c>
      <c r="H1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4" s="21">
        <f>IFERROR(Tabla54[[#This Row],[Atendidas]]/Tabla54[[#This Row],[Recibidas]],0)</f>
        <v>0</v>
      </c>
    </row>
    <row r="195" spans="2:9" x14ac:dyDescent="0.3">
      <c r="B195" s="25">
        <f t="shared" si="14"/>
        <v>46207</v>
      </c>
      <c r="C195" s="26">
        <v>0.9375</v>
      </c>
      <c r="D195" s="19">
        <f>+SUMIFS(Regiones[Ofrecidas],Regiones[Fecha],Tabla54[[#This Row],[Fecha]],Regiones[Intervalo],Tabla54[[#This Row],[Intervalo]],Regiones[Skill],'BUPA Seguros'!$L$3)</f>
        <v>0</v>
      </c>
      <c r="E195" s="19">
        <f>+SUMIFS(Regiones[Contestadas],Regiones[Fecha],Tabla54[[#This Row],[Fecha]],Regiones[Intervalo],Tabla54[[#This Row],[Intervalo]],Regiones[Skill],'BUPA Seguros'!$L$3)</f>
        <v>0</v>
      </c>
      <c r="F195" s="20">
        <v>0</v>
      </c>
      <c r="G195" s="19">
        <f>IFERROR(SUMIFS(Regiones[TMO],Regiones[Fecha],Tabla54[[#This Row],[Fecha]],Regiones[Intervalo],Tabla54[[#This Row],[Intervalo]],Regiones[Skill],'BUPA Seguros'!$L$3)/Tabla54[[#This Row],[Atendidas]],0)</f>
        <v>0</v>
      </c>
      <c r="H1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5" s="21">
        <f>IFERROR(Tabla54[[#This Row],[Atendidas]]/Tabla54[[#This Row],[Recibidas]],0)</f>
        <v>0</v>
      </c>
    </row>
    <row r="196" spans="2:9" x14ac:dyDescent="0.3">
      <c r="B196" s="27">
        <f t="shared" si="14"/>
        <v>46207</v>
      </c>
      <c r="C196" s="18">
        <v>0.95833333333333304</v>
      </c>
      <c r="D196" s="19">
        <f>+SUMIFS(Regiones[Ofrecidas],Regiones[Fecha],Tabla54[[#This Row],[Fecha]],Regiones[Intervalo],Tabla54[[#This Row],[Intervalo]],Regiones[Skill],'BUPA Seguros'!$L$3)</f>
        <v>0</v>
      </c>
      <c r="E196" s="19">
        <f>+SUMIFS(Regiones[Contestadas],Regiones[Fecha],Tabla54[[#This Row],[Fecha]],Regiones[Intervalo],Tabla54[[#This Row],[Intervalo]],Regiones[Skill],'BUPA Seguros'!$L$3)</f>
        <v>0</v>
      </c>
      <c r="F196" s="20">
        <v>0</v>
      </c>
      <c r="G196" s="19">
        <f>IFERROR(SUMIFS(Regiones[TMO],Regiones[Fecha],Tabla54[[#This Row],[Fecha]],Regiones[Intervalo],Tabla54[[#This Row],[Intervalo]],Regiones[Skill],'BUPA Seguros'!$L$3)/Tabla54[[#This Row],[Atendidas]],0)</f>
        <v>0</v>
      </c>
      <c r="H1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6" s="21">
        <f>IFERROR(Tabla54[[#This Row],[Atendidas]]/Tabla54[[#This Row],[Recibidas]],0)</f>
        <v>0</v>
      </c>
    </row>
    <row r="197" spans="2:9" x14ac:dyDescent="0.3">
      <c r="B197" s="25">
        <f t="shared" si="14"/>
        <v>46207</v>
      </c>
      <c r="C197" s="26">
        <v>0.97916666666666696</v>
      </c>
      <c r="D197" s="19">
        <f>+SUMIFS(Regiones[Ofrecidas],Regiones[Fecha],Tabla54[[#This Row],[Fecha]],Regiones[Intervalo],Tabla54[[#This Row],[Intervalo]],Regiones[Skill],'BUPA Seguros'!$L$3)</f>
        <v>0</v>
      </c>
      <c r="E197" s="19">
        <f>+SUMIFS(Regiones[Contestadas],Regiones[Fecha],Tabla54[[#This Row],[Fecha]],Regiones[Intervalo],Tabla54[[#This Row],[Intervalo]],Regiones[Skill],'BUPA Seguros'!$L$3)</f>
        <v>0</v>
      </c>
      <c r="F197" s="20">
        <v>0</v>
      </c>
      <c r="G197" s="19">
        <f>IFERROR(SUMIFS(Regiones[TMO],Regiones[Fecha],Tabla54[[#This Row],[Fecha]],Regiones[Intervalo],Tabla54[[#This Row],[Intervalo]],Regiones[Skill],'BUPA Seguros'!$L$3)/Tabla54[[#This Row],[Atendidas]],0)</f>
        <v>0</v>
      </c>
      <c r="H1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7" s="21">
        <f>IFERROR(Tabla54[[#This Row],[Atendidas]]/Tabla54[[#This Row],[Recibidas]],0)</f>
        <v>0</v>
      </c>
    </row>
    <row r="198" spans="2:9" x14ac:dyDescent="0.3">
      <c r="B198" s="27">
        <f>+B197+1</f>
        <v>46208</v>
      </c>
      <c r="C198" s="18">
        <v>0</v>
      </c>
      <c r="D198" s="19">
        <f>+SUMIFS(Regiones[Ofrecidas],Regiones[Fecha],Tabla54[[#This Row],[Fecha]],Regiones[Intervalo],Tabla54[[#This Row],[Intervalo]],Regiones[Skill],'BUPA Seguros'!$L$3)</f>
        <v>0</v>
      </c>
      <c r="E198" s="19">
        <f>+SUMIFS(Regiones[Contestadas],Regiones[Fecha],Tabla54[[#This Row],[Fecha]],Regiones[Intervalo],Tabla54[[#This Row],[Intervalo]],Regiones[Skill],'BUPA Seguros'!$L$3)</f>
        <v>0</v>
      </c>
      <c r="F198" s="20">
        <v>0</v>
      </c>
      <c r="G198" s="19">
        <f>IFERROR(SUMIFS(Regiones[TMO],Regiones[Fecha],Tabla54[[#This Row],[Fecha]],Regiones[Intervalo],Tabla54[[#This Row],[Intervalo]],Regiones[Skill],'BUPA Seguros'!$L$3)/Tabla54[[#This Row],[Atendidas]],0)</f>
        <v>0</v>
      </c>
      <c r="H1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8" s="21">
        <f>IFERROR(Tabla54[[#This Row],[Atendidas]]/Tabla54[[#This Row],[Recibidas]],0)</f>
        <v>0</v>
      </c>
    </row>
    <row r="199" spans="2:9" x14ac:dyDescent="0.3">
      <c r="B199" s="25">
        <f>+B198</f>
        <v>46208</v>
      </c>
      <c r="C199" s="26">
        <v>2.0833333333333332E-2</v>
      </c>
      <c r="D199" s="19">
        <f>+SUMIFS(Regiones[Ofrecidas],Regiones[Fecha],Tabla54[[#This Row],[Fecha]],Regiones[Intervalo],Tabla54[[#This Row],[Intervalo]],Regiones[Skill],'BUPA Seguros'!$L$3)</f>
        <v>0</v>
      </c>
      <c r="E199" s="19">
        <f>+SUMIFS(Regiones[Contestadas],Regiones[Fecha],Tabla54[[#This Row],[Fecha]],Regiones[Intervalo],Tabla54[[#This Row],[Intervalo]],Regiones[Skill],'BUPA Seguros'!$L$3)</f>
        <v>0</v>
      </c>
      <c r="F199" s="20">
        <v>0</v>
      </c>
      <c r="G199" s="19">
        <f>IFERROR(SUMIFS(Regiones[TMO],Regiones[Fecha],Tabla54[[#This Row],[Fecha]],Regiones[Intervalo],Tabla54[[#This Row],[Intervalo]],Regiones[Skill],'BUPA Seguros'!$L$3)/Tabla54[[#This Row],[Atendidas]],0)</f>
        <v>0</v>
      </c>
      <c r="H1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99" s="21">
        <f>IFERROR(Tabla54[[#This Row],[Atendidas]]/Tabla54[[#This Row],[Recibidas]],0)</f>
        <v>0</v>
      </c>
    </row>
    <row r="200" spans="2:9" x14ac:dyDescent="0.3">
      <c r="B200" s="27">
        <f t="shared" ref="B200:B245" si="15">+B199</f>
        <v>46208</v>
      </c>
      <c r="C200" s="18">
        <v>4.1666666666666699E-2</v>
      </c>
      <c r="D200" s="19">
        <f>+SUMIFS(Regiones[Ofrecidas],Regiones[Fecha],Tabla54[[#This Row],[Fecha]],Regiones[Intervalo],Tabla54[[#This Row],[Intervalo]],Regiones[Skill],'BUPA Seguros'!$L$3)</f>
        <v>0</v>
      </c>
      <c r="E200" s="19">
        <f>+SUMIFS(Regiones[Contestadas],Regiones[Fecha],Tabla54[[#This Row],[Fecha]],Regiones[Intervalo],Tabla54[[#This Row],[Intervalo]],Regiones[Skill],'BUPA Seguros'!$L$3)</f>
        <v>0</v>
      </c>
      <c r="F200" s="20">
        <v>0</v>
      </c>
      <c r="G200" s="19">
        <f>IFERROR(SUMIFS(Regiones[TMO],Regiones[Fecha],Tabla54[[#This Row],[Fecha]],Regiones[Intervalo],Tabla54[[#This Row],[Intervalo]],Regiones[Skill],'BUPA Seguros'!$L$3)/Tabla54[[#This Row],[Atendidas]],0)</f>
        <v>0</v>
      </c>
      <c r="H2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0" s="21">
        <f>IFERROR(Tabla54[[#This Row],[Atendidas]]/Tabla54[[#This Row],[Recibidas]],0)</f>
        <v>0</v>
      </c>
    </row>
    <row r="201" spans="2:9" x14ac:dyDescent="0.3">
      <c r="B201" s="25">
        <f t="shared" si="15"/>
        <v>46208</v>
      </c>
      <c r="C201" s="26">
        <v>6.25E-2</v>
      </c>
      <c r="D201" s="19">
        <f>+SUMIFS(Regiones[Ofrecidas],Regiones[Fecha],Tabla54[[#This Row],[Fecha]],Regiones[Intervalo],Tabla54[[#This Row],[Intervalo]],Regiones[Skill],'BUPA Seguros'!$L$3)</f>
        <v>0</v>
      </c>
      <c r="E201" s="19">
        <f>+SUMIFS(Regiones[Contestadas],Regiones[Fecha],Tabla54[[#This Row],[Fecha]],Regiones[Intervalo],Tabla54[[#This Row],[Intervalo]],Regiones[Skill],'BUPA Seguros'!$L$3)</f>
        <v>0</v>
      </c>
      <c r="F201" s="20">
        <v>0</v>
      </c>
      <c r="G201" s="19">
        <f>IFERROR(SUMIFS(Regiones[TMO],Regiones[Fecha],Tabla54[[#This Row],[Fecha]],Regiones[Intervalo],Tabla54[[#This Row],[Intervalo]],Regiones[Skill],'BUPA Seguros'!$L$3)/Tabla54[[#This Row],[Atendidas]],0)</f>
        <v>0</v>
      </c>
      <c r="H2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1" s="21">
        <f>IFERROR(Tabla54[[#This Row],[Atendidas]]/Tabla54[[#This Row],[Recibidas]],0)</f>
        <v>0</v>
      </c>
    </row>
    <row r="202" spans="2:9" x14ac:dyDescent="0.3">
      <c r="B202" s="27">
        <f t="shared" si="15"/>
        <v>46208</v>
      </c>
      <c r="C202" s="18">
        <v>8.3333333333333301E-2</v>
      </c>
      <c r="D202" s="19">
        <f>+SUMIFS(Regiones[Ofrecidas],Regiones[Fecha],Tabla54[[#This Row],[Fecha]],Regiones[Intervalo],Tabla54[[#This Row],[Intervalo]],Regiones[Skill],'BUPA Seguros'!$L$3)</f>
        <v>0</v>
      </c>
      <c r="E202" s="19">
        <f>+SUMIFS(Regiones[Contestadas],Regiones[Fecha],Tabla54[[#This Row],[Fecha]],Regiones[Intervalo],Tabla54[[#This Row],[Intervalo]],Regiones[Skill],'BUPA Seguros'!$L$3)</f>
        <v>0</v>
      </c>
      <c r="F202" s="20">
        <v>0</v>
      </c>
      <c r="G202" s="19">
        <f>IFERROR(SUMIFS(Regiones[TMO],Regiones[Fecha],Tabla54[[#This Row],[Fecha]],Regiones[Intervalo],Tabla54[[#This Row],[Intervalo]],Regiones[Skill],'BUPA Seguros'!$L$3)/Tabla54[[#This Row],[Atendidas]],0)</f>
        <v>0</v>
      </c>
      <c r="H2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2" s="21">
        <f>IFERROR(Tabla54[[#This Row],[Atendidas]]/Tabla54[[#This Row],[Recibidas]],0)</f>
        <v>0</v>
      </c>
    </row>
    <row r="203" spans="2:9" x14ac:dyDescent="0.3">
      <c r="B203" s="25">
        <f t="shared" si="15"/>
        <v>46208</v>
      </c>
      <c r="C203" s="26">
        <v>0.104166666666667</v>
      </c>
      <c r="D203" s="19">
        <f>+SUMIFS(Regiones[Ofrecidas],Regiones[Fecha],Tabla54[[#This Row],[Fecha]],Regiones[Intervalo],Tabla54[[#This Row],[Intervalo]],Regiones[Skill],'BUPA Seguros'!$L$3)</f>
        <v>0</v>
      </c>
      <c r="E203" s="19">
        <f>+SUMIFS(Regiones[Contestadas],Regiones[Fecha],Tabla54[[#This Row],[Fecha]],Regiones[Intervalo],Tabla54[[#This Row],[Intervalo]],Regiones[Skill],'BUPA Seguros'!$L$3)</f>
        <v>0</v>
      </c>
      <c r="F203" s="20">
        <v>0</v>
      </c>
      <c r="G203" s="19">
        <f>IFERROR(SUMIFS(Regiones[TMO],Regiones[Fecha],Tabla54[[#This Row],[Fecha]],Regiones[Intervalo],Tabla54[[#This Row],[Intervalo]],Regiones[Skill],'BUPA Seguros'!$L$3)/Tabla54[[#This Row],[Atendidas]],0)</f>
        <v>0</v>
      </c>
      <c r="H2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3" s="21">
        <f>IFERROR(Tabla54[[#This Row],[Atendidas]]/Tabla54[[#This Row],[Recibidas]],0)</f>
        <v>0</v>
      </c>
    </row>
    <row r="204" spans="2:9" x14ac:dyDescent="0.3">
      <c r="B204" s="27">
        <f t="shared" si="15"/>
        <v>46208</v>
      </c>
      <c r="C204" s="18">
        <v>0.125</v>
      </c>
      <c r="D204" s="19">
        <f>+SUMIFS(Regiones[Ofrecidas],Regiones[Fecha],Tabla54[[#This Row],[Fecha]],Regiones[Intervalo],Tabla54[[#This Row],[Intervalo]],Regiones[Skill],'BUPA Seguros'!$L$3)</f>
        <v>0</v>
      </c>
      <c r="E204" s="19">
        <f>+SUMIFS(Regiones[Contestadas],Regiones[Fecha],Tabla54[[#This Row],[Fecha]],Regiones[Intervalo],Tabla54[[#This Row],[Intervalo]],Regiones[Skill],'BUPA Seguros'!$L$3)</f>
        <v>0</v>
      </c>
      <c r="F204" s="20">
        <v>0</v>
      </c>
      <c r="G204" s="19">
        <f>IFERROR(SUMIFS(Regiones[TMO],Regiones[Fecha],Tabla54[[#This Row],[Fecha]],Regiones[Intervalo],Tabla54[[#This Row],[Intervalo]],Regiones[Skill],'BUPA Seguros'!$L$3)/Tabla54[[#This Row],[Atendidas]],0)</f>
        <v>0</v>
      </c>
      <c r="H2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4" s="21">
        <f>IFERROR(Tabla54[[#This Row],[Atendidas]]/Tabla54[[#This Row],[Recibidas]],0)</f>
        <v>0</v>
      </c>
    </row>
    <row r="205" spans="2:9" x14ac:dyDescent="0.3">
      <c r="B205" s="25">
        <f t="shared" si="15"/>
        <v>46208</v>
      </c>
      <c r="C205" s="26">
        <v>0.14583333333333301</v>
      </c>
      <c r="D205" s="19">
        <f>+SUMIFS(Regiones[Ofrecidas],Regiones[Fecha],Tabla54[[#This Row],[Fecha]],Regiones[Intervalo],Tabla54[[#This Row],[Intervalo]],Regiones[Skill],'BUPA Seguros'!$L$3)</f>
        <v>0</v>
      </c>
      <c r="E205" s="19">
        <f>+SUMIFS(Regiones[Contestadas],Regiones[Fecha],Tabla54[[#This Row],[Fecha]],Regiones[Intervalo],Tabla54[[#This Row],[Intervalo]],Regiones[Skill],'BUPA Seguros'!$L$3)</f>
        <v>0</v>
      </c>
      <c r="F205" s="20">
        <v>0</v>
      </c>
      <c r="G205" s="19">
        <f>IFERROR(SUMIFS(Regiones[TMO],Regiones[Fecha],Tabla54[[#This Row],[Fecha]],Regiones[Intervalo],Tabla54[[#This Row],[Intervalo]],Regiones[Skill],'BUPA Seguros'!$L$3)/Tabla54[[#This Row],[Atendidas]],0)</f>
        <v>0</v>
      </c>
      <c r="H2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5" s="21">
        <f>IFERROR(Tabla54[[#This Row],[Atendidas]]/Tabla54[[#This Row],[Recibidas]],0)</f>
        <v>0</v>
      </c>
    </row>
    <row r="206" spans="2:9" x14ac:dyDescent="0.3">
      <c r="B206" s="27">
        <f t="shared" si="15"/>
        <v>46208</v>
      </c>
      <c r="C206" s="18">
        <v>0.16666666666666699</v>
      </c>
      <c r="D206" s="19">
        <f>+SUMIFS(Regiones[Ofrecidas],Regiones[Fecha],Tabla54[[#This Row],[Fecha]],Regiones[Intervalo],Tabla54[[#This Row],[Intervalo]],Regiones[Skill],'BUPA Seguros'!$L$3)</f>
        <v>0</v>
      </c>
      <c r="E206" s="19">
        <f>+SUMIFS(Regiones[Contestadas],Regiones[Fecha],Tabla54[[#This Row],[Fecha]],Regiones[Intervalo],Tabla54[[#This Row],[Intervalo]],Regiones[Skill],'BUPA Seguros'!$L$3)</f>
        <v>0</v>
      </c>
      <c r="F206" s="20">
        <v>0</v>
      </c>
      <c r="G206" s="19">
        <f>IFERROR(SUMIFS(Regiones[TMO],Regiones[Fecha],Tabla54[[#This Row],[Fecha]],Regiones[Intervalo],Tabla54[[#This Row],[Intervalo]],Regiones[Skill],'BUPA Seguros'!$L$3)/Tabla54[[#This Row],[Atendidas]],0)</f>
        <v>0</v>
      </c>
      <c r="H2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6" s="21">
        <f>IFERROR(Tabla54[[#This Row],[Atendidas]]/Tabla54[[#This Row],[Recibidas]],0)</f>
        <v>0</v>
      </c>
    </row>
    <row r="207" spans="2:9" x14ac:dyDescent="0.3">
      <c r="B207" s="25">
        <f t="shared" si="15"/>
        <v>46208</v>
      </c>
      <c r="C207" s="26">
        <v>0.1875</v>
      </c>
      <c r="D207" s="19">
        <f>+SUMIFS(Regiones[Ofrecidas],Regiones[Fecha],Tabla54[[#This Row],[Fecha]],Regiones[Intervalo],Tabla54[[#This Row],[Intervalo]],Regiones[Skill],'BUPA Seguros'!$L$3)</f>
        <v>0</v>
      </c>
      <c r="E207" s="19">
        <f>+SUMIFS(Regiones[Contestadas],Regiones[Fecha],Tabla54[[#This Row],[Fecha]],Regiones[Intervalo],Tabla54[[#This Row],[Intervalo]],Regiones[Skill],'BUPA Seguros'!$L$3)</f>
        <v>0</v>
      </c>
      <c r="F207" s="20">
        <v>0</v>
      </c>
      <c r="G207" s="19">
        <f>IFERROR(SUMIFS(Regiones[TMO],Regiones[Fecha],Tabla54[[#This Row],[Fecha]],Regiones[Intervalo],Tabla54[[#This Row],[Intervalo]],Regiones[Skill],'BUPA Seguros'!$L$3)/Tabla54[[#This Row],[Atendidas]],0)</f>
        <v>0</v>
      </c>
      <c r="H2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7" s="21">
        <f>IFERROR(Tabla54[[#This Row],[Atendidas]]/Tabla54[[#This Row],[Recibidas]],0)</f>
        <v>0</v>
      </c>
    </row>
    <row r="208" spans="2:9" x14ac:dyDescent="0.3">
      <c r="B208" s="27">
        <f t="shared" si="15"/>
        <v>46208</v>
      </c>
      <c r="C208" s="18">
        <v>0.20833333333333301</v>
      </c>
      <c r="D208" s="19">
        <f>+SUMIFS(Regiones[Ofrecidas],Regiones[Fecha],Tabla54[[#This Row],[Fecha]],Regiones[Intervalo],Tabla54[[#This Row],[Intervalo]],Regiones[Skill],'BUPA Seguros'!$L$3)</f>
        <v>0</v>
      </c>
      <c r="E208" s="19">
        <f>+SUMIFS(Regiones[Contestadas],Regiones[Fecha],Tabla54[[#This Row],[Fecha]],Regiones[Intervalo],Tabla54[[#This Row],[Intervalo]],Regiones[Skill],'BUPA Seguros'!$L$3)</f>
        <v>0</v>
      </c>
      <c r="F208" s="20">
        <v>0</v>
      </c>
      <c r="G208" s="19">
        <f>IFERROR(SUMIFS(Regiones[TMO],Regiones[Fecha],Tabla54[[#This Row],[Fecha]],Regiones[Intervalo],Tabla54[[#This Row],[Intervalo]],Regiones[Skill],'BUPA Seguros'!$L$3)/Tabla54[[#This Row],[Atendidas]],0)</f>
        <v>0</v>
      </c>
      <c r="H2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8" s="21">
        <f>IFERROR(Tabla54[[#This Row],[Atendidas]]/Tabla54[[#This Row],[Recibidas]],0)</f>
        <v>0</v>
      </c>
    </row>
    <row r="209" spans="2:9" x14ac:dyDescent="0.3">
      <c r="B209" s="25">
        <f t="shared" si="15"/>
        <v>46208</v>
      </c>
      <c r="C209" s="26">
        <v>0.22916666666666699</v>
      </c>
      <c r="D209" s="19">
        <f>+SUMIFS(Regiones[Ofrecidas],Regiones[Fecha],Tabla54[[#This Row],[Fecha]],Regiones[Intervalo],Tabla54[[#This Row],[Intervalo]],Regiones[Skill],'BUPA Seguros'!$L$3)</f>
        <v>0</v>
      </c>
      <c r="E209" s="19">
        <f>+SUMIFS(Regiones[Contestadas],Regiones[Fecha],Tabla54[[#This Row],[Fecha]],Regiones[Intervalo],Tabla54[[#This Row],[Intervalo]],Regiones[Skill],'BUPA Seguros'!$L$3)</f>
        <v>0</v>
      </c>
      <c r="F209" s="20">
        <v>0</v>
      </c>
      <c r="G209" s="19">
        <f>IFERROR(SUMIFS(Regiones[TMO],Regiones[Fecha],Tabla54[[#This Row],[Fecha]],Regiones[Intervalo],Tabla54[[#This Row],[Intervalo]],Regiones[Skill],'BUPA Seguros'!$L$3)/Tabla54[[#This Row],[Atendidas]],0)</f>
        <v>0</v>
      </c>
      <c r="H2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09" s="21">
        <f>IFERROR(Tabla54[[#This Row],[Atendidas]]/Tabla54[[#This Row],[Recibidas]],0)</f>
        <v>0</v>
      </c>
    </row>
    <row r="210" spans="2:9" x14ac:dyDescent="0.3">
      <c r="B210" s="27">
        <f t="shared" si="15"/>
        <v>46208</v>
      </c>
      <c r="C210" s="18">
        <v>0.25</v>
      </c>
      <c r="D210" s="19">
        <f>+SUMIFS(Regiones[Ofrecidas],Regiones[Fecha],Tabla54[[#This Row],[Fecha]],Regiones[Intervalo],Tabla54[[#This Row],[Intervalo]],Regiones[Skill],'BUPA Seguros'!$L$3)</f>
        <v>0</v>
      </c>
      <c r="E210" s="19">
        <f>+SUMIFS(Regiones[Contestadas],Regiones[Fecha],Tabla54[[#This Row],[Fecha]],Regiones[Intervalo],Tabla54[[#This Row],[Intervalo]],Regiones[Skill],'BUPA Seguros'!$L$3)</f>
        <v>0</v>
      </c>
      <c r="F210" s="20">
        <v>0</v>
      </c>
      <c r="G210" s="19">
        <f>IFERROR(SUMIFS(Regiones[TMO],Regiones[Fecha],Tabla54[[#This Row],[Fecha]],Regiones[Intervalo],Tabla54[[#This Row],[Intervalo]],Regiones[Skill],'BUPA Seguros'!$L$3)/Tabla54[[#This Row],[Atendidas]],0)</f>
        <v>0</v>
      </c>
      <c r="H2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0" s="21">
        <f>IFERROR(Tabla54[[#This Row],[Atendidas]]/Tabla54[[#This Row],[Recibidas]],0)</f>
        <v>0</v>
      </c>
    </row>
    <row r="211" spans="2:9" x14ac:dyDescent="0.3">
      <c r="B211" s="25">
        <f t="shared" si="15"/>
        <v>46208</v>
      </c>
      <c r="C211" s="26">
        <v>0.27083333333333298</v>
      </c>
      <c r="D211" s="19">
        <f>+SUMIFS(Regiones[Ofrecidas],Regiones[Fecha],Tabla54[[#This Row],[Fecha]],Regiones[Intervalo],Tabla54[[#This Row],[Intervalo]],Regiones[Skill],'BUPA Seguros'!$L$3)</f>
        <v>0</v>
      </c>
      <c r="E211" s="19">
        <f>+SUMIFS(Regiones[Contestadas],Regiones[Fecha],Tabla54[[#This Row],[Fecha]],Regiones[Intervalo],Tabla54[[#This Row],[Intervalo]],Regiones[Skill],'BUPA Seguros'!$L$3)</f>
        <v>0</v>
      </c>
      <c r="F211" s="20">
        <v>0</v>
      </c>
      <c r="G211" s="19">
        <f>IFERROR(SUMIFS(Regiones[TMO],Regiones[Fecha],Tabla54[[#This Row],[Fecha]],Regiones[Intervalo],Tabla54[[#This Row],[Intervalo]],Regiones[Skill],'BUPA Seguros'!$L$3)/Tabla54[[#This Row],[Atendidas]],0)</f>
        <v>0</v>
      </c>
      <c r="H2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1" s="21">
        <f>IFERROR(Tabla54[[#This Row],[Atendidas]]/Tabla54[[#This Row],[Recibidas]],0)</f>
        <v>0</v>
      </c>
    </row>
    <row r="212" spans="2:9" x14ac:dyDescent="0.3">
      <c r="B212" s="27">
        <f t="shared" si="15"/>
        <v>46208</v>
      </c>
      <c r="C212" s="18">
        <v>0.29166666666666702</v>
      </c>
      <c r="D212" s="19">
        <f>+SUMIFS(Regiones[Ofrecidas],Regiones[Fecha],Tabla54[[#This Row],[Fecha]],Regiones[Intervalo],Tabla54[[#This Row],[Intervalo]],Regiones[Skill],'BUPA Seguros'!$L$3)</f>
        <v>0</v>
      </c>
      <c r="E212" s="19">
        <f>+SUMIFS(Regiones[Contestadas],Regiones[Fecha],Tabla54[[#This Row],[Fecha]],Regiones[Intervalo],Tabla54[[#This Row],[Intervalo]],Regiones[Skill],'BUPA Seguros'!$L$3)</f>
        <v>0</v>
      </c>
      <c r="F212" s="20">
        <v>0</v>
      </c>
      <c r="G212" s="19">
        <f>IFERROR(SUMIFS(Regiones[TMO],Regiones[Fecha],Tabla54[[#This Row],[Fecha]],Regiones[Intervalo],Tabla54[[#This Row],[Intervalo]],Regiones[Skill],'BUPA Seguros'!$L$3)/Tabla54[[#This Row],[Atendidas]],0)</f>
        <v>0</v>
      </c>
      <c r="H2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2" s="21">
        <f>IFERROR(Tabla54[[#This Row],[Atendidas]]/Tabla54[[#This Row],[Recibidas]],0)</f>
        <v>0</v>
      </c>
    </row>
    <row r="213" spans="2:9" x14ac:dyDescent="0.3">
      <c r="B213" s="25">
        <f t="shared" si="15"/>
        <v>46208</v>
      </c>
      <c r="C213" s="26">
        <v>0.3125</v>
      </c>
      <c r="D213" s="19">
        <f>+SUMIFS(Regiones[Ofrecidas],Regiones[Fecha],Tabla54[[#This Row],[Fecha]],Regiones[Intervalo],Tabla54[[#This Row],[Intervalo]],Regiones[Skill],'BUPA Seguros'!$L$3)</f>
        <v>0</v>
      </c>
      <c r="E213" s="19">
        <f>+SUMIFS(Regiones[Contestadas],Regiones[Fecha],Tabla54[[#This Row],[Fecha]],Regiones[Intervalo],Tabla54[[#This Row],[Intervalo]],Regiones[Skill],'BUPA Seguros'!$L$3)</f>
        <v>0</v>
      </c>
      <c r="F213" s="20">
        <v>0</v>
      </c>
      <c r="G213" s="19">
        <f>IFERROR(SUMIFS(Regiones[TMO],Regiones[Fecha],Tabla54[[#This Row],[Fecha]],Regiones[Intervalo],Tabla54[[#This Row],[Intervalo]],Regiones[Skill],'BUPA Seguros'!$L$3)/Tabla54[[#This Row],[Atendidas]],0)</f>
        <v>0</v>
      </c>
      <c r="H2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3" s="21">
        <f>IFERROR(Tabla54[[#This Row],[Atendidas]]/Tabla54[[#This Row],[Recibidas]],0)</f>
        <v>0</v>
      </c>
    </row>
    <row r="214" spans="2:9" x14ac:dyDescent="0.3">
      <c r="B214" s="27">
        <f t="shared" si="15"/>
        <v>46208</v>
      </c>
      <c r="C214" s="18">
        <v>0.33333333333333298</v>
      </c>
      <c r="D214" s="19">
        <f>+SUMIFS(Regiones[Ofrecidas],Regiones[Fecha],Tabla54[[#This Row],[Fecha]],Regiones[Intervalo],Tabla54[[#This Row],[Intervalo]],Regiones[Skill],'BUPA Seguros'!$L$3)</f>
        <v>0</v>
      </c>
      <c r="E214" s="19">
        <f>+SUMIFS(Regiones[Contestadas],Regiones[Fecha],Tabla54[[#This Row],[Fecha]],Regiones[Intervalo],Tabla54[[#This Row],[Intervalo]],Regiones[Skill],'BUPA Seguros'!$L$3)</f>
        <v>0</v>
      </c>
      <c r="F214" s="20">
        <v>0</v>
      </c>
      <c r="G214" s="19">
        <f>IFERROR(SUMIFS(Regiones[TMO],Regiones[Fecha],Tabla54[[#This Row],[Fecha]],Regiones[Intervalo],Tabla54[[#This Row],[Intervalo]],Regiones[Skill],'BUPA Seguros'!$L$3)/Tabla54[[#This Row],[Atendidas]],0)</f>
        <v>0</v>
      </c>
      <c r="H2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4" s="21">
        <f>IFERROR(Tabla54[[#This Row],[Atendidas]]/Tabla54[[#This Row],[Recibidas]],0)</f>
        <v>0</v>
      </c>
    </row>
    <row r="215" spans="2:9" x14ac:dyDescent="0.3">
      <c r="B215" s="25">
        <f t="shared" si="15"/>
        <v>46208</v>
      </c>
      <c r="C215" s="26">
        <v>0.35416666666666702</v>
      </c>
      <c r="D215" s="19">
        <f>+SUMIFS(Regiones[Ofrecidas],Regiones[Fecha],Tabla54[[#This Row],[Fecha]],Regiones[Intervalo],Tabla54[[#This Row],[Intervalo]],Regiones[Skill],'BUPA Seguros'!$L$3)</f>
        <v>0</v>
      </c>
      <c r="E215" s="19">
        <f>+SUMIFS(Regiones[Contestadas],Regiones[Fecha],Tabla54[[#This Row],[Fecha]],Regiones[Intervalo],Tabla54[[#This Row],[Intervalo]],Regiones[Skill],'BUPA Seguros'!$L$3)</f>
        <v>0</v>
      </c>
      <c r="F215" s="20">
        <v>0</v>
      </c>
      <c r="G215" s="19">
        <f>IFERROR(SUMIFS(Regiones[TMO],Regiones[Fecha],Tabla54[[#This Row],[Fecha]],Regiones[Intervalo],Tabla54[[#This Row],[Intervalo]],Regiones[Skill],'BUPA Seguros'!$L$3)/Tabla54[[#This Row],[Atendidas]],0)</f>
        <v>0</v>
      </c>
      <c r="H2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5" s="21">
        <f>IFERROR(Tabla54[[#This Row],[Atendidas]]/Tabla54[[#This Row],[Recibidas]],0)</f>
        <v>0</v>
      </c>
    </row>
    <row r="216" spans="2:9" x14ac:dyDescent="0.3">
      <c r="B216" s="27">
        <f t="shared" si="15"/>
        <v>46208</v>
      </c>
      <c r="C216" s="18">
        <v>0.375</v>
      </c>
      <c r="D216" s="19">
        <f>+SUMIFS(Regiones[Ofrecidas],Regiones[Fecha],Tabla54[[#This Row],[Fecha]],Regiones[Intervalo],Tabla54[[#This Row],[Intervalo]],Regiones[Skill],'BUPA Seguros'!$L$3)</f>
        <v>0</v>
      </c>
      <c r="E216" s="19">
        <f>+SUMIFS(Regiones[Contestadas],Regiones[Fecha],Tabla54[[#This Row],[Fecha]],Regiones[Intervalo],Tabla54[[#This Row],[Intervalo]],Regiones[Skill],'BUPA Seguros'!$L$3)</f>
        <v>0</v>
      </c>
      <c r="F216" s="20">
        <v>0</v>
      </c>
      <c r="G216" s="19">
        <f>IFERROR(SUMIFS(Regiones[TMO],Regiones[Fecha],Tabla54[[#This Row],[Fecha]],Regiones[Intervalo],Tabla54[[#This Row],[Intervalo]],Regiones[Skill],'BUPA Seguros'!$L$3)/Tabla54[[#This Row],[Atendidas]],0)</f>
        <v>0</v>
      </c>
      <c r="H2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6" s="21">
        <f>IFERROR(Tabla54[[#This Row],[Atendidas]]/Tabla54[[#This Row],[Recibidas]],0)</f>
        <v>0</v>
      </c>
    </row>
    <row r="217" spans="2:9" x14ac:dyDescent="0.3">
      <c r="B217" s="25">
        <f t="shared" si="15"/>
        <v>46208</v>
      </c>
      <c r="C217" s="26">
        <v>0.39583333333333298</v>
      </c>
      <c r="D217" s="19">
        <f>+SUMIFS(Regiones[Ofrecidas],Regiones[Fecha],Tabla54[[#This Row],[Fecha]],Regiones[Intervalo],Tabla54[[#This Row],[Intervalo]],Regiones[Skill],'BUPA Seguros'!$L$3)</f>
        <v>0</v>
      </c>
      <c r="E217" s="19">
        <f>+SUMIFS(Regiones[Contestadas],Regiones[Fecha],Tabla54[[#This Row],[Fecha]],Regiones[Intervalo],Tabla54[[#This Row],[Intervalo]],Regiones[Skill],'BUPA Seguros'!$L$3)</f>
        <v>0</v>
      </c>
      <c r="F217" s="20">
        <v>0</v>
      </c>
      <c r="G217" s="19">
        <f>IFERROR(SUMIFS(Regiones[TMO],Regiones[Fecha],Tabla54[[#This Row],[Fecha]],Regiones[Intervalo],Tabla54[[#This Row],[Intervalo]],Regiones[Skill],'BUPA Seguros'!$L$3)/Tabla54[[#This Row],[Atendidas]],0)</f>
        <v>0</v>
      </c>
      <c r="H2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7" s="21">
        <f>IFERROR(Tabla54[[#This Row],[Atendidas]]/Tabla54[[#This Row],[Recibidas]],0)</f>
        <v>0</v>
      </c>
    </row>
    <row r="218" spans="2:9" x14ac:dyDescent="0.3">
      <c r="B218" s="27">
        <f t="shared" si="15"/>
        <v>46208</v>
      </c>
      <c r="C218" s="18">
        <v>0.41666666666666702</v>
      </c>
      <c r="D218" s="19">
        <f>+SUMIFS(Regiones[Ofrecidas],Regiones[Fecha],Tabla54[[#This Row],[Fecha]],Regiones[Intervalo],Tabla54[[#This Row],[Intervalo]],Regiones[Skill],'BUPA Seguros'!$L$3)</f>
        <v>0</v>
      </c>
      <c r="E218" s="19">
        <f>+SUMIFS(Regiones[Contestadas],Regiones[Fecha],Tabla54[[#This Row],[Fecha]],Regiones[Intervalo],Tabla54[[#This Row],[Intervalo]],Regiones[Skill],'BUPA Seguros'!$L$3)</f>
        <v>0</v>
      </c>
      <c r="F218" s="20">
        <v>0</v>
      </c>
      <c r="G218" s="19">
        <f>IFERROR(SUMIFS(Regiones[TMO],Regiones[Fecha],Tabla54[[#This Row],[Fecha]],Regiones[Intervalo],Tabla54[[#This Row],[Intervalo]],Regiones[Skill],'BUPA Seguros'!$L$3)/Tabla54[[#This Row],[Atendidas]],0)</f>
        <v>0</v>
      </c>
      <c r="H2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8" s="21">
        <f>IFERROR(Tabla54[[#This Row],[Atendidas]]/Tabla54[[#This Row],[Recibidas]],0)</f>
        <v>0</v>
      </c>
    </row>
    <row r="219" spans="2:9" x14ac:dyDescent="0.3">
      <c r="B219" s="25">
        <f t="shared" si="15"/>
        <v>46208</v>
      </c>
      <c r="C219" s="26">
        <v>0.4375</v>
      </c>
      <c r="D219" s="19">
        <f>+SUMIFS(Regiones[Ofrecidas],Regiones[Fecha],Tabla54[[#This Row],[Fecha]],Regiones[Intervalo],Tabla54[[#This Row],[Intervalo]],Regiones[Skill],'BUPA Seguros'!$L$3)</f>
        <v>0</v>
      </c>
      <c r="E219" s="19">
        <f>+SUMIFS(Regiones[Contestadas],Regiones[Fecha],Tabla54[[#This Row],[Fecha]],Regiones[Intervalo],Tabla54[[#This Row],[Intervalo]],Regiones[Skill],'BUPA Seguros'!$L$3)</f>
        <v>0</v>
      </c>
      <c r="F219" s="20">
        <v>0</v>
      </c>
      <c r="G219" s="19">
        <f>IFERROR(SUMIFS(Regiones[TMO],Regiones[Fecha],Tabla54[[#This Row],[Fecha]],Regiones[Intervalo],Tabla54[[#This Row],[Intervalo]],Regiones[Skill],'BUPA Seguros'!$L$3)/Tabla54[[#This Row],[Atendidas]],0)</f>
        <v>0</v>
      </c>
      <c r="H2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19" s="21">
        <f>IFERROR(Tabla54[[#This Row],[Atendidas]]/Tabla54[[#This Row],[Recibidas]],0)</f>
        <v>0</v>
      </c>
    </row>
    <row r="220" spans="2:9" x14ac:dyDescent="0.3">
      <c r="B220" s="27">
        <f t="shared" si="15"/>
        <v>46208</v>
      </c>
      <c r="C220" s="18">
        <v>0.45833333333333298</v>
      </c>
      <c r="D220" s="19">
        <f>+SUMIFS(Regiones[Ofrecidas],Regiones[Fecha],Tabla54[[#This Row],[Fecha]],Regiones[Intervalo],Tabla54[[#This Row],[Intervalo]],Regiones[Skill],'BUPA Seguros'!$L$3)</f>
        <v>0</v>
      </c>
      <c r="E220" s="19">
        <f>+SUMIFS(Regiones[Contestadas],Regiones[Fecha],Tabla54[[#This Row],[Fecha]],Regiones[Intervalo],Tabla54[[#This Row],[Intervalo]],Regiones[Skill],'BUPA Seguros'!$L$3)</f>
        <v>0</v>
      </c>
      <c r="F220" s="20">
        <v>0</v>
      </c>
      <c r="G220" s="19">
        <f>IFERROR(SUMIFS(Regiones[TMO],Regiones[Fecha],Tabla54[[#This Row],[Fecha]],Regiones[Intervalo],Tabla54[[#This Row],[Intervalo]],Regiones[Skill],'BUPA Seguros'!$L$3)/Tabla54[[#This Row],[Atendidas]],0)</f>
        <v>0</v>
      </c>
      <c r="H2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0" s="21">
        <f>IFERROR(Tabla54[[#This Row],[Atendidas]]/Tabla54[[#This Row],[Recibidas]],0)</f>
        <v>0</v>
      </c>
    </row>
    <row r="221" spans="2:9" x14ac:dyDescent="0.3">
      <c r="B221" s="25">
        <f t="shared" si="15"/>
        <v>46208</v>
      </c>
      <c r="C221" s="26">
        <v>0.47916666666666702</v>
      </c>
      <c r="D221" s="19">
        <f>+SUMIFS(Regiones[Ofrecidas],Regiones[Fecha],Tabla54[[#This Row],[Fecha]],Regiones[Intervalo],Tabla54[[#This Row],[Intervalo]],Regiones[Skill],'BUPA Seguros'!$L$3)</f>
        <v>0</v>
      </c>
      <c r="E221" s="19">
        <f>+SUMIFS(Regiones[Contestadas],Regiones[Fecha],Tabla54[[#This Row],[Fecha]],Regiones[Intervalo],Tabla54[[#This Row],[Intervalo]],Regiones[Skill],'BUPA Seguros'!$L$3)</f>
        <v>0</v>
      </c>
      <c r="F221" s="20">
        <v>0</v>
      </c>
      <c r="G221" s="19">
        <f>IFERROR(SUMIFS(Regiones[TMO],Regiones[Fecha],Tabla54[[#This Row],[Fecha]],Regiones[Intervalo],Tabla54[[#This Row],[Intervalo]],Regiones[Skill],'BUPA Seguros'!$L$3)/Tabla54[[#This Row],[Atendidas]],0)</f>
        <v>0</v>
      </c>
      <c r="H2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1" s="21">
        <f>IFERROR(Tabla54[[#This Row],[Atendidas]]/Tabla54[[#This Row],[Recibidas]],0)</f>
        <v>0</v>
      </c>
    </row>
    <row r="222" spans="2:9" x14ac:dyDescent="0.3">
      <c r="B222" s="27">
        <f t="shared" si="15"/>
        <v>46208</v>
      </c>
      <c r="C222" s="18">
        <v>0.5</v>
      </c>
      <c r="D222" s="19">
        <f>+SUMIFS(Regiones[Ofrecidas],Regiones[Fecha],Tabla54[[#This Row],[Fecha]],Regiones[Intervalo],Tabla54[[#This Row],[Intervalo]],Regiones[Skill],'BUPA Seguros'!$L$3)</f>
        <v>0</v>
      </c>
      <c r="E222" s="19">
        <f>+SUMIFS(Regiones[Contestadas],Regiones[Fecha],Tabla54[[#This Row],[Fecha]],Regiones[Intervalo],Tabla54[[#This Row],[Intervalo]],Regiones[Skill],'BUPA Seguros'!$L$3)</f>
        <v>0</v>
      </c>
      <c r="F222" s="20">
        <v>0</v>
      </c>
      <c r="G222" s="19">
        <f>IFERROR(SUMIFS(Regiones[TMO],Regiones[Fecha],Tabla54[[#This Row],[Fecha]],Regiones[Intervalo],Tabla54[[#This Row],[Intervalo]],Regiones[Skill],'BUPA Seguros'!$L$3)/Tabla54[[#This Row],[Atendidas]],0)</f>
        <v>0</v>
      </c>
      <c r="H2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2" s="21">
        <f>IFERROR(Tabla54[[#This Row],[Atendidas]]/Tabla54[[#This Row],[Recibidas]],0)</f>
        <v>0</v>
      </c>
    </row>
    <row r="223" spans="2:9" x14ac:dyDescent="0.3">
      <c r="B223" s="25">
        <f t="shared" si="15"/>
        <v>46208</v>
      </c>
      <c r="C223" s="26">
        <v>0.52083333333333304</v>
      </c>
      <c r="D223" s="19">
        <f>+SUMIFS(Regiones[Ofrecidas],Regiones[Fecha],Tabla54[[#This Row],[Fecha]],Regiones[Intervalo],Tabla54[[#This Row],[Intervalo]],Regiones[Skill],'BUPA Seguros'!$L$3)</f>
        <v>0</v>
      </c>
      <c r="E223" s="19">
        <f>+SUMIFS(Regiones[Contestadas],Regiones[Fecha],Tabla54[[#This Row],[Fecha]],Regiones[Intervalo],Tabla54[[#This Row],[Intervalo]],Regiones[Skill],'BUPA Seguros'!$L$3)</f>
        <v>0</v>
      </c>
      <c r="F223" s="20">
        <v>0</v>
      </c>
      <c r="G223" s="19">
        <f>IFERROR(SUMIFS(Regiones[TMO],Regiones[Fecha],Tabla54[[#This Row],[Fecha]],Regiones[Intervalo],Tabla54[[#This Row],[Intervalo]],Regiones[Skill],'BUPA Seguros'!$L$3)/Tabla54[[#This Row],[Atendidas]],0)</f>
        <v>0</v>
      </c>
      <c r="H2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3" s="21">
        <f>IFERROR(Tabla54[[#This Row],[Atendidas]]/Tabla54[[#This Row],[Recibidas]],0)</f>
        <v>0</v>
      </c>
    </row>
    <row r="224" spans="2:9" x14ac:dyDescent="0.3">
      <c r="B224" s="27">
        <f t="shared" si="15"/>
        <v>46208</v>
      </c>
      <c r="C224" s="18">
        <v>0.54166666666666696</v>
      </c>
      <c r="D224" s="19">
        <f>+SUMIFS(Regiones[Ofrecidas],Regiones[Fecha],Tabla54[[#This Row],[Fecha]],Regiones[Intervalo],Tabla54[[#This Row],[Intervalo]],Regiones[Skill],'BUPA Seguros'!$L$3)</f>
        <v>0</v>
      </c>
      <c r="E224" s="19">
        <f>+SUMIFS(Regiones[Contestadas],Regiones[Fecha],Tabla54[[#This Row],[Fecha]],Regiones[Intervalo],Tabla54[[#This Row],[Intervalo]],Regiones[Skill],'BUPA Seguros'!$L$3)</f>
        <v>0</v>
      </c>
      <c r="F224" s="20">
        <v>0</v>
      </c>
      <c r="G224" s="19">
        <f>IFERROR(SUMIFS(Regiones[TMO],Regiones[Fecha],Tabla54[[#This Row],[Fecha]],Regiones[Intervalo],Tabla54[[#This Row],[Intervalo]],Regiones[Skill],'BUPA Seguros'!$L$3)/Tabla54[[#This Row],[Atendidas]],0)</f>
        <v>0</v>
      </c>
      <c r="H2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4" s="21">
        <f>IFERROR(Tabla54[[#This Row],[Atendidas]]/Tabla54[[#This Row],[Recibidas]],0)</f>
        <v>0</v>
      </c>
    </row>
    <row r="225" spans="2:9" x14ac:dyDescent="0.3">
      <c r="B225" s="25">
        <f t="shared" si="15"/>
        <v>46208</v>
      </c>
      <c r="C225" s="26">
        <v>0.5625</v>
      </c>
      <c r="D225" s="19">
        <f>+SUMIFS(Regiones[Ofrecidas],Regiones[Fecha],Tabla54[[#This Row],[Fecha]],Regiones[Intervalo],Tabla54[[#This Row],[Intervalo]],Regiones[Skill],'BUPA Seguros'!$L$3)</f>
        <v>0</v>
      </c>
      <c r="E225" s="19">
        <f>+SUMIFS(Regiones[Contestadas],Regiones[Fecha],Tabla54[[#This Row],[Fecha]],Regiones[Intervalo],Tabla54[[#This Row],[Intervalo]],Regiones[Skill],'BUPA Seguros'!$L$3)</f>
        <v>0</v>
      </c>
      <c r="F225" s="20">
        <v>0</v>
      </c>
      <c r="G225" s="19">
        <f>IFERROR(SUMIFS(Regiones[TMO],Regiones[Fecha],Tabla54[[#This Row],[Fecha]],Regiones[Intervalo],Tabla54[[#This Row],[Intervalo]],Regiones[Skill],'BUPA Seguros'!$L$3)/Tabla54[[#This Row],[Atendidas]],0)</f>
        <v>0</v>
      </c>
      <c r="H2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5" s="21">
        <f>IFERROR(Tabla54[[#This Row],[Atendidas]]/Tabla54[[#This Row],[Recibidas]],0)</f>
        <v>0</v>
      </c>
    </row>
    <row r="226" spans="2:9" x14ac:dyDescent="0.3">
      <c r="B226" s="27">
        <f t="shared" si="15"/>
        <v>46208</v>
      </c>
      <c r="C226" s="18">
        <v>0.58333333333333304</v>
      </c>
      <c r="D226" s="19">
        <f>+SUMIFS(Regiones[Ofrecidas],Regiones[Fecha],Tabla54[[#This Row],[Fecha]],Regiones[Intervalo],Tabla54[[#This Row],[Intervalo]],Regiones[Skill],'BUPA Seguros'!$L$3)</f>
        <v>0</v>
      </c>
      <c r="E226" s="19">
        <f>+SUMIFS(Regiones[Contestadas],Regiones[Fecha],Tabla54[[#This Row],[Fecha]],Regiones[Intervalo],Tabla54[[#This Row],[Intervalo]],Regiones[Skill],'BUPA Seguros'!$L$3)</f>
        <v>0</v>
      </c>
      <c r="F226" s="20">
        <v>0</v>
      </c>
      <c r="G226" s="19">
        <f>IFERROR(SUMIFS(Regiones[TMO],Regiones[Fecha],Tabla54[[#This Row],[Fecha]],Regiones[Intervalo],Tabla54[[#This Row],[Intervalo]],Regiones[Skill],'BUPA Seguros'!$L$3)/Tabla54[[#This Row],[Atendidas]],0)</f>
        <v>0</v>
      </c>
      <c r="H2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6" s="21">
        <f>IFERROR(Tabla54[[#This Row],[Atendidas]]/Tabla54[[#This Row],[Recibidas]],0)</f>
        <v>0</v>
      </c>
    </row>
    <row r="227" spans="2:9" x14ac:dyDescent="0.3">
      <c r="B227" s="25">
        <f t="shared" si="15"/>
        <v>46208</v>
      </c>
      <c r="C227" s="26">
        <v>0.60416666666666696</v>
      </c>
      <c r="D227" s="19">
        <f>+SUMIFS(Regiones[Ofrecidas],Regiones[Fecha],Tabla54[[#This Row],[Fecha]],Regiones[Intervalo],Tabla54[[#This Row],[Intervalo]],Regiones[Skill],'BUPA Seguros'!$L$3)</f>
        <v>0</v>
      </c>
      <c r="E227" s="19">
        <f>+SUMIFS(Regiones[Contestadas],Regiones[Fecha],Tabla54[[#This Row],[Fecha]],Regiones[Intervalo],Tabla54[[#This Row],[Intervalo]],Regiones[Skill],'BUPA Seguros'!$L$3)</f>
        <v>0</v>
      </c>
      <c r="F227" s="20">
        <v>0</v>
      </c>
      <c r="G227" s="19">
        <f>IFERROR(SUMIFS(Regiones[TMO],Regiones[Fecha],Tabla54[[#This Row],[Fecha]],Regiones[Intervalo],Tabla54[[#This Row],[Intervalo]],Regiones[Skill],'BUPA Seguros'!$L$3)/Tabla54[[#This Row],[Atendidas]],0)</f>
        <v>0</v>
      </c>
      <c r="H2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7" s="21">
        <f>IFERROR(Tabla54[[#This Row],[Atendidas]]/Tabla54[[#This Row],[Recibidas]],0)</f>
        <v>0</v>
      </c>
    </row>
    <row r="228" spans="2:9" x14ac:dyDescent="0.3">
      <c r="B228" s="27">
        <f t="shared" si="15"/>
        <v>46208</v>
      </c>
      <c r="C228" s="18">
        <v>0.625</v>
      </c>
      <c r="D228" s="19">
        <f>+SUMIFS(Regiones[Ofrecidas],Regiones[Fecha],Tabla54[[#This Row],[Fecha]],Regiones[Intervalo],Tabla54[[#This Row],[Intervalo]],Regiones[Skill],'BUPA Seguros'!$L$3)</f>
        <v>0</v>
      </c>
      <c r="E228" s="19">
        <f>+SUMIFS(Regiones[Contestadas],Regiones[Fecha],Tabla54[[#This Row],[Fecha]],Regiones[Intervalo],Tabla54[[#This Row],[Intervalo]],Regiones[Skill],'BUPA Seguros'!$L$3)</f>
        <v>0</v>
      </c>
      <c r="F228" s="20">
        <v>0</v>
      </c>
      <c r="G228" s="19">
        <f>IFERROR(SUMIFS(Regiones[TMO],Regiones[Fecha],Tabla54[[#This Row],[Fecha]],Regiones[Intervalo],Tabla54[[#This Row],[Intervalo]],Regiones[Skill],'BUPA Seguros'!$L$3)/Tabla54[[#This Row],[Atendidas]],0)</f>
        <v>0</v>
      </c>
      <c r="H2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8" s="21">
        <f>IFERROR(Tabla54[[#This Row],[Atendidas]]/Tabla54[[#This Row],[Recibidas]],0)</f>
        <v>0</v>
      </c>
    </row>
    <row r="229" spans="2:9" x14ac:dyDescent="0.3">
      <c r="B229" s="25">
        <f t="shared" si="15"/>
        <v>46208</v>
      </c>
      <c r="C229" s="26">
        <v>0.64583333333333304</v>
      </c>
      <c r="D229" s="19">
        <f>+SUMIFS(Regiones[Ofrecidas],Regiones[Fecha],Tabla54[[#This Row],[Fecha]],Regiones[Intervalo],Tabla54[[#This Row],[Intervalo]],Regiones[Skill],'BUPA Seguros'!$L$3)</f>
        <v>0</v>
      </c>
      <c r="E229" s="19">
        <f>+SUMIFS(Regiones[Contestadas],Regiones[Fecha],Tabla54[[#This Row],[Fecha]],Regiones[Intervalo],Tabla54[[#This Row],[Intervalo]],Regiones[Skill],'BUPA Seguros'!$L$3)</f>
        <v>0</v>
      </c>
      <c r="F229" s="20">
        <v>0</v>
      </c>
      <c r="G229" s="19">
        <f>IFERROR(SUMIFS(Regiones[TMO],Regiones[Fecha],Tabla54[[#This Row],[Fecha]],Regiones[Intervalo],Tabla54[[#This Row],[Intervalo]],Regiones[Skill],'BUPA Seguros'!$L$3)/Tabla54[[#This Row],[Atendidas]],0)</f>
        <v>0</v>
      </c>
      <c r="H2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29" s="21">
        <f>IFERROR(Tabla54[[#This Row],[Atendidas]]/Tabla54[[#This Row],[Recibidas]],0)</f>
        <v>0</v>
      </c>
    </row>
    <row r="230" spans="2:9" x14ac:dyDescent="0.3">
      <c r="B230" s="27">
        <f t="shared" si="15"/>
        <v>46208</v>
      </c>
      <c r="C230" s="18">
        <v>0.66666666666666696</v>
      </c>
      <c r="D230" s="19">
        <f>+SUMIFS(Regiones[Ofrecidas],Regiones[Fecha],Tabla54[[#This Row],[Fecha]],Regiones[Intervalo],Tabla54[[#This Row],[Intervalo]],Regiones[Skill],'BUPA Seguros'!$L$3)</f>
        <v>0</v>
      </c>
      <c r="E230" s="19">
        <f>+SUMIFS(Regiones[Contestadas],Regiones[Fecha],Tabla54[[#This Row],[Fecha]],Regiones[Intervalo],Tabla54[[#This Row],[Intervalo]],Regiones[Skill],'BUPA Seguros'!$L$3)</f>
        <v>0</v>
      </c>
      <c r="F230" s="20">
        <v>0</v>
      </c>
      <c r="G230" s="19">
        <f>IFERROR(SUMIFS(Regiones[TMO],Regiones[Fecha],Tabla54[[#This Row],[Fecha]],Regiones[Intervalo],Tabla54[[#This Row],[Intervalo]],Regiones[Skill],'BUPA Seguros'!$L$3)/Tabla54[[#This Row],[Atendidas]],0)</f>
        <v>0</v>
      </c>
      <c r="H2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0" s="21">
        <f>IFERROR(Tabla54[[#This Row],[Atendidas]]/Tabla54[[#This Row],[Recibidas]],0)</f>
        <v>0</v>
      </c>
    </row>
    <row r="231" spans="2:9" x14ac:dyDescent="0.3">
      <c r="B231" s="25">
        <f t="shared" si="15"/>
        <v>46208</v>
      </c>
      <c r="C231" s="26">
        <v>0.6875</v>
      </c>
      <c r="D231" s="19">
        <f>+SUMIFS(Regiones[Ofrecidas],Regiones[Fecha],Tabla54[[#This Row],[Fecha]],Regiones[Intervalo],Tabla54[[#This Row],[Intervalo]],Regiones[Skill],'BUPA Seguros'!$L$3)</f>
        <v>0</v>
      </c>
      <c r="E231" s="19">
        <f>+SUMIFS(Regiones[Contestadas],Regiones[Fecha],Tabla54[[#This Row],[Fecha]],Regiones[Intervalo],Tabla54[[#This Row],[Intervalo]],Regiones[Skill],'BUPA Seguros'!$L$3)</f>
        <v>0</v>
      </c>
      <c r="F231" s="20">
        <v>0</v>
      </c>
      <c r="G231" s="19">
        <f>IFERROR(SUMIFS(Regiones[TMO],Regiones[Fecha],Tabla54[[#This Row],[Fecha]],Regiones[Intervalo],Tabla54[[#This Row],[Intervalo]],Regiones[Skill],'BUPA Seguros'!$L$3)/Tabla54[[#This Row],[Atendidas]],0)</f>
        <v>0</v>
      </c>
      <c r="H2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1" s="21">
        <f>IFERROR(Tabla54[[#This Row],[Atendidas]]/Tabla54[[#This Row],[Recibidas]],0)</f>
        <v>0</v>
      </c>
    </row>
    <row r="232" spans="2:9" x14ac:dyDescent="0.3">
      <c r="B232" s="27">
        <f t="shared" si="15"/>
        <v>46208</v>
      </c>
      <c r="C232" s="18">
        <v>0.70833333333333304</v>
      </c>
      <c r="D232" s="19">
        <f>+SUMIFS(Regiones[Ofrecidas],Regiones[Fecha],Tabla54[[#This Row],[Fecha]],Regiones[Intervalo],Tabla54[[#This Row],[Intervalo]],Regiones[Skill],'BUPA Seguros'!$L$3)</f>
        <v>0</v>
      </c>
      <c r="E232" s="19">
        <f>+SUMIFS(Regiones[Contestadas],Regiones[Fecha],Tabla54[[#This Row],[Fecha]],Regiones[Intervalo],Tabla54[[#This Row],[Intervalo]],Regiones[Skill],'BUPA Seguros'!$L$3)</f>
        <v>0</v>
      </c>
      <c r="F232" s="20">
        <v>0</v>
      </c>
      <c r="G232" s="19">
        <f>IFERROR(SUMIFS(Regiones[TMO],Regiones[Fecha],Tabla54[[#This Row],[Fecha]],Regiones[Intervalo],Tabla54[[#This Row],[Intervalo]],Regiones[Skill],'BUPA Seguros'!$L$3)/Tabla54[[#This Row],[Atendidas]],0)</f>
        <v>0</v>
      </c>
      <c r="H2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2" s="21">
        <f>IFERROR(Tabla54[[#This Row],[Atendidas]]/Tabla54[[#This Row],[Recibidas]],0)</f>
        <v>0</v>
      </c>
    </row>
    <row r="233" spans="2:9" x14ac:dyDescent="0.3">
      <c r="B233" s="25">
        <f t="shared" si="15"/>
        <v>46208</v>
      </c>
      <c r="C233" s="26">
        <v>0.72916666666666696</v>
      </c>
      <c r="D233" s="19">
        <f>+SUMIFS(Regiones[Ofrecidas],Regiones[Fecha],Tabla54[[#This Row],[Fecha]],Regiones[Intervalo],Tabla54[[#This Row],[Intervalo]],Regiones[Skill],'BUPA Seguros'!$L$3)</f>
        <v>0</v>
      </c>
      <c r="E233" s="19">
        <f>+SUMIFS(Regiones[Contestadas],Regiones[Fecha],Tabla54[[#This Row],[Fecha]],Regiones[Intervalo],Tabla54[[#This Row],[Intervalo]],Regiones[Skill],'BUPA Seguros'!$L$3)</f>
        <v>0</v>
      </c>
      <c r="F233" s="20">
        <v>0</v>
      </c>
      <c r="G233" s="19">
        <f>IFERROR(SUMIFS(Regiones[TMO],Regiones[Fecha],Tabla54[[#This Row],[Fecha]],Regiones[Intervalo],Tabla54[[#This Row],[Intervalo]],Regiones[Skill],'BUPA Seguros'!$L$3)/Tabla54[[#This Row],[Atendidas]],0)</f>
        <v>0</v>
      </c>
      <c r="H2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3" s="21">
        <f>IFERROR(Tabla54[[#This Row],[Atendidas]]/Tabla54[[#This Row],[Recibidas]],0)</f>
        <v>0</v>
      </c>
    </row>
    <row r="234" spans="2:9" x14ac:dyDescent="0.3">
      <c r="B234" s="27">
        <f t="shared" si="15"/>
        <v>46208</v>
      </c>
      <c r="C234" s="18">
        <v>0.75</v>
      </c>
      <c r="D234" s="19">
        <f>+SUMIFS(Regiones[Ofrecidas],Regiones[Fecha],Tabla54[[#This Row],[Fecha]],Regiones[Intervalo],Tabla54[[#This Row],[Intervalo]],Regiones[Skill],'BUPA Seguros'!$L$3)</f>
        <v>0</v>
      </c>
      <c r="E234" s="19">
        <f>+SUMIFS(Regiones[Contestadas],Regiones[Fecha],Tabla54[[#This Row],[Fecha]],Regiones[Intervalo],Tabla54[[#This Row],[Intervalo]],Regiones[Skill],'BUPA Seguros'!$L$3)</f>
        <v>0</v>
      </c>
      <c r="F234" s="20">
        <v>0</v>
      </c>
      <c r="G234" s="19">
        <f>IFERROR(SUMIFS(Regiones[TMO],Regiones[Fecha],Tabla54[[#This Row],[Fecha]],Regiones[Intervalo],Tabla54[[#This Row],[Intervalo]],Regiones[Skill],'BUPA Seguros'!$L$3)/Tabla54[[#This Row],[Atendidas]],0)</f>
        <v>0</v>
      </c>
      <c r="H2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4" s="21">
        <f>IFERROR(Tabla54[[#This Row],[Atendidas]]/Tabla54[[#This Row],[Recibidas]],0)</f>
        <v>0</v>
      </c>
    </row>
    <row r="235" spans="2:9" x14ac:dyDescent="0.3">
      <c r="B235" s="25">
        <f t="shared" si="15"/>
        <v>46208</v>
      </c>
      <c r="C235" s="26">
        <v>0.77083333333333304</v>
      </c>
      <c r="D235" s="19">
        <f>+SUMIFS(Regiones[Ofrecidas],Regiones[Fecha],Tabla54[[#This Row],[Fecha]],Regiones[Intervalo],Tabla54[[#This Row],[Intervalo]],Regiones[Skill],'BUPA Seguros'!$L$3)</f>
        <v>0</v>
      </c>
      <c r="E235" s="19">
        <f>+SUMIFS(Regiones[Contestadas],Regiones[Fecha],Tabla54[[#This Row],[Fecha]],Regiones[Intervalo],Tabla54[[#This Row],[Intervalo]],Regiones[Skill],'BUPA Seguros'!$L$3)</f>
        <v>0</v>
      </c>
      <c r="F235" s="20">
        <v>0</v>
      </c>
      <c r="G235" s="19">
        <f>IFERROR(SUMIFS(Regiones[TMO],Regiones[Fecha],Tabla54[[#This Row],[Fecha]],Regiones[Intervalo],Tabla54[[#This Row],[Intervalo]],Regiones[Skill],'BUPA Seguros'!$L$3)/Tabla54[[#This Row],[Atendidas]],0)</f>
        <v>0</v>
      </c>
      <c r="H2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5" s="21">
        <f>IFERROR(Tabla54[[#This Row],[Atendidas]]/Tabla54[[#This Row],[Recibidas]],0)</f>
        <v>0</v>
      </c>
    </row>
    <row r="236" spans="2:9" x14ac:dyDescent="0.3">
      <c r="B236" s="27">
        <f t="shared" si="15"/>
        <v>46208</v>
      </c>
      <c r="C236" s="18">
        <v>0.79166666666666696</v>
      </c>
      <c r="D236" s="19">
        <f>+SUMIFS(Regiones[Ofrecidas],Regiones[Fecha],Tabla54[[#This Row],[Fecha]],Regiones[Intervalo],Tabla54[[#This Row],[Intervalo]],Regiones[Skill],'BUPA Seguros'!$L$3)</f>
        <v>0</v>
      </c>
      <c r="E236" s="19">
        <f>+SUMIFS(Regiones[Contestadas],Regiones[Fecha],Tabla54[[#This Row],[Fecha]],Regiones[Intervalo],Tabla54[[#This Row],[Intervalo]],Regiones[Skill],'BUPA Seguros'!$L$3)</f>
        <v>0</v>
      </c>
      <c r="F236" s="20">
        <v>0</v>
      </c>
      <c r="G236" s="19">
        <f>IFERROR(SUMIFS(Regiones[TMO],Regiones[Fecha],Tabla54[[#This Row],[Fecha]],Regiones[Intervalo],Tabla54[[#This Row],[Intervalo]],Regiones[Skill],'BUPA Seguros'!$L$3)/Tabla54[[#This Row],[Atendidas]],0)</f>
        <v>0</v>
      </c>
      <c r="H2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6" s="21">
        <f>IFERROR(Tabla54[[#This Row],[Atendidas]]/Tabla54[[#This Row],[Recibidas]],0)</f>
        <v>0</v>
      </c>
    </row>
    <row r="237" spans="2:9" x14ac:dyDescent="0.3">
      <c r="B237" s="25">
        <f t="shared" si="15"/>
        <v>46208</v>
      </c>
      <c r="C237" s="26">
        <v>0.8125</v>
      </c>
      <c r="D237" s="19">
        <f>+SUMIFS(Regiones[Ofrecidas],Regiones[Fecha],Tabla54[[#This Row],[Fecha]],Regiones[Intervalo],Tabla54[[#This Row],[Intervalo]],Regiones[Skill],'BUPA Seguros'!$L$3)</f>
        <v>0</v>
      </c>
      <c r="E237" s="19">
        <f>+SUMIFS(Regiones[Contestadas],Regiones[Fecha],Tabla54[[#This Row],[Fecha]],Regiones[Intervalo],Tabla54[[#This Row],[Intervalo]],Regiones[Skill],'BUPA Seguros'!$L$3)</f>
        <v>0</v>
      </c>
      <c r="F237" s="20">
        <v>0</v>
      </c>
      <c r="G237" s="19">
        <f>IFERROR(SUMIFS(Regiones[TMO],Regiones[Fecha],Tabla54[[#This Row],[Fecha]],Regiones[Intervalo],Tabla54[[#This Row],[Intervalo]],Regiones[Skill],'BUPA Seguros'!$L$3)/Tabla54[[#This Row],[Atendidas]],0)</f>
        <v>0</v>
      </c>
      <c r="H2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7" s="21">
        <f>IFERROR(Tabla54[[#This Row],[Atendidas]]/Tabla54[[#This Row],[Recibidas]],0)</f>
        <v>0</v>
      </c>
    </row>
    <row r="238" spans="2:9" x14ac:dyDescent="0.3">
      <c r="B238" s="27">
        <f t="shared" si="15"/>
        <v>46208</v>
      </c>
      <c r="C238" s="18">
        <v>0.83333333333333304</v>
      </c>
      <c r="D238" s="19">
        <f>+SUMIFS(Regiones[Ofrecidas],Regiones[Fecha],Tabla54[[#This Row],[Fecha]],Regiones[Intervalo],Tabla54[[#This Row],[Intervalo]],Regiones[Skill],'BUPA Seguros'!$L$3)</f>
        <v>0</v>
      </c>
      <c r="E238" s="19">
        <f>+SUMIFS(Regiones[Contestadas],Regiones[Fecha],Tabla54[[#This Row],[Fecha]],Regiones[Intervalo],Tabla54[[#This Row],[Intervalo]],Regiones[Skill],'BUPA Seguros'!$L$3)</f>
        <v>0</v>
      </c>
      <c r="F238" s="20">
        <v>0</v>
      </c>
      <c r="G238" s="19">
        <f>IFERROR(SUMIFS(Regiones[TMO],Regiones[Fecha],Tabla54[[#This Row],[Fecha]],Regiones[Intervalo],Tabla54[[#This Row],[Intervalo]],Regiones[Skill],'BUPA Seguros'!$L$3)/Tabla54[[#This Row],[Atendidas]],0)</f>
        <v>0</v>
      </c>
      <c r="H2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8" s="21">
        <f>IFERROR(Tabla54[[#This Row],[Atendidas]]/Tabla54[[#This Row],[Recibidas]],0)</f>
        <v>0</v>
      </c>
    </row>
    <row r="239" spans="2:9" x14ac:dyDescent="0.3">
      <c r="B239" s="25">
        <f t="shared" si="15"/>
        <v>46208</v>
      </c>
      <c r="C239" s="26">
        <v>0.85416666666666696</v>
      </c>
      <c r="D239" s="19">
        <f>+SUMIFS(Regiones[Ofrecidas],Regiones[Fecha],Tabla54[[#This Row],[Fecha]],Regiones[Intervalo],Tabla54[[#This Row],[Intervalo]],Regiones[Skill],'BUPA Seguros'!$L$3)</f>
        <v>0</v>
      </c>
      <c r="E239" s="19">
        <f>+SUMIFS(Regiones[Contestadas],Regiones[Fecha],Tabla54[[#This Row],[Fecha]],Regiones[Intervalo],Tabla54[[#This Row],[Intervalo]],Regiones[Skill],'BUPA Seguros'!$L$3)</f>
        <v>0</v>
      </c>
      <c r="F239" s="20">
        <v>0</v>
      </c>
      <c r="G239" s="19">
        <f>IFERROR(SUMIFS(Regiones[TMO],Regiones[Fecha],Tabla54[[#This Row],[Fecha]],Regiones[Intervalo],Tabla54[[#This Row],[Intervalo]],Regiones[Skill],'BUPA Seguros'!$L$3)/Tabla54[[#This Row],[Atendidas]],0)</f>
        <v>0</v>
      </c>
      <c r="H2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39" s="21">
        <f>IFERROR(Tabla54[[#This Row],[Atendidas]]/Tabla54[[#This Row],[Recibidas]],0)</f>
        <v>0</v>
      </c>
    </row>
    <row r="240" spans="2:9" x14ac:dyDescent="0.3">
      <c r="B240" s="27">
        <f t="shared" si="15"/>
        <v>46208</v>
      </c>
      <c r="C240" s="18">
        <v>0.875</v>
      </c>
      <c r="D240" s="19">
        <f>+SUMIFS(Regiones[Ofrecidas],Regiones[Fecha],Tabla54[[#This Row],[Fecha]],Regiones[Intervalo],Tabla54[[#This Row],[Intervalo]],Regiones[Skill],'BUPA Seguros'!$L$3)</f>
        <v>0</v>
      </c>
      <c r="E240" s="19">
        <f>+SUMIFS(Regiones[Contestadas],Regiones[Fecha],Tabla54[[#This Row],[Fecha]],Regiones[Intervalo],Tabla54[[#This Row],[Intervalo]],Regiones[Skill],'BUPA Seguros'!$L$3)</f>
        <v>0</v>
      </c>
      <c r="F240" s="20">
        <v>0</v>
      </c>
      <c r="G240" s="19">
        <f>IFERROR(SUMIFS(Regiones[TMO],Regiones[Fecha],Tabla54[[#This Row],[Fecha]],Regiones[Intervalo],Tabla54[[#This Row],[Intervalo]],Regiones[Skill],'BUPA Seguros'!$L$3)/Tabla54[[#This Row],[Atendidas]],0)</f>
        <v>0</v>
      </c>
      <c r="H2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0" s="21">
        <f>IFERROR(Tabla54[[#This Row],[Atendidas]]/Tabla54[[#This Row],[Recibidas]],0)</f>
        <v>0</v>
      </c>
    </row>
    <row r="241" spans="2:9" x14ac:dyDescent="0.3">
      <c r="B241" s="25">
        <f t="shared" si="15"/>
        <v>46208</v>
      </c>
      <c r="C241" s="26">
        <v>0.89583333333333304</v>
      </c>
      <c r="D241" s="19">
        <f>+SUMIFS(Regiones[Ofrecidas],Regiones[Fecha],Tabla54[[#This Row],[Fecha]],Regiones[Intervalo],Tabla54[[#This Row],[Intervalo]],Regiones[Skill],'BUPA Seguros'!$L$3)</f>
        <v>0</v>
      </c>
      <c r="E241" s="19">
        <f>+SUMIFS(Regiones[Contestadas],Regiones[Fecha],Tabla54[[#This Row],[Fecha]],Regiones[Intervalo],Tabla54[[#This Row],[Intervalo]],Regiones[Skill],'BUPA Seguros'!$L$3)</f>
        <v>0</v>
      </c>
      <c r="F241" s="20">
        <v>0</v>
      </c>
      <c r="G241" s="19">
        <f>IFERROR(SUMIFS(Regiones[TMO],Regiones[Fecha],Tabla54[[#This Row],[Fecha]],Regiones[Intervalo],Tabla54[[#This Row],[Intervalo]],Regiones[Skill],'BUPA Seguros'!$L$3)/Tabla54[[#This Row],[Atendidas]],0)</f>
        <v>0</v>
      </c>
      <c r="H2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1" s="21">
        <f>IFERROR(Tabla54[[#This Row],[Atendidas]]/Tabla54[[#This Row],[Recibidas]],0)</f>
        <v>0</v>
      </c>
    </row>
    <row r="242" spans="2:9" x14ac:dyDescent="0.3">
      <c r="B242" s="27">
        <f t="shared" si="15"/>
        <v>46208</v>
      </c>
      <c r="C242" s="18">
        <v>0.91666666666666696</v>
      </c>
      <c r="D242" s="19">
        <f>+SUMIFS(Regiones[Ofrecidas],Regiones[Fecha],Tabla54[[#This Row],[Fecha]],Regiones[Intervalo],Tabla54[[#This Row],[Intervalo]],Regiones[Skill],'BUPA Seguros'!$L$3)</f>
        <v>0</v>
      </c>
      <c r="E242" s="19">
        <f>+SUMIFS(Regiones[Contestadas],Regiones[Fecha],Tabla54[[#This Row],[Fecha]],Regiones[Intervalo],Tabla54[[#This Row],[Intervalo]],Regiones[Skill],'BUPA Seguros'!$L$3)</f>
        <v>0</v>
      </c>
      <c r="F242" s="20">
        <v>0</v>
      </c>
      <c r="G242" s="19">
        <f>IFERROR(SUMIFS(Regiones[TMO],Regiones[Fecha],Tabla54[[#This Row],[Fecha]],Regiones[Intervalo],Tabla54[[#This Row],[Intervalo]],Regiones[Skill],'BUPA Seguros'!$L$3)/Tabla54[[#This Row],[Atendidas]],0)</f>
        <v>0</v>
      </c>
      <c r="H2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2" s="21">
        <f>IFERROR(Tabla54[[#This Row],[Atendidas]]/Tabla54[[#This Row],[Recibidas]],0)</f>
        <v>0</v>
      </c>
    </row>
    <row r="243" spans="2:9" x14ac:dyDescent="0.3">
      <c r="B243" s="25">
        <f t="shared" si="15"/>
        <v>46208</v>
      </c>
      <c r="C243" s="26">
        <v>0.9375</v>
      </c>
      <c r="D243" s="19">
        <f>+SUMIFS(Regiones[Ofrecidas],Regiones[Fecha],Tabla54[[#This Row],[Fecha]],Regiones[Intervalo],Tabla54[[#This Row],[Intervalo]],Regiones[Skill],'BUPA Seguros'!$L$3)</f>
        <v>0</v>
      </c>
      <c r="E243" s="19">
        <f>+SUMIFS(Regiones[Contestadas],Regiones[Fecha],Tabla54[[#This Row],[Fecha]],Regiones[Intervalo],Tabla54[[#This Row],[Intervalo]],Regiones[Skill],'BUPA Seguros'!$L$3)</f>
        <v>0</v>
      </c>
      <c r="F243" s="20">
        <v>0</v>
      </c>
      <c r="G243" s="19">
        <f>IFERROR(SUMIFS(Regiones[TMO],Regiones[Fecha],Tabla54[[#This Row],[Fecha]],Regiones[Intervalo],Tabla54[[#This Row],[Intervalo]],Regiones[Skill],'BUPA Seguros'!$L$3)/Tabla54[[#This Row],[Atendidas]],0)</f>
        <v>0</v>
      </c>
      <c r="H2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3" s="21">
        <f>IFERROR(Tabla54[[#This Row],[Atendidas]]/Tabla54[[#This Row],[Recibidas]],0)</f>
        <v>0</v>
      </c>
    </row>
    <row r="244" spans="2:9" x14ac:dyDescent="0.3">
      <c r="B244" s="27">
        <f t="shared" si="15"/>
        <v>46208</v>
      </c>
      <c r="C244" s="18">
        <v>0.95833333333333304</v>
      </c>
      <c r="D244" s="19">
        <f>+SUMIFS(Regiones[Ofrecidas],Regiones[Fecha],Tabla54[[#This Row],[Fecha]],Regiones[Intervalo],Tabla54[[#This Row],[Intervalo]],Regiones[Skill],'BUPA Seguros'!$L$3)</f>
        <v>0</v>
      </c>
      <c r="E244" s="19">
        <f>+SUMIFS(Regiones[Contestadas],Regiones[Fecha],Tabla54[[#This Row],[Fecha]],Regiones[Intervalo],Tabla54[[#This Row],[Intervalo]],Regiones[Skill],'BUPA Seguros'!$L$3)</f>
        <v>0</v>
      </c>
      <c r="F244" s="20">
        <v>0</v>
      </c>
      <c r="G244" s="19">
        <f>IFERROR(SUMIFS(Regiones[TMO],Regiones[Fecha],Tabla54[[#This Row],[Fecha]],Regiones[Intervalo],Tabla54[[#This Row],[Intervalo]],Regiones[Skill],'BUPA Seguros'!$L$3)/Tabla54[[#This Row],[Atendidas]],0)</f>
        <v>0</v>
      </c>
      <c r="H2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4" s="21">
        <f>IFERROR(Tabla54[[#This Row],[Atendidas]]/Tabla54[[#This Row],[Recibidas]],0)</f>
        <v>0</v>
      </c>
    </row>
    <row r="245" spans="2:9" x14ac:dyDescent="0.3">
      <c r="B245" s="25">
        <f t="shared" si="15"/>
        <v>46208</v>
      </c>
      <c r="C245" s="26">
        <v>0.97916666666666696</v>
      </c>
      <c r="D245" s="19">
        <f>+SUMIFS(Regiones[Ofrecidas],Regiones[Fecha],Tabla54[[#This Row],[Fecha]],Regiones[Intervalo],Tabla54[[#This Row],[Intervalo]],Regiones[Skill],'BUPA Seguros'!$L$3)</f>
        <v>0</v>
      </c>
      <c r="E245" s="19">
        <f>+SUMIFS(Regiones[Contestadas],Regiones[Fecha],Tabla54[[#This Row],[Fecha]],Regiones[Intervalo],Tabla54[[#This Row],[Intervalo]],Regiones[Skill],'BUPA Seguros'!$L$3)</f>
        <v>0</v>
      </c>
      <c r="F245" s="20">
        <v>0</v>
      </c>
      <c r="G245" s="19">
        <f>IFERROR(SUMIFS(Regiones[TMO],Regiones[Fecha],Tabla54[[#This Row],[Fecha]],Regiones[Intervalo],Tabla54[[#This Row],[Intervalo]],Regiones[Skill],'BUPA Seguros'!$L$3)/Tabla54[[#This Row],[Atendidas]],0)</f>
        <v>0</v>
      </c>
      <c r="H2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5" s="21">
        <f>IFERROR(Tabla54[[#This Row],[Atendidas]]/Tabla54[[#This Row],[Recibidas]],0)</f>
        <v>0</v>
      </c>
    </row>
    <row r="246" spans="2:9" x14ac:dyDescent="0.3">
      <c r="B246" s="27">
        <f>+B245+1</f>
        <v>46209</v>
      </c>
      <c r="C246" s="18">
        <v>0</v>
      </c>
      <c r="D246" s="19">
        <f>+SUMIFS(Regiones[Ofrecidas],Regiones[Fecha],Tabla54[[#This Row],[Fecha]],Regiones[Intervalo],Tabla54[[#This Row],[Intervalo]],Regiones[Skill],'BUPA Seguros'!$L$3)</f>
        <v>0</v>
      </c>
      <c r="E246" s="19">
        <f>+SUMIFS(Regiones[Contestadas],Regiones[Fecha],Tabla54[[#This Row],[Fecha]],Regiones[Intervalo],Tabla54[[#This Row],[Intervalo]],Regiones[Skill],'BUPA Seguros'!$L$3)</f>
        <v>0</v>
      </c>
      <c r="F246" s="20">
        <v>0</v>
      </c>
      <c r="G246" s="19">
        <f>IFERROR(SUMIFS(Regiones[TMO],Regiones[Fecha],Tabla54[[#This Row],[Fecha]],Regiones[Intervalo],Tabla54[[#This Row],[Intervalo]],Regiones[Skill],'BUPA Seguros'!$L$3)/Tabla54[[#This Row],[Atendidas]],0)</f>
        <v>0</v>
      </c>
      <c r="H2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6" s="21">
        <f>IFERROR(Tabla54[[#This Row],[Atendidas]]/Tabla54[[#This Row],[Recibidas]],0)</f>
        <v>0</v>
      </c>
    </row>
    <row r="247" spans="2:9" x14ac:dyDescent="0.3">
      <c r="B247" s="25">
        <f>+B246</f>
        <v>46209</v>
      </c>
      <c r="C247" s="26">
        <v>2.0833333333333332E-2</v>
      </c>
      <c r="D247" s="19">
        <f>+SUMIFS(Regiones[Ofrecidas],Regiones[Fecha],Tabla54[[#This Row],[Fecha]],Regiones[Intervalo],Tabla54[[#This Row],[Intervalo]],Regiones[Skill],'BUPA Seguros'!$L$3)</f>
        <v>0</v>
      </c>
      <c r="E247" s="19">
        <f>+SUMIFS(Regiones[Contestadas],Regiones[Fecha],Tabla54[[#This Row],[Fecha]],Regiones[Intervalo],Tabla54[[#This Row],[Intervalo]],Regiones[Skill],'BUPA Seguros'!$L$3)</f>
        <v>0</v>
      </c>
      <c r="F247" s="20">
        <v>0</v>
      </c>
      <c r="G247" s="19">
        <f>IFERROR(SUMIFS(Regiones[TMO],Regiones[Fecha],Tabla54[[#This Row],[Fecha]],Regiones[Intervalo],Tabla54[[#This Row],[Intervalo]],Regiones[Skill],'BUPA Seguros'!$L$3)/Tabla54[[#This Row],[Atendidas]],0)</f>
        <v>0</v>
      </c>
      <c r="H2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7" s="21">
        <f>IFERROR(Tabla54[[#This Row],[Atendidas]]/Tabla54[[#This Row],[Recibidas]],0)</f>
        <v>0</v>
      </c>
    </row>
    <row r="248" spans="2:9" x14ac:dyDescent="0.3">
      <c r="B248" s="27">
        <f t="shared" ref="B248:B293" si="16">+B247</f>
        <v>46209</v>
      </c>
      <c r="C248" s="18">
        <v>4.1666666666666699E-2</v>
      </c>
      <c r="D248" s="19">
        <f>+SUMIFS(Regiones[Ofrecidas],Regiones[Fecha],Tabla54[[#This Row],[Fecha]],Regiones[Intervalo],Tabla54[[#This Row],[Intervalo]],Regiones[Skill],'BUPA Seguros'!$L$3)</f>
        <v>0</v>
      </c>
      <c r="E248" s="19">
        <f>+SUMIFS(Regiones[Contestadas],Regiones[Fecha],Tabla54[[#This Row],[Fecha]],Regiones[Intervalo],Tabla54[[#This Row],[Intervalo]],Regiones[Skill],'BUPA Seguros'!$L$3)</f>
        <v>0</v>
      </c>
      <c r="F248" s="20">
        <v>0</v>
      </c>
      <c r="G248" s="19">
        <f>IFERROR(SUMIFS(Regiones[TMO],Regiones[Fecha],Tabla54[[#This Row],[Fecha]],Regiones[Intervalo],Tabla54[[#This Row],[Intervalo]],Regiones[Skill],'BUPA Seguros'!$L$3)/Tabla54[[#This Row],[Atendidas]],0)</f>
        <v>0</v>
      </c>
      <c r="H2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8" s="21">
        <f>IFERROR(Tabla54[[#This Row],[Atendidas]]/Tabla54[[#This Row],[Recibidas]],0)</f>
        <v>0</v>
      </c>
    </row>
    <row r="249" spans="2:9" x14ac:dyDescent="0.3">
      <c r="B249" s="25">
        <f t="shared" si="16"/>
        <v>46209</v>
      </c>
      <c r="C249" s="26">
        <v>6.25E-2</v>
      </c>
      <c r="D249" s="19">
        <f>+SUMIFS(Regiones[Ofrecidas],Regiones[Fecha],Tabla54[[#This Row],[Fecha]],Regiones[Intervalo],Tabla54[[#This Row],[Intervalo]],Regiones[Skill],'BUPA Seguros'!$L$3)</f>
        <v>0</v>
      </c>
      <c r="E249" s="19">
        <f>+SUMIFS(Regiones[Contestadas],Regiones[Fecha],Tabla54[[#This Row],[Fecha]],Regiones[Intervalo],Tabla54[[#This Row],[Intervalo]],Regiones[Skill],'BUPA Seguros'!$L$3)</f>
        <v>0</v>
      </c>
      <c r="F249" s="20">
        <v>0</v>
      </c>
      <c r="G249" s="19">
        <f>IFERROR(SUMIFS(Regiones[TMO],Regiones[Fecha],Tabla54[[#This Row],[Fecha]],Regiones[Intervalo],Tabla54[[#This Row],[Intervalo]],Regiones[Skill],'BUPA Seguros'!$L$3)/Tabla54[[#This Row],[Atendidas]],0)</f>
        <v>0</v>
      </c>
      <c r="H2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49" s="21">
        <f>IFERROR(Tabla54[[#This Row],[Atendidas]]/Tabla54[[#This Row],[Recibidas]],0)</f>
        <v>0</v>
      </c>
    </row>
    <row r="250" spans="2:9" x14ac:dyDescent="0.3">
      <c r="B250" s="27">
        <f t="shared" si="16"/>
        <v>46209</v>
      </c>
      <c r="C250" s="18">
        <v>8.3333333333333301E-2</v>
      </c>
      <c r="D250" s="19">
        <f>+SUMIFS(Regiones[Ofrecidas],Regiones[Fecha],Tabla54[[#This Row],[Fecha]],Regiones[Intervalo],Tabla54[[#This Row],[Intervalo]],Regiones[Skill],'BUPA Seguros'!$L$3)</f>
        <v>0</v>
      </c>
      <c r="E250" s="19">
        <f>+SUMIFS(Regiones[Contestadas],Regiones[Fecha],Tabla54[[#This Row],[Fecha]],Regiones[Intervalo],Tabla54[[#This Row],[Intervalo]],Regiones[Skill],'BUPA Seguros'!$L$3)</f>
        <v>0</v>
      </c>
      <c r="F250" s="20">
        <v>0</v>
      </c>
      <c r="G250" s="19">
        <f>IFERROR(SUMIFS(Regiones[TMO],Regiones[Fecha],Tabla54[[#This Row],[Fecha]],Regiones[Intervalo],Tabla54[[#This Row],[Intervalo]],Regiones[Skill],'BUPA Seguros'!$L$3)/Tabla54[[#This Row],[Atendidas]],0)</f>
        <v>0</v>
      </c>
      <c r="H2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0" s="21">
        <f>IFERROR(Tabla54[[#This Row],[Atendidas]]/Tabla54[[#This Row],[Recibidas]],0)</f>
        <v>0</v>
      </c>
    </row>
    <row r="251" spans="2:9" x14ac:dyDescent="0.3">
      <c r="B251" s="25">
        <f t="shared" si="16"/>
        <v>46209</v>
      </c>
      <c r="C251" s="26">
        <v>0.104166666666667</v>
      </c>
      <c r="D251" s="19">
        <f>+SUMIFS(Regiones[Ofrecidas],Regiones[Fecha],Tabla54[[#This Row],[Fecha]],Regiones[Intervalo],Tabla54[[#This Row],[Intervalo]],Regiones[Skill],'BUPA Seguros'!$L$3)</f>
        <v>0</v>
      </c>
      <c r="E251" s="19">
        <f>+SUMIFS(Regiones[Contestadas],Regiones[Fecha],Tabla54[[#This Row],[Fecha]],Regiones[Intervalo],Tabla54[[#This Row],[Intervalo]],Regiones[Skill],'BUPA Seguros'!$L$3)</f>
        <v>0</v>
      </c>
      <c r="F251" s="20">
        <v>0</v>
      </c>
      <c r="G251" s="19">
        <f>IFERROR(SUMIFS(Regiones[TMO],Regiones[Fecha],Tabla54[[#This Row],[Fecha]],Regiones[Intervalo],Tabla54[[#This Row],[Intervalo]],Regiones[Skill],'BUPA Seguros'!$L$3)/Tabla54[[#This Row],[Atendidas]],0)</f>
        <v>0</v>
      </c>
      <c r="H2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1" s="21">
        <f>IFERROR(Tabla54[[#This Row],[Atendidas]]/Tabla54[[#This Row],[Recibidas]],0)</f>
        <v>0</v>
      </c>
    </row>
    <row r="252" spans="2:9" x14ac:dyDescent="0.3">
      <c r="B252" s="27">
        <f t="shared" si="16"/>
        <v>46209</v>
      </c>
      <c r="C252" s="18">
        <v>0.125</v>
      </c>
      <c r="D252" s="19">
        <f>+SUMIFS(Regiones[Ofrecidas],Regiones[Fecha],Tabla54[[#This Row],[Fecha]],Regiones[Intervalo],Tabla54[[#This Row],[Intervalo]],Regiones[Skill],'BUPA Seguros'!$L$3)</f>
        <v>0</v>
      </c>
      <c r="E252" s="19">
        <f>+SUMIFS(Regiones[Contestadas],Regiones[Fecha],Tabla54[[#This Row],[Fecha]],Regiones[Intervalo],Tabla54[[#This Row],[Intervalo]],Regiones[Skill],'BUPA Seguros'!$L$3)</f>
        <v>0</v>
      </c>
      <c r="F252" s="20">
        <v>0</v>
      </c>
      <c r="G252" s="19">
        <f>IFERROR(SUMIFS(Regiones[TMO],Regiones[Fecha],Tabla54[[#This Row],[Fecha]],Regiones[Intervalo],Tabla54[[#This Row],[Intervalo]],Regiones[Skill],'BUPA Seguros'!$L$3)/Tabla54[[#This Row],[Atendidas]],0)</f>
        <v>0</v>
      </c>
      <c r="H2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2" s="21">
        <f>IFERROR(Tabla54[[#This Row],[Atendidas]]/Tabla54[[#This Row],[Recibidas]],0)</f>
        <v>0</v>
      </c>
    </row>
    <row r="253" spans="2:9" x14ac:dyDescent="0.3">
      <c r="B253" s="25">
        <f t="shared" si="16"/>
        <v>46209</v>
      </c>
      <c r="C253" s="26">
        <v>0.14583333333333301</v>
      </c>
      <c r="D253" s="19">
        <f>+SUMIFS(Regiones[Ofrecidas],Regiones[Fecha],Tabla54[[#This Row],[Fecha]],Regiones[Intervalo],Tabla54[[#This Row],[Intervalo]],Regiones[Skill],'BUPA Seguros'!$L$3)</f>
        <v>0</v>
      </c>
      <c r="E253" s="19">
        <f>+SUMIFS(Regiones[Contestadas],Regiones[Fecha],Tabla54[[#This Row],[Fecha]],Regiones[Intervalo],Tabla54[[#This Row],[Intervalo]],Regiones[Skill],'BUPA Seguros'!$L$3)</f>
        <v>0</v>
      </c>
      <c r="F253" s="20">
        <v>0</v>
      </c>
      <c r="G253" s="19">
        <f>IFERROR(SUMIFS(Regiones[TMO],Regiones[Fecha],Tabla54[[#This Row],[Fecha]],Regiones[Intervalo],Tabla54[[#This Row],[Intervalo]],Regiones[Skill],'BUPA Seguros'!$L$3)/Tabla54[[#This Row],[Atendidas]],0)</f>
        <v>0</v>
      </c>
      <c r="H2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3" s="21">
        <f>IFERROR(Tabla54[[#This Row],[Atendidas]]/Tabla54[[#This Row],[Recibidas]],0)</f>
        <v>0</v>
      </c>
    </row>
    <row r="254" spans="2:9" x14ac:dyDescent="0.3">
      <c r="B254" s="27">
        <f t="shared" si="16"/>
        <v>46209</v>
      </c>
      <c r="C254" s="18">
        <v>0.16666666666666699</v>
      </c>
      <c r="D254" s="19">
        <f>+SUMIFS(Regiones[Ofrecidas],Regiones[Fecha],Tabla54[[#This Row],[Fecha]],Regiones[Intervalo],Tabla54[[#This Row],[Intervalo]],Regiones[Skill],'BUPA Seguros'!$L$3)</f>
        <v>0</v>
      </c>
      <c r="E254" s="19">
        <f>+SUMIFS(Regiones[Contestadas],Regiones[Fecha],Tabla54[[#This Row],[Fecha]],Regiones[Intervalo],Tabla54[[#This Row],[Intervalo]],Regiones[Skill],'BUPA Seguros'!$L$3)</f>
        <v>0</v>
      </c>
      <c r="F254" s="20">
        <v>0</v>
      </c>
      <c r="G254" s="19">
        <f>IFERROR(SUMIFS(Regiones[TMO],Regiones[Fecha],Tabla54[[#This Row],[Fecha]],Regiones[Intervalo],Tabla54[[#This Row],[Intervalo]],Regiones[Skill],'BUPA Seguros'!$L$3)/Tabla54[[#This Row],[Atendidas]],0)</f>
        <v>0</v>
      </c>
      <c r="H2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4" s="21">
        <f>IFERROR(Tabla54[[#This Row],[Atendidas]]/Tabla54[[#This Row],[Recibidas]],0)</f>
        <v>0</v>
      </c>
    </row>
    <row r="255" spans="2:9" x14ac:dyDescent="0.3">
      <c r="B255" s="25">
        <f t="shared" si="16"/>
        <v>46209</v>
      </c>
      <c r="C255" s="26">
        <v>0.1875</v>
      </c>
      <c r="D255" s="19">
        <f>+SUMIFS(Regiones[Ofrecidas],Regiones[Fecha],Tabla54[[#This Row],[Fecha]],Regiones[Intervalo],Tabla54[[#This Row],[Intervalo]],Regiones[Skill],'BUPA Seguros'!$L$3)</f>
        <v>0</v>
      </c>
      <c r="E255" s="19">
        <f>+SUMIFS(Regiones[Contestadas],Regiones[Fecha],Tabla54[[#This Row],[Fecha]],Regiones[Intervalo],Tabla54[[#This Row],[Intervalo]],Regiones[Skill],'BUPA Seguros'!$L$3)</f>
        <v>0</v>
      </c>
      <c r="F255" s="20">
        <v>0</v>
      </c>
      <c r="G255" s="19">
        <f>IFERROR(SUMIFS(Regiones[TMO],Regiones[Fecha],Tabla54[[#This Row],[Fecha]],Regiones[Intervalo],Tabla54[[#This Row],[Intervalo]],Regiones[Skill],'BUPA Seguros'!$L$3)/Tabla54[[#This Row],[Atendidas]],0)</f>
        <v>0</v>
      </c>
      <c r="H2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5" s="21">
        <f>IFERROR(Tabla54[[#This Row],[Atendidas]]/Tabla54[[#This Row],[Recibidas]],0)</f>
        <v>0</v>
      </c>
    </row>
    <row r="256" spans="2:9" x14ac:dyDescent="0.3">
      <c r="B256" s="27">
        <f t="shared" si="16"/>
        <v>46209</v>
      </c>
      <c r="C256" s="18">
        <v>0.20833333333333301</v>
      </c>
      <c r="D256" s="19">
        <f>+SUMIFS(Regiones[Ofrecidas],Regiones[Fecha],Tabla54[[#This Row],[Fecha]],Regiones[Intervalo],Tabla54[[#This Row],[Intervalo]],Regiones[Skill],'BUPA Seguros'!$L$3)</f>
        <v>0</v>
      </c>
      <c r="E256" s="19">
        <f>+SUMIFS(Regiones[Contestadas],Regiones[Fecha],Tabla54[[#This Row],[Fecha]],Regiones[Intervalo],Tabla54[[#This Row],[Intervalo]],Regiones[Skill],'BUPA Seguros'!$L$3)</f>
        <v>0</v>
      </c>
      <c r="F256" s="20">
        <v>0</v>
      </c>
      <c r="G256" s="19">
        <f>IFERROR(SUMIFS(Regiones[TMO],Regiones[Fecha],Tabla54[[#This Row],[Fecha]],Regiones[Intervalo],Tabla54[[#This Row],[Intervalo]],Regiones[Skill],'BUPA Seguros'!$L$3)/Tabla54[[#This Row],[Atendidas]],0)</f>
        <v>0</v>
      </c>
      <c r="H2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6" s="21">
        <f>IFERROR(Tabla54[[#This Row],[Atendidas]]/Tabla54[[#This Row],[Recibidas]],0)</f>
        <v>0</v>
      </c>
    </row>
    <row r="257" spans="2:9" x14ac:dyDescent="0.3">
      <c r="B257" s="25">
        <f t="shared" si="16"/>
        <v>46209</v>
      </c>
      <c r="C257" s="26">
        <v>0.22916666666666699</v>
      </c>
      <c r="D257" s="19">
        <f>+SUMIFS(Regiones[Ofrecidas],Regiones[Fecha],Tabla54[[#This Row],[Fecha]],Regiones[Intervalo],Tabla54[[#This Row],[Intervalo]],Regiones[Skill],'BUPA Seguros'!$L$3)</f>
        <v>0</v>
      </c>
      <c r="E257" s="19">
        <f>+SUMIFS(Regiones[Contestadas],Regiones[Fecha],Tabla54[[#This Row],[Fecha]],Regiones[Intervalo],Tabla54[[#This Row],[Intervalo]],Regiones[Skill],'BUPA Seguros'!$L$3)</f>
        <v>0</v>
      </c>
      <c r="F257" s="20">
        <v>0</v>
      </c>
      <c r="G257" s="19">
        <f>IFERROR(SUMIFS(Regiones[TMO],Regiones[Fecha],Tabla54[[#This Row],[Fecha]],Regiones[Intervalo],Tabla54[[#This Row],[Intervalo]],Regiones[Skill],'BUPA Seguros'!$L$3)/Tabla54[[#This Row],[Atendidas]],0)</f>
        <v>0</v>
      </c>
      <c r="H2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7" s="21">
        <f>IFERROR(Tabla54[[#This Row],[Atendidas]]/Tabla54[[#This Row],[Recibidas]],0)</f>
        <v>0</v>
      </c>
    </row>
    <row r="258" spans="2:9" x14ac:dyDescent="0.3">
      <c r="B258" s="27">
        <f t="shared" si="16"/>
        <v>46209</v>
      </c>
      <c r="C258" s="18">
        <v>0.25</v>
      </c>
      <c r="D258" s="19">
        <f>+SUMIFS(Regiones[Ofrecidas],Regiones[Fecha],Tabla54[[#This Row],[Fecha]],Regiones[Intervalo],Tabla54[[#This Row],[Intervalo]],Regiones[Skill],'BUPA Seguros'!$L$3)</f>
        <v>0</v>
      </c>
      <c r="E258" s="19">
        <f>+SUMIFS(Regiones[Contestadas],Regiones[Fecha],Tabla54[[#This Row],[Fecha]],Regiones[Intervalo],Tabla54[[#This Row],[Intervalo]],Regiones[Skill],'BUPA Seguros'!$L$3)</f>
        <v>0</v>
      </c>
      <c r="F258" s="20">
        <v>0</v>
      </c>
      <c r="G258" s="19">
        <f>IFERROR(SUMIFS(Regiones[TMO],Regiones[Fecha],Tabla54[[#This Row],[Fecha]],Regiones[Intervalo],Tabla54[[#This Row],[Intervalo]],Regiones[Skill],'BUPA Seguros'!$L$3)/Tabla54[[#This Row],[Atendidas]],0)</f>
        <v>0</v>
      </c>
      <c r="H2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8" s="21">
        <f>IFERROR(Tabla54[[#This Row],[Atendidas]]/Tabla54[[#This Row],[Recibidas]],0)</f>
        <v>0</v>
      </c>
    </row>
    <row r="259" spans="2:9" x14ac:dyDescent="0.3">
      <c r="B259" s="25">
        <f t="shared" si="16"/>
        <v>46209</v>
      </c>
      <c r="C259" s="26">
        <v>0.27083333333333298</v>
      </c>
      <c r="D259" s="19">
        <f>+SUMIFS(Regiones[Ofrecidas],Regiones[Fecha],Tabla54[[#This Row],[Fecha]],Regiones[Intervalo],Tabla54[[#This Row],[Intervalo]],Regiones[Skill],'BUPA Seguros'!$L$3)</f>
        <v>0</v>
      </c>
      <c r="E259" s="19">
        <f>+SUMIFS(Regiones[Contestadas],Regiones[Fecha],Tabla54[[#This Row],[Fecha]],Regiones[Intervalo],Tabla54[[#This Row],[Intervalo]],Regiones[Skill],'BUPA Seguros'!$L$3)</f>
        <v>0</v>
      </c>
      <c r="F259" s="20">
        <v>0</v>
      </c>
      <c r="G259" s="19">
        <f>IFERROR(SUMIFS(Regiones[TMO],Regiones[Fecha],Tabla54[[#This Row],[Fecha]],Regiones[Intervalo],Tabla54[[#This Row],[Intervalo]],Regiones[Skill],'BUPA Seguros'!$L$3)/Tabla54[[#This Row],[Atendidas]],0)</f>
        <v>0</v>
      </c>
      <c r="H2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59" s="21">
        <f>IFERROR(Tabla54[[#This Row],[Atendidas]]/Tabla54[[#This Row],[Recibidas]],0)</f>
        <v>0</v>
      </c>
    </row>
    <row r="260" spans="2:9" x14ac:dyDescent="0.3">
      <c r="B260" s="27">
        <f t="shared" si="16"/>
        <v>46209</v>
      </c>
      <c r="C260" s="18">
        <v>0.29166666666666702</v>
      </c>
      <c r="D260" s="19">
        <f>+SUMIFS(Regiones[Ofrecidas],Regiones[Fecha],Tabla54[[#This Row],[Fecha]],Regiones[Intervalo],Tabla54[[#This Row],[Intervalo]],Regiones[Skill],'BUPA Seguros'!$L$3)</f>
        <v>0</v>
      </c>
      <c r="E260" s="19">
        <f>+SUMIFS(Regiones[Contestadas],Regiones[Fecha],Tabla54[[#This Row],[Fecha]],Regiones[Intervalo],Tabla54[[#This Row],[Intervalo]],Regiones[Skill],'BUPA Seguros'!$L$3)</f>
        <v>0</v>
      </c>
      <c r="F260" s="20">
        <v>0</v>
      </c>
      <c r="G260" s="19">
        <f>IFERROR(SUMIFS(Regiones[TMO],Regiones[Fecha],Tabla54[[#This Row],[Fecha]],Regiones[Intervalo],Tabla54[[#This Row],[Intervalo]],Regiones[Skill],'BUPA Seguros'!$L$3)/Tabla54[[#This Row],[Atendidas]],0)</f>
        <v>0</v>
      </c>
      <c r="H2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0" s="21">
        <f>IFERROR(Tabla54[[#This Row],[Atendidas]]/Tabla54[[#This Row],[Recibidas]],0)</f>
        <v>0</v>
      </c>
    </row>
    <row r="261" spans="2:9" x14ac:dyDescent="0.3">
      <c r="B261" s="25">
        <f t="shared" si="16"/>
        <v>46209</v>
      </c>
      <c r="C261" s="26">
        <v>0.3125</v>
      </c>
      <c r="D261" s="19">
        <f>+SUMIFS(Regiones[Ofrecidas],Regiones[Fecha],Tabla54[[#This Row],[Fecha]],Regiones[Intervalo],Tabla54[[#This Row],[Intervalo]],Regiones[Skill],'BUPA Seguros'!$L$3)</f>
        <v>0</v>
      </c>
      <c r="E261" s="19">
        <f>+SUMIFS(Regiones[Contestadas],Regiones[Fecha],Tabla54[[#This Row],[Fecha]],Regiones[Intervalo],Tabla54[[#This Row],[Intervalo]],Regiones[Skill],'BUPA Seguros'!$L$3)</f>
        <v>0</v>
      </c>
      <c r="F261" s="20">
        <v>0</v>
      </c>
      <c r="G261" s="19">
        <f>IFERROR(SUMIFS(Regiones[TMO],Regiones[Fecha],Tabla54[[#This Row],[Fecha]],Regiones[Intervalo],Tabla54[[#This Row],[Intervalo]],Regiones[Skill],'BUPA Seguros'!$L$3)/Tabla54[[#This Row],[Atendidas]],0)</f>
        <v>0</v>
      </c>
      <c r="H2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1" s="21">
        <f>IFERROR(Tabla54[[#This Row],[Atendidas]]/Tabla54[[#This Row],[Recibidas]],0)</f>
        <v>0</v>
      </c>
    </row>
    <row r="262" spans="2:9" x14ac:dyDescent="0.3">
      <c r="B262" s="27">
        <f t="shared" si="16"/>
        <v>46209</v>
      </c>
      <c r="C262" s="18">
        <v>0.33333333333333298</v>
      </c>
      <c r="D262" s="19">
        <f>+SUMIFS(Regiones[Ofrecidas],Regiones[Fecha],Tabla54[[#This Row],[Fecha]],Regiones[Intervalo],Tabla54[[#This Row],[Intervalo]],Regiones[Skill],'BUPA Seguros'!$L$3)</f>
        <v>0</v>
      </c>
      <c r="E262" s="19">
        <f>+SUMIFS(Regiones[Contestadas],Regiones[Fecha],Tabla54[[#This Row],[Fecha]],Regiones[Intervalo],Tabla54[[#This Row],[Intervalo]],Regiones[Skill],'BUPA Seguros'!$L$3)</f>
        <v>0</v>
      </c>
      <c r="F262" s="20">
        <v>0</v>
      </c>
      <c r="G262" s="19">
        <f>IFERROR(SUMIFS(Regiones[TMO],Regiones[Fecha],Tabla54[[#This Row],[Fecha]],Regiones[Intervalo],Tabla54[[#This Row],[Intervalo]],Regiones[Skill],'BUPA Seguros'!$L$3)/Tabla54[[#This Row],[Atendidas]],0)</f>
        <v>0</v>
      </c>
      <c r="H2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2" s="21">
        <f>IFERROR(Tabla54[[#This Row],[Atendidas]]/Tabla54[[#This Row],[Recibidas]],0)</f>
        <v>0</v>
      </c>
    </row>
    <row r="263" spans="2:9" x14ac:dyDescent="0.3">
      <c r="B263" s="25">
        <f t="shared" si="16"/>
        <v>46209</v>
      </c>
      <c r="C263" s="26">
        <v>0.35416666666666702</v>
      </c>
      <c r="D263" s="19">
        <f>+SUMIFS(Regiones[Ofrecidas],Regiones[Fecha],Tabla54[[#This Row],[Fecha]],Regiones[Intervalo],Tabla54[[#This Row],[Intervalo]],Regiones[Skill],'BUPA Seguros'!$L$3)</f>
        <v>0</v>
      </c>
      <c r="E263" s="19">
        <f>+SUMIFS(Regiones[Contestadas],Regiones[Fecha],Tabla54[[#This Row],[Fecha]],Regiones[Intervalo],Tabla54[[#This Row],[Intervalo]],Regiones[Skill],'BUPA Seguros'!$L$3)</f>
        <v>0</v>
      </c>
      <c r="F263" s="20">
        <v>0</v>
      </c>
      <c r="G263" s="19">
        <f>IFERROR(SUMIFS(Regiones[TMO],Regiones[Fecha],Tabla54[[#This Row],[Fecha]],Regiones[Intervalo],Tabla54[[#This Row],[Intervalo]],Regiones[Skill],'BUPA Seguros'!$L$3)/Tabla54[[#This Row],[Atendidas]],0)</f>
        <v>0</v>
      </c>
      <c r="H2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3" s="21">
        <f>IFERROR(Tabla54[[#This Row],[Atendidas]]/Tabla54[[#This Row],[Recibidas]],0)</f>
        <v>0</v>
      </c>
    </row>
    <row r="264" spans="2:9" x14ac:dyDescent="0.3">
      <c r="B264" s="27">
        <f t="shared" si="16"/>
        <v>46209</v>
      </c>
      <c r="C264" s="18">
        <v>0.375</v>
      </c>
      <c r="D264" s="19">
        <f>+SUMIFS(Regiones[Ofrecidas],Regiones[Fecha],Tabla54[[#This Row],[Fecha]],Regiones[Intervalo],Tabla54[[#This Row],[Intervalo]],Regiones[Skill],'BUPA Seguros'!$L$3)</f>
        <v>0</v>
      </c>
      <c r="E264" s="19">
        <f>+SUMIFS(Regiones[Contestadas],Regiones[Fecha],Tabla54[[#This Row],[Fecha]],Regiones[Intervalo],Tabla54[[#This Row],[Intervalo]],Regiones[Skill],'BUPA Seguros'!$L$3)</f>
        <v>0</v>
      </c>
      <c r="F264" s="20">
        <v>51.985086338529541</v>
      </c>
      <c r="G264" s="19">
        <f>IFERROR(SUMIFS(Regiones[TMO],Regiones[Fecha],Tabla54[[#This Row],[Fecha]],Regiones[Intervalo],Tabla54[[#This Row],[Intervalo]],Regiones[Skill],'BUPA Seguros'!$L$3)/Tabla54[[#This Row],[Atendidas]],0)</f>
        <v>0</v>
      </c>
      <c r="H2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4" s="21">
        <f>IFERROR(Tabla54[[#This Row],[Atendidas]]/Tabla54[[#This Row],[Recibidas]],0)</f>
        <v>0</v>
      </c>
    </row>
    <row r="265" spans="2:9" x14ac:dyDescent="0.3">
      <c r="B265" s="25">
        <f t="shared" si="16"/>
        <v>46209</v>
      </c>
      <c r="C265" s="26">
        <v>0.39583333333333298</v>
      </c>
      <c r="D265" s="19">
        <f>+SUMIFS(Regiones[Ofrecidas],Regiones[Fecha],Tabla54[[#This Row],[Fecha]],Regiones[Intervalo],Tabla54[[#This Row],[Intervalo]],Regiones[Skill],'BUPA Seguros'!$L$3)</f>
        <v>0</v>
      </c>
      <c r="E265" s="19">
        <f>+SUMIFS(Regiones[Contestadas],Regiones[Fecha],Tabla54[[#This Row],[Fecha]],Regiones[Intervalo],Tabla54[[#This Row],[Intervalo]],Regiones[Skill],'BUPA Seguros'!$L$3)</f>
        <v>0</v>
      </c>
      <c r="F265" s="20">
        <v>52.405167844295427</v>
      </c>
      <c r="G265" s="19">
        <f>IFERROR(SUMIFS(Regiones[TMO],Regiones[Fecha],Tabla54[[#This Row],[Fecha]],Regiones[Intervalo],Tabla54[[#This Row],[Intervalo]],Regiones[Skill],'BUPA Seguros'!$L$3)/Tabla54[[#This Row],[Atendidas]],0)</f>
        <v>0</v>
      </c>
      <c r="H2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5" s="21">
        <f>IFERROR(Tabla54[[#This Row],[Atendidas]]/Tabla54[[#This Row],[Recibidas]],0)</f>
        <v>0</v>
      </c>
    </row>
    <row r="266" spans="2:9" x14ac:dyDescent="0.3">
      <c r="B266" s="27">
        <f t="shared" si="16"/>
        <v>46209</v>
      </c>
      <c r="C266" s="18">
        <v>0.41666666666666702</v>
      </c>
      <c r="D266" s="19">
        <f>+SUMIFS(Regiones[Ofrecidas],Regiones[Fecha],Tabla54[[#This Row],[Fecha]],Regiones[Intervalo],Tabla54[[#This Row],[Intervalo]],Regiones[Skill],'BUPA Seguros'!$L$3)</f>
        <v>0</v>
      </c>
      <c r="E266" s="19">
        <f>+SUMIFS(Regiones[Contestadas],Regiones[Fecha],Tabla54[[#This Row],[Fecha]],Regiones[Intervalo],Tabla54[[#This Row],[Intervalo]],Regiones[Skill],'BUPA Seguros'!$L$3)</f>
        <v>0</v>
      </c>
      <c r="F266" s="20">
        <v>53.429116514599805</v>
      </c>
      <c r="G266" s="19">
        <f>IFERROR(SUMIFS(Regiones[TMO],Regiones[Fecha],Tabla54[[#This Row],[Fecha]],Regiones[Intervalo],Tabla54[[#This Row],[Intervalo]],Regiones[Skill],'BUPA Seguros'!$L$3)/Tabla54[[#This Row],[Atendidas]],0)</f>
        <v>0</v>
      </c>
      <c r="H2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6" s="21">
        <f>IFERROR(Tabla54[[#This Row],[Atendidas]]/Tabla54[[#This Row],[Recibidas]],0)</f>
        <v>0</v>
      </c>
    </row>
    <row r="267" spans="2:9" x14ac:dyDescent="0.3">
      <c r="B267" s="25">
        <f t="shared" si="16"/>
        <v>46209</v>
      </c>
      <c r="C267" s="26">
        <v>0.4375</v>
      </c>
      <c r="D267" s="19">
        <f>+SUMIFS(Regiones[Ofrecidas],Regiones[Fecha],Tabla54[[#This Row],[Fecha]],Regiones[Intervalo],Tabla54[[#This Row],[Intervalo]],Regiones[Skill],'BUPA Seguros'!$L$3)</f>
        <v>0</v>
      </c>
      <c r="E267" s="19">
        <f>+SUMIFS(Regiones[Contestadas],Regiones[Fecha],Tabla54[[#This Row],[Fecha]],Regiones[Intervalo],Tabla54[[#This Row],[Intervalo]],Regiones[Skill],'BUPA Seguros'!$L$3)</f>
        <v>0</v>
      </c>
      <c r="F267" s="20">
        <v>54.785629710302167</v>
      </c>
      <c r="G267" s="19">
        <f>IFERROR(SUMIFS(Regiones[TMO],Regiones[Fecha],Tabla54[[#This Row],[Fecha]],Regiones[Intervalo],Tabla54[[#This Row],[Intervalo]],Regiones[Skill],'BUPA Seguros'!$L$3)/Tabla54[[#This Row],[Atendidas]],0)</f>
        <v>0</v>
      </c>
      <c r="H2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7" s="21">
        <f>IFERROR(Tabla54[[#This Row],[Atendidas]]/Tabla54[[#This Row],[Recibidas]],0)</f>
        <v>0</v>
      </c>
    </row>
    <row r="268" spans="2:9" x14ac:dyDescent="0.3">
      <c r="B268" s="27">
        <f t="shared" si="16"/>
        <v>46209</v>
      </c>
      <c r="C268" s="18">
        <v>0.45833333333333298</v>
      </c>
      <c r="D268" s="19">
        <f>+SUMIFS(Regiones[Ofrecidas],Regiones[Fecha],Tabla54[[#This Row],[Fecha]],Regiones[Intervalo],Tabla54[[#This Row],[Intervalo]],Regiones[Skill],'BUPA Seguros'!$L$3)</f>
        <v>0</v>
      </c>
      <c r="E268" s="19">
        <f>+SUMIFS(Regiones[Contestadas],Regiones[Fecha],Tabla54[[#This Row],[Fecha]],Regiones[Intervalo],Tabla54[[#This Row],[Intervalo]],Regiones[Skill],'BUPA Seguros'!$L$3)</f>
        <v>0</v>
      </c>
      <c r="F268" s="20">
        <v>56.273418376556378</v>
      </c>
      <c r="G268" s="19">
        <f>IFERROR(SUMIFS(Regiones[TMO],Regiones[Fecha],Tabla54[[#This Row],[Fecha]],Regiones[Intervalo],Tabla54[[#This Row],[Intervalo]],Regiones[Skill],'BUPA Seguros'!$L$3)/Tabla54[[#This Row],[Atendidas]],0)</f>
        <v>0</v>
      </c>
      <c r="H2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8" s="21">
        <f>IFERROR(Tabla54[[#This Row],[Atendidas]]/Tabla54[[#This Row],[Recibidas]],0)</f>
        <v>0</v>
      </c>
    </row>
    <row r="269" spans="2:9" x14ac:dyDescent="0.3">
      <c r="B269" s="25">
        <f t="shared" si="16"/>
        <v>46209</v>
      </c>
      <c r="C269" s="26">
        <v>0.47916666666666702</v>
      </c>
      <c r="D269" s="19">
        <f>+SUMIFS(Regiones[Ofrecidas],Regiones[Fecha],Tabla54[[#This Row],[Fecha]],Regiones[Intervalo],Tabla54[[#This Row],[Intervalo]],Regiones[Skill],'BUPA Seguros'!$L$3)</f>
        <v>0</v>
      </c>
      <c r="E269" s="19">
        <f>+SUMIFS(Regiones[Contestadas],Regiones[Fecha],Tabla54[[#This Row],[Fecha]],Regiones[Intervalo],Tabla54[[#This Row],[Intervalo]],Regiones[Skill],'BUPA Seguros'!$L$3)</f>
        <v>0</v>
      </c>
      <c r="F269" s="20">
        <v>55.135697631773745</v>
      </c>
      <c r="G269" s="19">
        <f>IFERROR(SUMIFS(Regiones[TMO],Regiones[Fecha],Tabla54[[#This Row],[Fecha]],Regiones[Intervalo],Tabla54[[#This Row],[Intervalo]],Regiones[Skill],'BUPA Seguros'!$L$3)/Tabla54[[#This Row],[Atendidas]],0)</f>
        <v>0</v>
      </c>
      <c r="H2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69" s="21">
        <f>IFERROR(Tabla54[[#This Row],[Atendidas]]/Tabla54[[#This Row],[Recibidas]],0)</f>
        <v>0</v>
      </c>
    </row>
    <row r="270" spans="2:9" x14ac:dyDescent="0.3">
      <c r="B270" s="27">
        <f t="shared" si="16"/>
        <v>46209</v>
      </c>
      <c r="C270" s="18">
        <v>0.5</v>
      </c>
      <c r="D270" s="19">
        <f>+SUMIFS(Regiones[Ofrecidas],Regiones[Fecha],Tabla54[[#This Row],[Fecha]],Regiones[Intervalo],Tabla54[[#This Row],[Intervalo]],Regiones[Skill],'BUPA Seguros'!$L$3)</f>
        <v>0</v>
      </c>
      <c r="E270" s="19">
        <f>+SUMIFS(Regiones[Contestadas],Regiones[Fecha],Tabla54[[#This Row],[Fecha]],Regiones[Intervalo],Tabla54[[#This Row],[Intervalo]],Regiones[Skill],'BUPA Seguros'!$L$3)</f>
        <v>0</v>
      </c>
      <c r="F270" s="20">
        <v>54.085493867359027</v>
      </c>
      <c r="G270" s="19">
        <f>IFERROR(SUMIFS(Regiones[TMO],Regiones[Fecha],Tabla54[[#This Row],[Fecha]],Regiones[Intervalo],Tabla54[[#This Row],[Intervalo]],Regiones[Skill],'BUPA Seguros'!$L$3)/Tabla54[[#This Row],[Atendidas]],0)</f>
        <v>0</v>
      </c>
      <c r="H2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0" s="21">
        <f>IFERROR(Tabla54[[#This Row],[Atendidas]]/Tabla54[[#This Row],[Recibidas]],0)</f>
        <v>0</v>
      </c>
    </row>
    <row r="271" spans="2:9" x14ac:dyDescent="0.3">
      <c r="B271" s="25">
        <f t="shared" si="16"/>
        <v>46209</v>
      </c>
      <c r="C271" s="26">
        <v>0.52083333333333304</v>
      </c>
      <c r="D271" s="19">
        <f>+SUMIFS(Regiones[Ofrecidas],Regiones[Fecha],Tabla54[[#This Row],[Fecha]],Regiones[Intervalo],Tabla54[[#This Row],[Intervalo]],Regiones[Skill],'BUPA Seguros'!$L$3)</f>
        <v>0</v>
      </c>
      <c r="E271" s="19">
        <f>+SUMIFS(Regiones[Contestadas],Regiones[Fecha],Tabla54[[#This Row],[Fecha]],Regiones[Intervalo],Tabla54[[#This Row],[Intervalo]],Regiones[Skill],'BUPA Seguros'!$L$3)</f>
        <v>0</v>
      </c>
      <c r="F271" s="20">
        <v>50.147229750803746</v>
      </c>
      <c r="G271" s="19">
        <f>IFERROR(SUMIFS(Regiones[TMO],Regiones[Fecha],Tabla54[[#This Row],[Fecha]],Regiones[Intervalo],Tabla54[[#This Row],[Intervalo]],Regiones[Skill],'BUPA Seguros'!$L$3)/Tabla54[[#This Row],[Atendidas]],0)</f>
        <v>0</v>
      </c>
      <c r="H2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1" s="21">
        <f>IFERROR(Tabla54[[#This Row],[Atendidas]]/Tabla54[[#This Row],[Recibidas]],0)</f>
        <v>0</v>
      </c>
    </row>
    <row r="272" spans="2:9" x14ac:dyDescent="0.3">
      <c r="B272" s="27">
        <f t="shared" si="16"/>
        <v>46209</v>
      </c>
      <c r="C272" s="18">
        <v>0.54166666666666696</v>
      </c>
      <c r="D272" s="19">
        <f>+SUMIFS(Regiones[Ofrecidas],Regiones[Fecha],Tabla54[[#This Row],[Fecha]],Regiones[Intervalo],Tabla54[[#This Row],[Intervalo]],Regiones[Skill],'BUPA Seguros'!$L$3)</f>
        <v>0</v>
      </c>
      <c r="E272" s="19">
        <f>+SUMIFS(Regiones[Contestadas],Regiones[Fecha],Tabla54[[#This Row],[Fecha]],Regiones[Intervalo],Tabla54[[#This Row],[Intervalo]],Regiones[Skill],'BUPA Seguros'!$L$3)</f>
        <v>0</v>
      </c>
      <c r="F272" s="20">
        <v>47.311679586883962</v>
      </c>
      <c r="G272" s="19">
        <f>IFERROR(SUMIFS(Regiones[TMO],Regiones[Fecha],Tabla54[[#This Row],[Fecha]],Regiones[Intervalo],Tabla54[[#This Row],[Intervalo]],Regiones[Skill],'BUPA Seguros'!$L$3)/Tabla54[[#This Row],[Atendidas]],0)</f>
        <v>0</v>
      </c>
      <c r="H2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2" s="21">
        <f>IFERROR(Tabla54[[#This Row],[Atendidas]]/Tabla54[[#This Row],[Recibidas]],0)</f>
        <v>0</v>
      </c>
    </row>
    <row r="273" spans="2:9" x14ac:dyDescent="0.3">
      <c r="B273" s="25">
        <f t="shared" si="16"/>
        <v>46209</v>
      </c>
      <c r="C273" s="26">
        <v>0.5625</v>
      </c>
      <c r="D273" s="19">
        <f>+SUMIFS(Regiones[Ofrecidas],Regiones[Fecha],Tabla54[[#This Row],[Fecha]],Regiones[Intervalo],Tabla54[[#This Row],[Intervalo]],Regiones[Skill],'BUPA Seguros'!$L$3)</f>
        <v>0</v>
      </c>
      <c r="E273" s="19">
        <f>+SUMIFS(Regiones[Contestadas],Regiones[Fecha],Tabla54[[#This Row],[Fecha]],Regiones[Intervalo],Tabla54[[#This Row],[Intervalo]],Regiones[Skill],'BUPA Seguros'!$L$3)</f>
        <v>0</v>
      </c>
      <c r="F273" s="20">
        <v>43.846007164315331</v>
      </c>
      <c r="G273" s="19">
        <f>IFERROR(SUMIFS(Regiones[TMO],Regiones[Fecha],Tabla54[[#This Row],[Fecha]],Regiones[Intervalo],Tabla54[[#This Row],[Intervalo]],Regiones[Skill],'BUPA Seguros'!$L$3)/Tabla54[[#This Row],[Atendidas]],0)</f>
        <v>0</v>
      </c>
      <c r="H2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3" s="21">
        <f>IFERROR(Tabla54[[#This Row],[Atendidas]]/Tabla54[[#This Row],[Recibidas]],0)</f>
        <v>0</v>
      </c>
    </row>
    <row r="274" spans="2:9" x14ac:dyDescent="0.3">
      <c r="B274" s="27">
        <f t="shared" si="16"/>
        <v>46209</v>
      </c>
      <c r="C274" s="18">
        <v>0.58333333333333304</v>
      </c>
      <c r="D274" s="19">
        <f>+SUMIFS(Regiones[Ofrecidas],Regiones[Fecha],Tabla54[[#This Row],[Fecha]],Regiones[Intervalo],Tabla54[[#This Row],[Intervalo]],Regiones[Skill],'BUPA Seguros'!$L$3)</f>
        <v>0</v>
      </c>
      <c r="E274" s="19">
        <f>+SUMIFS(Regiones[Contestadas],Regiones[Fecha],Tabla54[[#This Row],[Fecha]],Regiones[Intervalo],Tabla54[[#This Row],[Intervalo]],Regiones[Skill],'BUPA Seguros'!$L$3)</f>
        <v>0</v>
      </c>
      <c r="F274" s="20">
        <v>42.218191329472475</v>
      </c>
      <c r="G274" s="19">
        <f>IFERROR(SUMIFS(Regiones[TMO],Regiones[Fecha],Tabla54[[#This Row],[Fecha]],Regiones[Intervalo],Tabla54[[#This Row],[Intervalo]],Regiones[Skill],'BUPA Seguros'!$L$3)/Tabla54[[#This Row],[Atendidas]],0)</f>
        <v>0</v>
      </c>
      <c r="H2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4" s="21">
        <f>IFERROR(Tabla54[[#This Row],[Atendidas]]/Tabla54[[#This Row],[Recibidas]],0)</f>
        <v>0</v>
      </c>
    </row>
    <row r="275" spans="2:9" x14ac:dyDescent="0.3">
      <c r="B275" s="25">
        <f t="shared" si="16"/>
        <v>46209</v>
      </c>
      <c r="C275" s="26">
        <v>0.60416666666666696</v>
      </c>
      <c r="D275" s="19">
        <f>+SUMIFS(Regiones[Ofrecidas],Regiones[Fecha],Tabla54[[#This Row],[Fecha]],Regiones[Intervalo],Tabla54[[#This Row],[Intervalo]],Regiones[Skill],'BUPA Seguros'!$L$3)</f>
        <v>0</v>
      </c>
      <c r="E275" s="19">
        <f>+SUMIFS(Regiones[Contestadas],Regiones[Fecha],Tabla54[[#This Row],[Fecha]],Regiones[Intervalo],Tabla54[[#This Row],[Intervalo]],Regiones[Skill],'BUPA Seguros'!$L$3)</f>
        <v>0</v>
      </c>
      <c r="F275" s="20">
        <v>41.22049775327848</v>
      </c>
      <c r="G275" s="19">
        <f>IFERROR(SUMIFS(Regiones[TMO],Regiones[Fecha],Tabla54[[#This Row],[Fecha]],Regiones[Intervalo],Tabla54[[#This Row],[Intervalo]],Regiones[Skill],'BUPA Seguros'!$L$3)/Tabla54[[#This Row],[Atendidas]],0)</f>
        <v>0</v>
      </c>
      <c r="H2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5" s="21">
        <f>IFERROR(Tabla54[[#This Row],[Atendidas]]/Tabla54[[#This Row],[Recibidas]],0)</f>
        <v>0</v>
      </c>
    </row>
    <row r="276" spans="2:9" x14ac:dyDescent="0.3">
      <c r="B276" s="27">
        <f t="shared" si="16"/>
        <v>46209</v>
      </c>
      <c r="C276" s="18">
        <v>0.625</v>
      </c>
      <c r="D276" s="19">
        <f>+SUMIFS(Regiones[Ofrecidas],Regiones[Fecha],Tabla54[[#This Row],[Fecha]],Regiones[Intervalo],Tabla54[[#This Row],[Intervalo]],Regiones[Skill],'BUPA Seguros'!$L$3)</f>
        <v>0</v>
      </c>
      <c r="E276" s="19">
        <f>+SUMIFS(Regiones[Contestadas],Regiones[Fecha],Tabla54[[#This Row],[Fecha]],Regiones[Intervalo],Tabla54[[#This Row],[Intervalo]],Regiones[Skill],'BUPA Seguros'!$L$3)</f>
        <v>0</v>
      </c>
      <c r="F276" s="20">
        <v>40.922940020027625</v>
      </c>
      <c r="G276" s="19">
        <f>IFERROR(SUMIFS(Regiones[TMO],Regiones[Fecha],Tabla54[[#This Row],[Fecha]],Regiones[Intervalo],Tabla54[[#This Row],[Intervalo]],Regiones[Skill],'BUPA Seguros'!$L$3)/Tabla54[[#This Row],[Atendidas]],0)</f>
        <v>0</v>
      </c>
      <c r="H2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6" s="21">
        <f>IFERROR(Tabla54[[#This Row],[Atendidas]]/Tabla54[[#This Row],[Recibidas]],0)</f>
        <v>0</v>
      </c>
    </row>
    <row r="277" spans="2:9" x14ac:dyDescent="0.3">
      <c r="B277" s="25">
        <f t="shared" si="16"/>
        <v>46209</v>
      </c>
      <c r="C277" s="26">
        <v>0.64583333333333304</v>
      </c>
      <c r="D277" s="19">
        <f>+SUMIFS(Regiones[Ofrecidas],Regiones[Fecha],Tabla54[[#This Row],[Fecha]],Regiones[Intervalo],Tabla54[[#This Row],[Intervalo]],Regiones[Skill],'BUPA Seguros'!$L$3)</f>
        <v>0</v>
      </c>
      <c r="E277" s="19">
        <f>+SUMIFS(Regiones[Contestadas],Regiones[Fecha],Tabla54[[#This Row],[Fecha]],Regiones[Intervalo],Tabla54[[#This Row],[Intervalo]],Regiones[Skill],'BUPA Seguros'!$L$3)</f>
        <v>0</v>
      </c>
      <c r="F277" s="20">
        <v>40.59037549462964</v>
      </c>
      <c r="G277" s="19">
        <f>IFERROR(SUMIFS(Regiones[TMO],Regiones[Fecha],Tabla54[[#This Row],[Fecha]],Regiones[Intervalo],Tabla54[[#This Row],[Intervalo]],Regiones[Skill],'BUPA Seguros'!$L$3)/Tabla54[[#This Row],[Atendidas]],0)</f>
        <v>0</v>
      </c>
      <c r="H2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7" s="21">
        <f>IFERROR(Tabla54[[#This Row],[Atendidas]]/Tabla54[[#This Row],[Recibidas]],0)</f>
        <v>0</v>
      </c>
    </row>
    <row r="278" spans="2:9" x14ac:dyDescent="0.3">
      <c r="B278" s="27">
        <f t="shared" si="16"/>
        <v>46209</v>
      </c>
      <c r="C278" s="18">
        <v>0.66666666666666696</v>
      </c>
      <c r="D278" s="19">
        <f>+SUMIFS(Regiones[Ofrecidas],Regiones[Fecha],Tabla54[[#This Row],[Fecha]],Regiones[Intervalo],Tabla54[[#This Row],[Intervalo]],Regiones[Skill],'BUPA Seguros'!$L$3)</f>
        <v>0</v>
      </c>
      <c r="E278" s="19">
        <f>+SUMIFS(Regiones[Contestadas],Regiones[Fecha],Tabla54[[#This Row],[Fecha]],Regiones[Intervalo],Tabla54[[#This Row],[Intervalo]],Regiones[Skill],'BUPA Seguros'!$L$3)</f>
        <v>0</v>
      </c>
      <c r="F278" s="20">
        <v>39.618937012545999</v>
      </c>
      <c r="G278" s="19">
        <f>IFERROR(SUMIFS(Regiones[TMO],Regiones[Fecha],Tabla54[[#This Row],[Fecha]],Regiones[Intervalo],Tabla54[[#This Row],[Intervalo]],Regiones[Skill],'BUPA Seguros'!$L$3)/Tabla54[[#This Row],[Atendidas]],0)</f>
        <v>0</v>
      </c>
      <c r="H2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8" s="21">
        <f>IFERROR(Tabla54[[#This Row],[Atendidas]]/Tabla54[[#This Row],[Recibidas]],0)</f>
        <v>0</v>
      </c>
    </row>
    <row r="279" spans="2:9" x14ac:dyDescent="0.3">
      <c r="B279" s="25">
        <f t="shared" si="16"/>
        <v>46209</v>
      </c>
      <c r="C279" s="26">
        <v>0.6875</v>
      </c>
      <c r="D279" s="19">
        <f>+SUMIFS(Regiones[Ofrecidas],Regiones[Fecha],Tabla54[[#This Row],[Fecha]],Regiones[Intervalo],Tabla54[[#This Row],[Intervalo]],Regiones[Skill],'BUPA Seguros'!$L$3)</f>
        <v>0</v>
      </c>
      <c r="E279" s="19">
        <f>+SUMIFS(Regiones[Contestadas],Regiones[Fecha],Tabla54[[#This Row],[Fecha]],Regiones[Intervalo],Tabla54[[#This Row],[Intervalo]],Regiones[Skill],'BUPA Seguros'!$L$3)</f>
        <v>0</v>
      </c>
      <c r="F279" s="20">
        <v>37.676060048378744</v>
      </c>
      <c r="G279" s="19">
        <f>IFERROR(SUMIFS(Regiones[TMO],Regiones[Fecha],Tabla54[[#This Row],[Fecha]],Regiones[Intervalo],Tabla54[[#This Row],[Intervalo]],Regiones[Skill],'BUPA Seguros'!$L$3)/Tabla54[[#This Row],[Atendidas]],0)</f>
        <v>0</v>
      </c>
      <c r="H2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79" s="21">
        <f>IFERROR(Tabla54[[#This Row],[Atendidas]]/Tabla54[[#This Row],[Recibidas]],0)</f>
        <v>0</v>
      </c>
    </row>
    <row r="280" spans="2:9" x14ac:dyDescent="0.3">
      <c r="B280" s="27">
        <f t="shared" si="16"/>
        <v>46209</v>
      </c>
      <c r="C280" s="18">
        <v>0.70833333333333304</v>
      </c>
      <c r="D280" s="19">
        <f>+SUMIFS(Regiones[Ofrecidas],Regiones[Fecha],Tabla54[[#This Row],[Fecha]],Regiones[Intervalo],Tabla54[[#This Row],[Intervalo]],Regiones[Skill],'BUPA Seguros'!$L$3)</f>
        <v>0</v>
      </c>
      <c r="E280" s="19">
        <f>+SUMIFS(Regiones[Contestadas],Regiones[Fecha],Tabla54[[#This Row],[Fecha]],Regiones[Intervalo],Tabla54[[#This Row],[Intervalo]],Regiones[Skill],'BUPA Seguros'!$L$3)</f>
        <v>0</v>
      </c>
      <c r="F280" s="20">
        <v>35.313101578445576</v>
      </c>
      <c r="G280" s="19">
        <f>IFERROR(SUMIFS(Regiones[TMO],Regiones[Fecha],Tabla54[[#This Row],[Fecha]],Regiones[Intervalo],Tabla54[[#This Row],[Intervalo]],Regiones[Skill],'BUPA Seguros'!$L$3)/Tabla54[[#This Row],[Atendidas]],0)</f>
        <v>0</v>
      </c>
      <c r="H2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0" s="21">
        <f>IFERROR(Tabla54[[#This Row],[Atendidas]]/Tabla54[[#This Row],[Recibidas]],0)</f>
        <v>0</v>
      </c>
    </row>
    <row r="281" spans="2:9" x14ac:dyDescent="0.3">
      <c r="B281" s="25">
        <f t="shared" si="16"/>
        <v>46209</v>
      </c>
      <c r="C281" s="26">
        <v>0.72916666666666696</v>
      </c>
      <c r="D281" s="19">
        <f>+SUMIFS(Regiones[Ofrecidas],Regiones[Fecha],Tabla54[[#This Row],[Fecha]],Regiones[Intervalo],Tabla54[[#This Row],[Intervalo]],Regiones[Skill],'BUPA Seguros'!$L$3)</f>
        <v>0</v>
      </c>
      <c r="E281" s="19">
        <f>+SUMIFS(Regiones[Contestadas],Regiones[Fecha],Tabla54[[#This Row],[Fecha]],Regiones[Intervalo],Tabla54[[#This Row],[Intervalo]],Regiones[Skill],'BUPA Seguros'!$L$3)</f>
        <v>0</v>
      </c>
      <c r="F281" s="20">
        <v>32.333148396918752</v>
      </c>
      <c r="G281" s="19">
        <f>IFERROR(SUMIFS(Regiones[TMO],Regiones[Fecha],Tabla54[[#This Row],[Fecha]],Regiones[Intervalo],Tabla54[[#This Row],[Intervalo]],Regiones[Skill],'BUPA Seguros'!$L$3)/Tabla54[[#This Row],[Atendidas]],0)</f>
        <v>0</v>
      </c>
      <c r="H2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1" s="21">
        <f>IFERROR(Tabla54[[#This Row],[Atendidas]]/Tabla54[[#This Row],[Recibidas]],0)</f>
        <v>0</v>
      </c>
    </row>
    <row r="282" spans="2:9" x14ac:dyDescent="0.3">
      <c r="B282" s="27">
        <f t="shared" si="16"/>
        <v>46209</v>
      </c>
      <c r="C282" s="18">
        <v>0.75</v>
      </c>
      <c r="D282" s="19">
        <f>+SUMIFS(Regiones[Ofrecidas],Regiones[Fecha],Tabla54[[#This Row],[Fecha]],Regiones[Intervalo],Tabla54[[#This Row],[Intervalo]],Regiones[Skill],'BUPA Seguros'!$L$3)</f>
        <v>0</v>
      </c>
      <c r="E282" s="19">
        <f>+SUMIFS(Regiones[Contestadas],Regiones[Fecha],Tabla54[[#This Row],[Fecha]],Regiones[Intervalo],Tabla54[[#This Row],[Intervalo]],Regiones[Skill],'BUPA Seguros'!$L$3)</f>
        <v>0</v>
      </c>
      <c r="F282" s="20">
        <v>0</v>
      </c>
      <c r="G282" s="19">
        <f>IFERROR(SUMIFS(Regiones[TMO],Regiones[Fecha],Tabla54[[#This Row],[Fecha]],Regiones[Intervalo],Tabla54[[#This Row],[Intervalo]],Regiones[Skill],'BUPA Seguros'!$L$3)/Tabla54[[#This Row],[Atendidas]],0)</f>
        <v>0</v>
      </c>
      <c r="H2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2" s="21">
        <f>IFERROR(Tabla54[[#This Row],[Atendidas]]/Tabla54[[#This Row],[Recibidas]],0)</f>
        <v>0</v>
      </c>
    </row>
    <row r="283" spans="2:9" x14ac:dyDescent="0.3">
      <c r="B283" s="25">
        <f t="shared" si="16"/>
        <v>46209</v>
      </c>
      <c r="C283" s="26">
        <v>0.77083333333333304</v>
      </c>
      <c r="D283" s="19">
        <f>+SUMIFS(Regiones[Ofrecidas],Regiones[Fecha],Tabla54[[#This Row],[Fecha]],Regiones[Intervalo],Tabla54[[#This Row],[Intervalo]],Regiones[Skill],'BUPA Seguros'!$L$3)</f>
        <v>0</v>
      </c>
      <c r="E283" s="19">
        <f>+SUMIFS(Regiones[Contestadas],Regiones[Fecha],Tabla54[[#This Row],[Fecha]],Regiones[Intervalo],Tabla54[[#This Row],[Intervalo]],Regiones[Skill],'BUPA Seguros'!$L$3)</f>
        <v>0</v>
      </c>
      <c r="F283" s="20">
        <v>0</v>
      </c>
      <c r="G283" s="19">
        <f>IFERROR(SUMIFS(Regiones[TMO],Regiones[Fecha],Tabla54[[#This Row],[Fecha]],Regiones[Intervalo],Tabla54[[#This Row],[Intervalo]],Regiones[Skill],'BUPA Seguros'!$L$3)/Tabla54[[#This Row],[Atendidas]],0)</f>
        <v>0</v>
      </c>
      <c r="H2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3" s="21">
        <f>IFERROR(Tabla54[[#This Row],[Atendidas]]/Tabla54[[#This Row],[Recibidas]],0)</f>
        <v>0</v>
      </c>
    </row>
    <row r="284" spans="2:9" x14ac:dyDescent="0.3">
      <c r="B284" s="27">
        <f t="shared" si="16"/>
        <v>46209</v>
      </c>
      <c r="C284" s="18">
        <v>0.79166666666666696</v>
      </c>
      <c r="D284" s="19">
        <f>+SUMIFS(Regiones[Ofrecidas],Regiones[Fecha],Tabla54[[#This Row],[Fecha]],Regiones[Intervalo],Tabla54[[#This Row],[Intervalo]],Regiones[Skill],'BUPA Seguros'!$L$3)</f>
        <v>0</v>
      </c>
      <c r="E284" s="19">
        <f>+SUMIFS(Regiones[Contestadas],Regiones[Fecha],Tabla54[[#This Row],[Fecha]],Regiones[Intervalo],Tabla54[[#This Row],[Intervalo]],Regiones[Skill],'BUPA Seguros'!$L$3)</f>
        <v>0</v>
      </c>
      <c r="F284" s="20">
        <v>0</v>
      </c>
      <c r="G284" s="19">
        <f>IFERROR(SUMIFS(Regiones[TMO],Regiones[Fecha],Tabla54[[#This Row],[Fecha]],Regiones[Intervalo],Tabla54[[#This Row],[Intervalo]],Regiones[Skill],'BUPA Seguros'!$L$3)/Tabla54[[#This Row],[Atendidas]],0)</f>
        <v>0</v>
      </c>
      <c r="H2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4" s="21">
        <f>IFERROR(Tabla54[[#This Row],[Atendidas]]/Tabla54[[#This Row],[Recibidas]],0)</f>
        <v>0</v>
      </c>
    </row>
    <row r="285" spans="2:9" x14ac:dyDescent="0.3">
      <c r="B285" s="25">
        <f t="shared" si="16"/>
        <v>46209</v>
      </c>
      <c r="C285" s="26">
        <v>0.8125</v>
      </c>
      <c r="D285" s="19">
        <f>+SUMIFS(Regiones[Ofrecidas],Regiones[Fecha],Tabla54[[#This Row],[Fecha]],Regiones[Intervalo],Tabla54[[#This Row],[Intervalo]],Regiones[Skill],'BUPA Seguros'!$L$3)</f>
        <v>0</v>
      </c>
      <c r="E285" s="19">
        <f>+SUMIFS(Regiones[Contestadas],Regiones[Fecha],Tabla54[[#This Row],[Fecha]],Regiones[Intervalo],Tabla54[[#This Row],[Intervalo]],Regiones[Skill],'BUPA Seguros'!$L$3)</f>
        <v>0</v>
      </c>
      <c r="F285" s="20">
        <v>0</v>
      </c>
      <c r="G285" s="19">
        <f>IFERROR(SUMIFS(Regiones[TMO],Regiones[Fecha],Tabla54[[#This Row],[Fecha]],Regiones[Intervalo],Tabla54[[#This Row],[Intervalo]],Regiones[Skill],'BUPA Seguros'!$L$3)/Tabla54[[#This Row],[Atendidas]],0)</f>
        <v>0</v>
      </c>
      <c r="H2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5" s="21">
        <f>IFERROR(Tabla54[[#This Row],[Atendidas]]/Tabla54[[#This Row],[Recibidas]],0)</f>
        <v>0</v>
      </c>
    </row>
    <row r="286" spans="2:9" x14ac:dyDescent="0.3">
      <c r="B286" s="27">
        <f t="shared" si="16"/>
        <v>46209</v>
      </c>
      <c r="C286" s="18">
        <v>0.83333333333333304</v>
      </c>
      <c r="D286" s="19">
        <f>+SUMIFS(Regiones[Ofrecidas],Regiones[Fecha],Tabla54[[#This Row],[Fecha]],Regiones[Intervalo],Tabla54[[#This Row],[Intervalo]],Regiones[Skill],'BUPA Seguros'!$L$3)</f>
        <v>0</v>
      </c>
      <c r="E286" s="19">
        <f>+SUMIFS(Regiones[Contestadas],Regiones[Fecha],Tabla54[[#This Row],[Fecha]],Regiones[Intervalo],Tabla54[[#This Row],[Intervalo]],Regiones[Skill],'BUPA Seguros'!$L$3)</f>
        <v>0</v>
      </c>
      <c r="F286" s="20">
        <v>0</v>
      </c>
      <c r="G286" s="19">
        <f>IFERROR(SUMIFS(Regiones[TMO],Regiones[Fecha],Tabla54[[#This Row],[Fecha]],Regiones[Intervalo],Tabla54[[#This Row],[Intervalo]],Regiones[Skill],'BUPA Seguros'!$L$3)/Tabla54[[#This Row],[Atendidas]],0)</f>
        <v>0</v>
      </c>
      <c r="H2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6" s="21">
        <f>IFERROR(Tabla54[[#This Row],[Atendidas]]/Tabla54[[#This Row],[Recibidas]],0)</f>
        <v>0</v>
      </c>
    </row>
    <row r="287" spans="2:9" x14ac:dyDescent="0.3">
      <c r="B287" s="25">
        <f t="shared" si="16"/>
        <v>46209</v>
      </c>
      <c r="C287" s="26">
        <v>0.85416666666666696</v>
      </c>
      <c r="D287" s="19">
        <f>+SUMIFS(Regiones[Ofrecidas],Regiones[Fecha],Tabla54[[#This Row],[Fecha]],Regiones[Intervalo],Tabla54[[#This Row],[Intervalo]],Regiones[Skill],'BUPA Seguros'!$L$3)</f>
        <v>0</v>
      </c>
      <c r="E287" s="19">
        <f>+SUMIFS(Regiones[Contestadas],Regiones[Fecha],Tabla54[[#This Row],[Fecha]],Regiones[Intervalo],Tabla54[[#This Row],[Intervalo]],Regiones[Skill],'BUPA Seguros'!$L$3)</f>
        <v>0</v>
      </c>
      <c r="F287" s="20">
        <v>0</v>
      </c>
      <c r="G287" s="19">
        <f>IFERROR(SUMIFS(Regiones[TMO],Regiones[Fecha],Tabla54[[#This Row],[Fecha]],Regiones[Intervalo],Tabla54[[#This Row],[Intervalo]],Regiones[Skill],'BUPA Seguros'!$L$3)/Tabla54[[#This Row],[Atendidas]],0)</f>
        <v>0</v>
      </c>
      <c r="H2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7" s="21">
        <f>IFERROR(Tabla54[[#This Row],[Atendidas]]/Tabla54[[#This Row],[Recibidas]],0)</f>
        <v>0</v>
      </c>
    </row>
    <row r="288" spans="2:9" x14ac:dyDescent="0.3">
      <c r="B288" s="27">
        <f t="shared" si="16"/>
        <v>46209</v>
      </c>
      <c r="C288" s="18">
        <v>0.875</v>
      </c>
      <c r="D288" s="19">
        <f>+SUMIFS(Regiones[Ofrecidas],Regiones[Fecha],Tabla54[[#This Row],[Fecha]],Regiones[Intervalo],Tabla54[[#This Row],[Intervalo]],Regiones[Skill],'BUPA Seguros'!$L$3)</f>
        <v>0</v>
      </c>
      <c r="E288" s="19">
        <f>+SUMIFS(Regiones[Contestadas],Regiones[Fecha],Tabla54[[#This Row],[Fecha]],Regiones[Intervalo],Tabla54[[#This Row],[Intervalo]],Regiones[Skill],'BUPA Seguros'!$L$3)</f>
        <v>0</v>
      </c>
      <c r="F288" s="20">
        <v>0</v>
      </c>
      <c r="G288" s="19">
        <f>IFERROR(SUMIFS(Regiones[TMO],Regiones[Fecha],Tabla54[[#This Row],[Fecha]],Regiones[Intervalo],Tabla54[[#This Row],[Intervalo]],Regiones[Skill],'BUPA Seguros'!$L$3)/Tabla54[[#This Row],[Atendidas]],0)</f>
        <v>0</v>
      </c>
      <c r="H2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8" s="21">
        <f>IFERROR(Tabla54[[#This Row],[Atendidas]]/Tabla54[[#This Row],[Recibidas]],0)</f>
        <v>0</v>
      </c>
    </row>
    <row r="289" spans="2:21" x14ac:dyDescent="0.3">
      <c r="B289" s="25">
        <f t="shared" si="16"/>
        <v>46209</v>
      </c>
      <c r="C289" s="26">
        <v>0.89583333333333304</v>
      </c>
      <c r="D289" s="19">
        <f>+SUMIFS(Regiones[Ofrecidas],Regiones[Fecha],Tabla54[[#This Row],[Fecha]],Regiones[Intervalo],Tabla54[[#This Row],[Intervalo]],Regiones[Skill],'BUPA Seguros'!$L$3)</f>
        <v>0</v>
      </c>
      <c r="E289" s="19">
        <f>+SUMIFS(Regiones[Contestadas],Regiones[Fecha],Tabla54[[#This Row],[Fecha]],Regiones[Intervalo],Tabla54[[#This Row],[Intervalo]],Regiones[Skill],'BUPA Seguros'!$L$3)</f>
        <v>0</v>
      </c>
      <c r="F289" s="20">
        <v>0</v>
      </c>
      <c r="G289" s="19">
        <f>IFERROR(SUMIFS(Regiones[TMO],Regiones[Fecha],Tabla54[[#This Row],[Fecha]],Regiones[Intervalo],Tabla54[[#This Row],[Intervalo]],Regiones[Skill],'BUPA Seguros'!$L$3)/Tabla54[[#This Row],[Atendidas]],0)</f>
        <v>0</v>
      </c>
      <c r="H2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89" s="21">
        <f>IFERROR(Tabla54[[#This Row],[Atendidas]]/Tabla54[[#This Row],[Recibidas]],0)</f>
        <v>0</v>
      </c>
    </row>
    <row r="290" spans="2:21" x14ac:dyDescent="0.3">
      <c r="B290" s="27">
        <f t="shared" si="16"/>
        <v>46209</v>
      </c>
      <c r="C290" s="18">
        <v>0.91666666666666696</v>
      </c>
      <c r="D290" s="19">
        <f>+SUMIFS(Regiones[Ofrecidas],Regiones[Fecha],Tabla54[[#This Row],[Fecha]],Regiones[Intervalo],Tabla54[[#This Row],[Intervalo]],Regiones[Skill],'BUPA Seguros'!$L$3)</f>
        <v>0</v>
      </c>
      <c r="E290" s="19">
        <f>+SUMIFS(Regiones[Contestadas],Regiones[Fecha],Tabla54[[#This Row],[Fecha]],Regiones[Intervalo],Tabla54[[#This Row],[Intervalo]],Regiones[Skill],'BUPA Seguros'!$L$3)</f>
        <v>0</v>
      </c>
      <c r="F290" s="20">
        <v>0</v>
      </c>
      <c r="G290" s="19">
        <f>IFERROR(SUMIFS(Regiones[TMO],Regiones[Fecha],Tabla54[[#This Row],[Fecha]],Regiones[Intervalo],Tabla54[[#This Row],[Intervalo]],Regiones[Skill],'BUPA Seguros'!$L$3)/Tabla54[[#This Row],[Atendidas]],0)</f>
        <v>0</v>
      </c>
      <c r="H2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0" s="21">
        <f>IFERROR(Tabla54[[#This Row],[Atendidas]]/Tabla54[[#This Row],[Recibidas]],0)</f>
        <v>0</v>
      </c>
    </row>
    <row r="291" spans="2:21" x14ac:dyDescent="0.3">
      <c r="B291" s="25">
        <f t="shared" si="16"/>
        <v>46209</v>
      </c>
      <c r="C291" s="26">
        <v>0.9375</v>
      </c>
      <c r="D291" s="19">
        <f>+SUMIFS(Regiones[Ofrecidas],Regiones[Fecha],Tabla54[[#This Row],[Fecha]],Regiones[Intervalo],Tabla54[[#This Row],[Intervalo]],Regiones[Skill],'BUPA Seguros'!$L$3)</f>
        <v>0</v>
      </c>
      <c r="E291" s="19">
        <f>+SUMIFS(Regiones[Contestadas],Regiones[Fecha],Tabla54[[#This Row],[Fecha]],Regiones[Intervalo],Tabla54[[#This Row],[Intervalo]],Regiones[Skill],'BUPA Seguros'!$L$3)</f>
        <v>0</v>
      </c>
      <c r="F291" s="20">
        <v>0</v>
      </c>
      <c r="G291" s="19">
        <f>IFERROR(SUMIFS(Regiones[TMO],Regiones[Fecha],Tabla54[[#This Row],[Fecha]],Regiones[Intervalo],Tabla54[[#This Row],[Intervalo]],Regiones[Skill],'BUPA Seguros'!$L$3)/Tabla54[[#This Row],[Atendidas]],0)</f>
        <v>0</v>
      </c>
      <c r="H2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1" s="21">
        <f>IFERROR(Tabla54[[#This Row],[Atendidas]]/Tabla54[[#This Row],[Recibidas]],0)</f>
        <v>0</v>
      </c>
    </row>
    <row r="292" spans="2:21" x14ac:dyDescent="0.3">
      <c r="B292" s="27">
        <f t="shared" si="16"/>
        <v>46209</v>
      </c>
      <c r="C292" s="18">
        <v>0.95833333333333304</v>
      </c>
      <c r="D292" s="19">
        <f>+SUMIFS(Regiones[Ofrecidas],Regiones[Fecha],Tabla54[[#This Row],[Fecha]],Regiones[Intervalo],Tabla54[[#This Row],[Intervalo]],Regiones[Skill],'BUPA Seguros'!$L$3)</f>
        <v>0</v>
      </c>
      <c r="E292" s="19">
        <f>+SUMIFS(Regiones[Contestadas],Regiones[Fecha],Tabla54[[#This Row],[Fecha]],Regiones[Intervalo],Tabla54[[#This Row],[Intervalo]],Regiones[Skill],'BUPA Seguros'!$L$3)</f>
        <v>0</v>
      </c>
      <c r="F292" s="20">
        <v>0</v>
      </c>
      <c r="G292" s="19">
        <f>IFERROR(SUMIFS(Regiones[TMO],Regiones[Fecha],Tabla54[[#This Row],[Fecha]],Regiones[Intervalo],Tabla54[[#This Row],[Intervalo]],Regiones[Skill],'BUPA Seguros'!$L$3)/Tabla54[[#This Row],[Atendidas]],0)</f>
        <v>0</v>
      </c>
      <c r="H2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2" s="21">
        <f>IFERROR(Tabla54[[#This Row],[Atendidas]]/Tabla54[[#This Row],[Recibidas]],0)</f>
        <v>0</v>
      </c>
    </row>
    <row r="293" spans="2:21" x14ac:dyDescent="0.3">
      <c r="B293" s="25">
        <f t="shared" si="16"/>
        <v>46209</v>
      </c>
      <c r="C293" s="26">
        <v>0.97916666666666696</v>
      </c>
      <c r="D293" s="19">
        <f>+SUMIFS(Regiones[Ofrecidas],Regiones[Fecha],Tabla54[[#This Row],[Fecha]],Regiones[Intervalo],Tabla54[[#This Row],[Intervalo]],Regiones[Skill],'BUPA Seguros'!$L$3)</f>
        <v>0</v>
      </c>
      <c r="E293" s="19">
        <f>+SUMIFS(Regiones[Contestadas],Regiones[Fecha],Tabla54[[#This Row],[Fecha]],Regiones[Intervalo],Tabla54[[#This Row],[Intervalo]],Regiones[Skill],'BUPA Seguros'!$L$3)</f>
        <v>0</v>
      </c>
      <c r="F293" s="20">
        <v>0</v>
      </c>
      <c r="G293" s="19">
        <f>IFERROR(SUMIFS(Regiones[TMO],Regiones[Fecha],Tabla54[[#This Row],[Fecha]],Regiones[Intervalo],Tabla54[[#This Row],[Intervalo]],Regiones[Skill],'BUPA Seguros'!$L$3)/Tabla54[[#This Row],[Atendidas]],0)</f>
        <v>0</v>
      </c>
      <c r="H2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3" s="21">
        <f>IFERROR(Tabla54[[#This Row],[Atendidas]]/Tabla54[[#This Row],[Recibidas]],0)</f>
        <v>0</v>
      </c>
      <c r="L293" s="32"/>
    </row>
    <row r="294" spans="2:21" x14ac:dyDescent="0.3">
      <c r="B294" s="27">
        <f>+B293+1</f>
        <v>46210</v>
      </c>
      <c r="C294" s="18">
        <v>0</v>
      </c>
      <c r="D294" s="32">
        <f>+SUMIFS(Regiones[Ofrecidas],Regiones[Fecha],Tabla54[[#This Row],[Fecha]],Regiones[Intervalo],Tabla54[[#This Row],[Intervalo]],Regiones[Skill],'BUPA Seguros'!$L$3)</f>
        <v>0</v>
      </c>
      <c r="E294" s="32">
        <f>+SUMIFS(Regiones[Contestadas],Regiones[Fecha],Tabla54[[#This Row],[Fecha]],Regiones[Intervalo],Tabla54[[#This Row],[Intervalo]],Regiones[Skill],'BUPA Seguros'!$L$3)</f>
        <v>0</v>
      </c>
      <c r="F294" s="33">
        <v>0</v>
      </c>
      <c r="G294" s="32">
        <f>IFERROR(SUMIFS(Regiones[TMO],Regiones[Fecha],Tabla54[[#This Row],[Fecha]],Regiones[Intervalo],Tabla54[[#This Row],[Intervalo]],Regiones[Skill],'BUPA Seguros'!$L$3)/Tabla54[[#This Row],[Atendidas]],0)</f>
        <v>0</v>
      </c>
      <c r="H294" s="34">
        <f>IFERROR(SUMIFS(Regiones[Aten &lt; 20 seg],Regiones[Fecha],Tabla54[[#This Row],[Fecha]],Regiones[Intervalo],Tabla54[[#This Row],[Intervalo]],Regiones[Skill],'BUPA Seguros'!$L$3)/Tabla54[[#This Row],[Recibidas]],0)</f>
        <v>0</v>
      </c>
      <c r="I294" s="34">
        <f>IFERROR(Tabla54[[#This Row],[Atendidas]]/Tabla54[[#This Row],[Recibidas]],0)</f>
        <v>0</v>
      </c>
      <c r="J294" s="32"/>
      <c r="K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 spans="2:21" x14ac:dyDescent="0.3">
      <c r="B295" s="25">
        <f>+B294</f>
        <v>46210</v>
      </c>
      <c r="C295" s="26">
        <v>2.0833333333333332E-2</v>
      </c>
      <c r="D295" s="19">
        <f>+SUMIFS(Regiones[Ofrecidas],Regiones[Fecha],Tabla54[[#This Row],[Fecha]],Regiones[Intervalo],Tabla54[[#This Row],[Intervalo]],Regiones[Skill],'BUPA Seguros'!$L$3)</f>
        <v>0</v>
      </c>
      <c r="E295" s="19">
        <f>+SUMIFS(Regiones[Contestadas],Regiones[Fecha],Tabla54[[#This Row],[Fecha]],Regiones[Intervalo],Tabla54[[#This Row],[Intervalo]],Regiones[Skill],'BUPA Seguros'!$L$3)</f>
        <v>0</v>
      </c>
      <c r="F295" s="20">
        <v>0</v>
      </c>
      <c r="G295" s="19">
        <f>IFERROR(SUMIFS(Regiones[TMO],Regiones[Fecha],Tabla54[[#This Row],[Fecha]],Regiones[Intervalo],Tabla54[[#This Row],[Intervalo]],Regiones[Skill],'BUPA Seguros'!$L$3)/Tabla54[[#This Row],[Atendidas]],0)</f>
        <v>0</v>
      </c>
      <c r="H2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5" s="21">
        <f>IFERROR(Tabla54[[#This Row],[Atendidas]]/Tabla54[[#This Row],[Recibidas]],0)</f>
        <v>0</v>
      </c>
    </row>
    <row r="296" spans="2:21" x14ac:dyDescent="0.3">
      <c r="B296" s="27">
        <f t="shared" ref="B296:B341" si="17">+B295</f>
        <v>46210</v>
      </c>
      <c r="C296" s="18">
        <v>4.1666666666666699E-2</v>
      </c>
      <c r="D296" s="19">
        <f>+SUMIFS(Regiones[Ofrecidas],Regiones[Fecha],Tabla54[[#This Row],[Fecha]],Regiones[Intervalo],Tabla54[[#This Row],[Intervalo]],Regiones[Skill],'BUPA Seguros'!$L$3)</f>
        <v>0</v>
      </c>
      <c r="E296" s="19">
        <f>+SUMIFS(Regiones[Contestadas],Regiones[Fecha],Tabla54[[#This Row],[Fecha]],Regiones[Intervalo],Tabla54[[#This Row],[Intervalo]],Regiones[Skill],'BUPA Seguros'!$L$3)</f>
        <v>0</v>
      </c>
      <c r="F296" s="20">
        <v>0</v>
      </c>
      <c r="G296" s="19">
        <f>IFERROR(SUMIFS(Regiones[TMO],Regiones[Fecha],Tabla54[[#This Row],[Fecha]],Regiones[Intervalo],Tabla54[[#This Row],[Intervalo]],Regiones[Skill],'BUPA Seguros'!$L$3)/Tabla54[[#This Row],[Atendidas]],0)</f>
        <v>0</v>
      </c>
      <c r="H2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6" s="21">
        <f>IFERROR(Tabla54[[#This Row],[Atendidas]]/Tabla54[[#This Row],[Recibidas]],0)</f>
        <v>0</v>
      </c>
    </row>
    <row r="297" spans="2:21" x14ac:dyDescent="0.3">
      <c r="B297" s="25">
        <f t="shared" si="17"/>
        <v>46210</v>
      </c>
      <c r="C297" s="26">
        <v>6.25E-2</v>
      </c>
      <c r="D297" s="19">
        <f>+SUMIFS(Regiones[Ofrecidas],Regiones[Fecha],Tabla54[[#This Row],[Fecha]],Regiones[Intervalo],Tabla54[[#This Row],[Intervalo]],Regiones[Skill],'BUPA Seguros'!$L$3)</f>
        <v>0</v>
      </c>
      <c r="E297" s="19">
        <f>+SUMIFS(Regiones[Contestadas],Regiones[Fecha],Tabla54[[#This Row],[Fecha]],Regiones[Intervalo],Tabla54[[#This Row],[Intervalo]],Regiones[Skill],'BUPA Seguros'!$L$3)</f>
        <v>0</v>
      </c>
      <c r="F297" s="20">
        <v>0</v>
      </c>
      <c r="G297" s="19">
        <f>IFERROR(SUMIFS(Regiones[TMO],Regiones[Fecha],Tabla54[[#This Row],[Fecha]],Regiones[Intervalo],Tabla54[[#This Row],[Intervalo]],Regiones[Skill],'BUPA Seguros'!$L$3)/Tabla54[[#This Row],[Atendidas]],0)</f>
        <v>0</v>
      </c>
      <c r="H2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7" s="21">
        <f>IFERROR(Tabla54[[#This Row],[Atendidas]]/Tabla54[[#This Row],[Recibidas]],0)</f>
        <v>0</v>
      </c>
    </row>
    <row r="298" spans="2:21" x14ac:dyDescent="0.3">
      <c r="B298" s="27">
        <f t="shared" si="17"/>
        <v>46210</v>
      </c>
      <c r="C298" s="18">
        <v>8.3333333333333301E-2</v>
      </c>
      <c r="D298" s="19">
        <f>+SUMIFS(Regiones[Ofrecidas],Regiones[Fecha],Tabla54[[#This Row],[Fecha]],Regiones[Intervalo],Tabla54[[#This Row],[Intervalo]],Regiones[Skill],'BUPA Seguros'!$L$3)</f>
        <v>0</v>
      </c>
      <c r="E298" s="19">
        <f>+SUMIFS(Regiones[Contestadas],Regiones[Fecha],Tabla54[[#This Row],[Fecha]],Regiones[Intervalo],Tabla54[[#This Row],[Intervalo]],Regiones[Skill],'BUPA Seguros'!$L$3)</f>
        <v>0</v>
      </c>
      <c r="F298" s="20">
        <v>0</v>
      </c>
      <c r="G298" s="19">
        <f>IFERROR(SUMIFS(Regiones[TMO],Regiones[Fecha],Tabla54[[#This Row],[Fecha]],Regiones[Intervalo],Tabla54[[#This Row],[Intervalo]],Regiones[Skill],'BUPA Seguros'!$L$3)/Tabla54[[#This Row],[Atendidas]],0)</f>
        <v>0</v>
      </c>
      <c r="H2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8" s="21">
        <f>IFERROR(Tabla54[[#This Row],[Atendidas]]/Tabla54[[#This Row],[Recibidas]],0)</f>
        <v>0</v>
      </c>
    </row>
    <row r="299" spans="2:21" x14ac:dyDescent="0.3">
      <c r="B299" s="25">
        <f t="shared" si="17"/>
        <v>46210</v>
      </c>
      <c r="C299" s="26">
        <v>0.104166666666667</v>
      </c>
      <c r="D299" s="19">
        <f>+SUMIFS(Regiones[Ofrecidas],Regiones[Fecha],Tabla54[[#This Row],[Fecha]],Regiones[Intervalo],Tabla54[[#This Row],[Intervalo]],Regiones[Skill],'BUPA Seguros'!$L$3)</f>
        <v>0</v>
      </c>
      <c r="E299" s="19">
        <f>+SUMIFS(Regiones[Contestadas],Regiones[Fecha],Tabla54[[#This Row],[Fecha]],Regiones[Intervalo],Tabla54[[#This Row],[Intervalo]],Regiones[Skill],'BUPA Seguros'!$L$3)</f>
        <v>0</v>
      </c>
      <c r="F299" s="20">
        <v>0</v>
      </c>
      <c r="G299" s="19">
        <f>IFERROR(SUMIFS(Regiones[TMO],Regiones[Fecha],Tabla54[[#This Row],[Fecha]],Regiones[Intervalo],Tabla54[[#This Row],[Intervalo]],Regiones[Skill],'BUPA Seguros'!$L$3)/Tabla54[[#This Row],[Atendidas]],0)</f>
        <v>0</v>
      </c>
      <c r="H2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299" s="21">
        <f>IFERROR(Tabla54[[#This Row],[Atendidas]]/Tabla54[[#This Row],[Recibidas]],0)</f>
        <v>0</v>
      </c>
    </row>
    <row r="300" spans="2:21" x14ac:dyDescent="0.3">
      <c r="B300" s="27">
        <f t="shared" si="17"/>
        <v>46210</v>
      </c>
      <c r="C300" s="18">
        <v>0.125</v>
      </c>
      <c r="D300" s="19">
        <f>+SUMIFS(Regiones[Ofrecidas],Regiones[Fecha],Tabla54[[#This Row],[Fecha]],Regiones[Intervalo],Tabla54[[#This Row],[Intervalo]],Regiones[Skill],'BUPA Seguros'!$L$3)</f>
        <v>0</v>
      </c>
      <c r="E300" s="19">
        <f>+SUMIFS(Regiones[Contestadas],Regiones[Fecha],Tabla54[[#This Row],[Fecha]],Regiones[Intervalo],Tabla54[[#This Row],[Intervalo]],Regiones[Skill],'BUPA Seguros'!$L$3)</f>
        <v>0</v>
      </c>
      <c r="F300" s="20">
        <v>0</v>
      </c>
      <c r="G300" s="19">
        <f>IFERROR(SUMIFS(Regiones[TMO],Regiones[Fecha],Tabla54[[#This Row],[Fecha]],Regiones[Intervalo],Tabla54[[#This Row],[Intervalo]],Regiones[Skill],'BUPA Seguros'!$L$3)/Tabla54[[#This Row],[Atendidas]],0)</f>
        <v>0</v>
      </c>
      <c r="H3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0" s="21">
        <f>IFERROR(Tabla54[[#This Row],[Atendidas]]/Tabla54[[#This Row],[Recibidas]],0)</f>
        <v>0</v>
      </c>
    </row>
    <row r="301" spans="2:21" x14ac:dyDescent="0.3">
      <c r="B301" s="25">
        <f t="shared" si="17"/>
        <v>46210</v>
      </c>
      <c r="C301" s="26">
        <v>0.14583333333333301</v>
      </c>
      <c r="D301" s="19">
        <f>+SUMIFS(Regiones[Ofrecidas],Regiones[Fecha],Tabla54[[#This Row],[Fecha]],Regiones[Intervalo],Tabla54[[#This Row],[Intervalo]],Regiones[Skill],'BUPA Seguros'!$L$3)</f>
        <v>0</v>
      </c>
      <c r="E301" s="19">
        <f>+SUMIFS(Regiones[Contestadas],Regiones[Fecha],Tabla54[[#This Row],[Fecha]],Regiones[Intervalo],Tabla54[[#This Row],[Intervalo]],Regiones[Skill],'BUPA Seguros'!$L$3)</f>
        <v>0</v>
      </c>
      <c r="F301" s="20">
        <v>0</v>
      </c>
      <c r="G301" s="19">
        <f>IFERROR(SUMIFS(Regiones[TMO],Regiones[Fecha],Tabla54[[#This Row],[Fecha]],Regiones[Intervalo],Tabla54[[#This Row],[Intervalo]],Regiones[Skill],'BUPA Seguros'!$L$3)/Tabla54[[#This Row],[Atendidas]],0)</f>
        <v>0</v>
      </c>
      <c r="H3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1" s="21">
        <f>IFERROR(Tabla54[[#This Row],[Atendidas]]/Tabla54[[#This Row],[Recibidas]],0)</f>
        <v>0</v>
      </c>
    </row>
    <row r="302" spans="2:21" x14ac:dyDescent="0.3">
      <c r="B302" s="27">
        <f t="shared" si="17"/>
        <v>46210</v>
      </c>
      <c r="C302" s="18">
        <v>0.16666666666666699</v>
      </c>
      <c r="D302" s="19">
        <f>+SUMIFS(Regiones[Ofrecidas],Regiones[Fecha],Tabla54[[#This Row],[Fecha]],Regiones[Intervalo],Tabla54[[#This Row],[Intervalo]],Regiones[Skill],'BUPA Seguros'!$L$3)</f>
        <v>0</v>
      </c>
      <c r="E302" s="19">
        <f>+SUMIFS(Regiones[Contestadas],Regiones[Fecha],Tabla54[[#This Row],[Fecha]],Regiones[Intervalo],Tabla54[[#This Row],[Intervalo]],Regiones[Skill],'BUPA Seguros'!$L$3)</f>
        <v>0</v>
      </c>
      <c r="F302" s="20">
        <v>0</v>
      </c>
      <c r="G302" s="19">
        <f>IFERROR(SUMIFS(Regiones[TMO],Regiones[Fecha],Tabla54[[#This Row],[Fecha]],Regiones[Intervalo],Tabla54[[#This Row],[Intervalo]],Regiones[Skill],'BUPA Seguros'!$L$3)/Tabla54[[#This Row],[Atendidas]],0)</f>
        <v>0</v>
      </c>
      <c r="H3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2" s="21">
        <f>IFERROR(Tabla54[[#This Row],[Atendidas]]/Tabla54[[#This Row],[Recibidas]],0)</f>
        <v>0</v>
      </c>
    </row>
    <row r="303" spans="2:21" x14ac:dyDescent="0.3">
      <c r="B303" s="25">
        <f t="shared" si="17"/>
        <v>46210</v>
      </c>
      <c r="C303" s="26">
        <v>0.1875</v>
      </c>
      <c r="D303" s="19">
        <f>+SUMIFS(Regiones[Ofrecidas],Regiones[Fecha],Tabla54[[#This Row],[Fecha]],Regiones[Intervalo],Tabla54[[#This Row],[Intervalo]],Regiones[Skill],'BUPA Seguros'!$L$3)</f>
        <v>0</v>
      </c>
      <c r="E303" s="19">
        <f>+SUMIFS(Regiones[Contestadas],Regiones[Fecha],Tabla54[[#This Row],[Fecha]],Regiones[Intervalo],Tabla54[[#This Row],[Intervalo]],Regiones[Skill],'BUPA Seguros'!$L$3)</f>
        <v>0</v>
      </c>
      <c r="F303" s="20">
        <v>0</v>
      </c>
      <c r="G303" s="19">
        <f>IFERROR(SUMIFS(Regiones[TMO],Regiones[Fecha],Tabla54[[#This Row],[Fecha]],Regiones[Intervalo],Tabla54[[#This Row],[Intervalo]],Regiones[Skill],'BUPA Seguros'!$L$3)/Tabla54[[#This Row],[Atendidas]],0)</f>
        <v>0</v>
      </c>
      <c r="H3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3" s="21">
        <f>IFERROR(Tabla54[[#This Row],[Atendidas]]/Tabla54[[#This Row],[Recibidas]],0)</f>
        <v>0</v>
      </c>
    </row>
    <row r="304" spans="2:21" x14ac:dyDescent="0.3">
      <c r="B304" s="27">
        <f t="shared" si="17"/>
        <v>46210</v>
      </c>
      <c r="C304" s="18">
        <v>0.20833333333333301</v>
      </c>
      <c r="D304" s="19">
        <f>+SUMIFS(Regiones[Ofrecidas],Regiones[Fecha],Tabla54[[#This Row],[Fecha]],Regiones[Intervalo],Tabla54[[#This Row],[Intervalo]],Regiones[Skill],'BUPA Seguros'!$L$3)</f>
        <v>0</v>
      </c>
      <c r="E304" s="19">
        <f>+SUMIFS(Regiones[Contestadas],Regiones[Fecha],Tabla54[[#This Row],[Fecha]],Regiones[Intervalo],Tabla54[[#This Row],[Intervalo]],Regiones[Skill],'BUPA Seguros'!$L$3)</f>
        <v>0</v>
      </c>
      <c r="F304" s="20">
        <v>0</v>
      </c>
      <c r="G304" s="19">
        <f>IFERROR(SUMIFS(Regiones[TMO],Regiones[Fecha],Tabla54[[#This Row],[Fecha]],Regiones[Intervalo],Tabla54[[#This Row],[Intervalo]],Regiones[Skill],'BUPA Seguros'!$L$3)/Tabla54[[#This Row],[Atendidas]],0)</f>
        <v>0</v>
      </c>
      <c r="H3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4" s="21">
        <f>IFERROR(Tabla54[[#This Row],[Atendidas]]/Tabla54[[#This Row],[Recibidas]],0)</f>
        <v>0</v>
      </c>
    </row>
    <row r="305" spans="2:9" x14ac:dyDescent="0.3">
      <c r="B305" s="25">
        <f t="shared" si="17"/>
        <v>46210</v>
      </c>
      <c r="C305" s="26">
        <v>0.22916666666666699</v>
      </c>
      <c r="D305" s="19">
        <f>+SUMIFS(Regiones[Ofrecidas],Regiones[Fecha],Tabla54[[#This Row],[Fecha]],Regiones[Intervalo],Tabla54[[#This Row],[Intervalo]],Regiones[Skill],'BUPA Seguros'!$L$3)</f>
        <v>0</v>
      </c>
      <c r="E305" s="19">
        <f>+SUMIFS(Regiones[Contestadas],Regiones[Fecha],Tabla54[[#This Row],[Fecha]],Regiones[Intervalo],Tabla54[[#This Row],[Intervalo]],Regiones[Skill],'BUPA Seguros'!$L$3)</f>
        <v>0</v>
      </c>
      <c r="F305" s="20">
        <v>0</v>
      </c>
      <c r="G305" s="19">
        <f>IFERROR(SUMIFS(Regiones[TMO],Regiones[Fecha],Tabla54[[#This Row],[Fecha]],Regiones[Intervalo],Tabla54[[#This Row],[Intervalo]],Regiones[Skill],'BUPA Seguros'!$L$3)/Tabla54[[#This Row],[Atendidas]],0)</f>
        <v>0</v>
      </c>
      <c r="H3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5" s="21">
        <f>IFERROR(Tabla54[[#This Row],[Atendidas]]/Tabla54[[#This Row],[Recibidas]],0)</f>
        <v>0</v>
      </c>
    </row>
    <row r="306" spans="2:9" x14ac:dyDescent="0.3">
      <c r="B306" s="27">
        <f t="shared" si="17"/>
        <v>46210</v>
      </c>
      <c r="C306" s="18">
        <v>0.25</v>
      </c>
      <c r="D306" s="19">
        <f>+SUMIFS(Regiones[Ofrecidas],Regiones[Fecha],Tabla54[[#This Row],[Fecha]],Regiones[Intervalo],Tabla54[[#This Row],[Intervalo]],Regiones[Skill],'BUPA Seguros'!$L$3)</f>
        <v>0</v>
      </c>
      <c r="E306" s="19">
        <f>+SUMIFS(Regiones[Contestadas],Regiones[Fecha],Tabla54[[#This Row],[Fecha]],Regiones[Intervalo],Tabla54[[#This Row],[Intervalo]],Regiones[Skill],'BUPA Seguros'!$L$3)</f>
        <v>0</v>
      </c>
      <c r="F306" s="20">
        <v>0</v>
      </c>
      <c r="G306" s="19">
        <f>IFERROR(SUMIFS(Regiones[TMO],Regiones[Fecha],Tabla54[[#This Row],[Fecha]],Regiones[Intervalo],Tabla54[[#This Row],[Intervalo]],Regiones[Skill],'BUPA Seguros'!$L$3)/Tabla54[[#This Row],[Atendidas]],0)</f>
        <v>0</v>
      </c>
      <c r="H3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6" s="21">
        <f>IFERROR(Tabla54[[#This Row],[Atendidas]]/Tabla54[[#This Row],[Recibidas]],0)</f>
        <v>0</v>
      </c>
    </row>
    <row r="307" spans="2:9" x14ac:dyDescent="0.3">
      <c r="B307" s="25">
        <f t="shared" si="17"/>
        <v>46210</v>
      </c>
      <c r="C307" s="26">
        <v>0.27083333333333298</v>
      </c>
      <c r="D307" s="19">
        <f>+SUMIFS(Regiones[Ofrecidas],Regiones[Fecha],Tabla54[[#This Row],[Fecha]],Regiones[Intervalo],Tabla54[[#This Row],[Intervalo]],Regiones[Skill],'BUPA Seguros'!$L$3)</f>
        <v>0</v>
      </c>
      <c r="E307" s="19">
        <f>+SUMIFS(Regiones[Contestadas],Regiones[Fecha],Tabla54[[#This Row],[Fecha]],Regiones[Intervalo],Tabla54[[#This Row],[Intervalo]],Regiones[Skill],'BUPA Seguros'!$L$3)</f>
        <v>0</v>
      </c>
      <c r="F307" s="20">
        <v>0</v>
      </c>
      <c r="G307" s="19">
        <f>IFERROR(SUMIFS(Regiones[TMO],Regiones[Fecha],Tabla54[[#This Row],[Fecha]],Regiones[Intervalo],Tabla54[[#This Row],[Intervalo]],Regiones[Skill],'BUPA Seguros'!$L$3)/Tabla54[[#This Row],[Atendidas]],0)</f>
        <v>0</v>
      </c>
      <c r="H3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7" s="21">
        <f>IFERROR(Tabla54[[#This Row],[Atendidas]]/Tabla54[[#This Row],[Recibidas]],0)</f>
        <v>0</v>
      </c>
    </row>
    <row r="308" spans="2:9" x14ac:dyDescent="0.3">
      <c r="B308" s="27">
        <f t="shared" si="17"/>
        <v>46210</v>
      </c>
      <c r="C308" s="18">
        <v>0.29166666666666702</v>
      </c>
      <c r="D308" s="19">
        <f>+SUMIFS(Regiones[Ofrecidas],Regiones[Fecha],Tabla54[[#This Row],[Fecha]],Regiones[Intervalo],Tabla54[[#This Row],[Intervalo]],Regiones[Skill],'BUPA Seguros'!$L$3)</f>
        <v>0</v>
      </c>
      <c r="E308" s="19">
        <f>+SUMIFS(Regiones[Contestadas],Regiones[Fecha],Tabla54[[#This Row],[Fecha]],Regiones[Intervalo],Tabla54[[#This Row],[Intervalo]],Regiones[Skill],'BUPA Seguros'!$L$3)</f>
        <v>0</v>
      </c>
      <c r="F308" s="20">
        <v>0</v>
      </c>
      <c r="G308" s="19">
        <f>IFERROR(SUMIFS(Regiones[TMO],Regiones[Fecha],Tabla54[[#This Row],[Fecha]],Regiones[Intervalo],Tabla54[[#This Row],[Intervalo]],Regiones[Skill],'BUPA Seguros'!$L$3)/Tabla54[[#This Row],[Atendidas]],0)</f>
        <v>0</v>
      </c>
      <c r="H3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8" s="21">
        <f>IFERROR(Tabla54[[#This Row],[Atendidas]]/Tabla54[[#This Row],[Recibidas]],0)</f>
        <v>0</v>
      </c>
    </row>
    <row r="309" spans="2:9" x14ac:dyDescent="0.3">
      <c r="B309" s="25">
        <f t="shared" si="17"/>
        <v>46210</v>
      </c>
      <c r="C309" s="26">
        <v>0.3125</v>
      </c>
      <c r="D309" s="19">
        <f>+SUMIFS(Regiones[Ofrecidas],Regiones[Fecha],Tabla54[[#This Row],[Fecha]],Regiones[Intervalo],Tabla54[[#This Row],[Intervalo]],Regiones[Skill],'BUPA Seguros'!$L$3)</f>
        <v>0</v>
      </c>
      <c r="E309" s="19">
        <f>+SUMIFS(Regiones[Contestadas],Regiones[Fecha],Tabla54[[#This Row],[Fecha]],Regiones[Intervalo],Tabla54[[#This Row],[Intervalo]],Regiones[Skill],'BUPA Seguros'!$L$3)</f>
        <v>0</v>
      </c>
      <c r="F309" s="20">
        <v>0</v>
      </c>
      <c r="G309" s="19">
        <f>IFERROR(SUMIFS(Regiones[TMO],Regiones[Fecha],Tabla54[[#This Row],[Fecha]],Regiones[Intervalo],Tabla54[[#This Row],[Intervalo]],Regiones[Skill],'BUPA Seguros'!$L$3)/Tabla54[[#This Row],[Atendidas]],0)</f>
        <v>0</v>
      </c>
      <c r="H3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09" s="21">
        <f>IFERROR(Tabla54[[#This Row],[Atendidas]]/Tabla54[[#This Row],[Recibidas]],0)</f>
        <v>0</v>
      </c>
    </row>
    <row r="310" spans="2:9" x14ac:dyDescent="0.3">
      <c r="B310" s="27">
        <f t="shared" si="17"/>
        <v>46210</v>
      </c>
      <c r="C310" s="18">
        <v>0.33333333333333298</v>
      </c>
      <c r="D310" s="19">
        <f>+SUMIFS(Regiones[Ofrecidas],Regiones[Fecha],Tabla54[[#This Row],[Fecha]],Regiones[Intervalo],Tabla54[[#This Row],[Intervalo]],Regiones[Skill],'BUPA Seguros'!$L$3)</f>
        <v>0</v>
      </c>
      <c r="E310" s="19">
        <f>+SUMIFS(Regiones[Contestadas],Regiones[Fecha],Tabla54[[#This Row],[Fecha]],Regiones[Intervalo],Tabla54[[#This Row],[Intervalo]],Regiones[Skill],'BUPA Seguros'!$L$3)</f>
        <v>0</v>
      </c>
      <c r="F310" s="20">
        <v>0</v>
      </c>
      <c r="G310" s="19">
        <f>IFERROR(SUMIFS(Regiones[TMO],Regiones[Fecha],Tabla54[[#This Row],[Fecha]],Regiones[Intervalo],Tabla54[[#This Row],[Intervalo]],Regiones[Skill],'BUPA Seguros'!$L$3)/Tabla54[[#This Row],[Atendidas]],0)</f>
        <v>0</v>
      </c>
      <c r="H3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0" s="21">
        <f>IFERROR(Tabla54[[#This Row],[Atendidas]]/Tabla54[[#This Row],[Recibidas]],0)</f>
        <v>0</v>
      </c>
    </row>
    <row r="311" spans="2:9" x14ac:dyDescent="0.3">
      <c r="B311" s="25">
        <f t="shared" si="17"/>
        <v>46210</v>
      </c>
      <c r="C311" s="26">
        <v>0.35416666666666702</v>
      </c>
      <c r="D311" s="19">
        <f>+SUMIFS(Regiones[Ofrecidas],Regiones[Fecha],Tabla54[[#This Row],[Fecha]],Regiones[Intervalo],Tabla54[[#This Row],[Intervalo]],Regiones[Skill],'BUPA Seguros'!$L$3)</f>
        <v>0</v>
      </c>
      <c r="E311" s="19">
        <f>+SUMIFS(Regiones[Contestadas],Regiones[Fecha],Tabla54[[#This Row],[Fecha]],Regiones[Intervalo],Tabla54[[#This Row],[Intervalo]],Regiones[Skill],'BUPA Seguros'!$L$3)</f>
        <v>0</v>
      </c>
      <c r="F311" s="20">
        <v>0</v>
      </c>
      <c r="G311" s="19">
        <f>IFERROR(SUMIFS(Regiones[TMO],Regiones[Fecha],Tabla54[[#This Row],[Fecha]],Regiones[Intervalo],Tabla54[[#This Row],[Intervalo]],Regiones[Skill],'BUPA Seguros'!$L$3)/Tabla54[[#This Row],[Atendidas]],0)</f>
        <v>0</v>
      </c>
      <c r="H3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1" s="21">
        <f>IFERROR(Tabla54[[#This Row],[Atendidas]]/Tabla54[[#This Row],[Recibidas]],0)</f>
        <v>0</v>
      </c>
    </row>
    <row r="312" spans="2:9" x14ac:dyDescent="0.3">
      <c r="B312" s="27">
        <f t="shared" si="17"/>
        <v>46210</v>
      </c>
      <c r="C312" s="18">
        <v>0.375</v>
      </c>
      <c r="D312" s="19">
        <f>+SUMIFS(Regiones[Ofrecidas],Regiones[Fecha],Tabla54[[#This Row],[Fecha]],Regiones[Intervalo],Tabla54[[#This Row],[Intervalo]],Regiones[Skill],'BUPA Seguros'!$L$3)</f>
        <v>0</v>
      </c>
      <c r="E312" s="19">
        <f>+SUMIFS(Regiones[Contestadas],Regiones[Fecha],Tabla54[[#This Row],[Fecha]],Regiones[Intervalo],Tabla54[[#This Row],[Intervalo]],Regiones[Skill],'BUPA Seguros'!$L$3)</f>
        <v>0</v>
      </c>
      <c r="F312" s="20">
        <v>44.196872649805421</v>
      </c>
      <c r="G312" s="19">
        <f>IFERROR(SUMIFS(Regiones[TMO],Regiones[Fecha],Tabla54[[#This Row],[Fecha]],Regiones[Intervalo],Tabla54[[#This Row],[Intervalo]],Regiones[Skill],'BUPA Seguros'!$L$3)/Tabla54[[#This Row],[Atendidas]],0)</f>
        <v>0</v>
      </c>
      <c r="H3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2" s="21">
        <f>IFERROR(Tabla54[[#This Row],[Atendidas]]/Tabla54[[#This Row],[Recibidas]],0)</f>
        <v>0</v>
      </c>
    </row>
    <row r="313" spans="2:9" x14ac:dyDescent="0.3">
      <c r="B313" s="25">
        <f t="shared" si="17"/>
        <v>46210</v>
      </c>
      <c r="C313" s="26">
        <v>0.39583333333333298</v>
      </c>
      <c r="D313" s="19">
        <f>+SUMIFS(Regiones[Ofrecidas],Regiones[Fecha],Tabla54[[#This Row],[Fecha]],Regiones[Intervalo],Tabla54[[#This Row],[Intervalo]],Regiones[Skill],'BUPA Seguros'!$L$3)</f>
        <v>0</v>
      </c>
      <c r="E313" s="19">
        <f>+SUMIFS(Regiones[Contestadas],Regiones[Fecha],Tabla54[[#This Row],[Fecha]],Regiones[Intervalo],Tabla54[[#This Row],[Intervalo]],Regiones[Skill],'BUPA Seguros'!$L$3)</f>
        <v>0</v>
      </c>
      <c r="F313" s="20">
        <v>42.484741547155309</v>
      </c>
      <c r="G313" s="19">
        <f>IFERROR(SUMIFS(Regiones[TMO],Regiones[Fecha],Tabla54[[#This Row],[Fecha]],Regiones[Intervalo],Tabla54[[#This Row],[Intervalo]],Regiones[Skill],'BUPA Seguros'!$L$3)/Tabla54[[#This Row],[Atendidas]],0)</f>
        <v>0</v>
      </c>
      <c r="H3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3" s="21">
        <f>IFERROR(Tabla54[[#This Row],[Atendidas]]/Tabla54[[#This Row],[Recibidas]],0)</f>
        <v>0</v>
      </c>
    </row>
    <row r="314" spans="2:9" x14ac:dyDescent="0.3">
      <c r="B314" s="27">
        <f t="shared" si="17"/>
        <v>46210</v>
      </c>
      <c r="C314" s="18">
        <v>0.41666666666666702</v>
      </c>
      <c r="D314" s="19">
        <f>+SUMIFS(Regiones[Ofrecidas],Regiones[Fecha],Tabla54[[#This Row],[Fecha]],Regiones[Intervalo],Tabla54[[#This Row],[Intervalo]],Regiones[Skill],'BUPA Seguros'!$L$3)</f>
        <v>0</v>
      </c>
      <c r="E314" s="19">
        <f>+SUMIFS(Regiones[Contestadas],Regiones[Fecha],Tabla54[[#This Row],[Fecha]],Regiones[Intervalo],Tabla54[[#This Row],[Intervalo]],Regiones[Skill],'BUPA Seguros'!$L$3)</f>
        <v>0</v>
      </c>
      <c r="F314" s="20">
        <v>42.829822234511134</v>
      </c>
      <c r="G314" s="19">
        <f>IFERROR(SUMIFS(Regiones[TMO],Regiones[Fecha],Tabla54[[#This Row],[Fecha]],Regiones[Intervalo],Tabla54[[#This Row],[Intervalo]],Regiones[Skill],'BUPA Seguros'!$L$3)/Tabla54[[#This Row],[Atendidas]],0)</f>
        <v>0</v>
      </c>
      <c r="H3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4" s="21">
        <f>IFERROR(Tabla54[[#This Row],[Atendidas]]/Tabla54[[#This Row],[Recibidas]],0)</f>
        <v>0</v>
      </c>
    </row>
    <row r="315" spans="2:9" x14ac:dyDescent="0.3">
      <c r="B315" s="25">
        <f t="shared" si="17"/>
        <v>46210</v>
      </c>
      <c r="C315" s="26">
        <v>0.4375</v>
      </c>
      <c r="D315" s="19">
        <f>+SUMIFS(Regiones[Ofrecidas],Regiones[Fecha],Tabla54[[#This Row],[Fecha]],Regiones[Intervalo],Tabla54[[#This Row],[Intervalo]],Regiones[Skill],'BUPA Seguros'!$L$3)</f>
        <v>0</v>
      </c>
      <c r="E315" s="19">
        <f>+SUMIFS(Regiones[Contestadas],Regiones[Fecha],Tabla54[[#This Row],[Fecha]],Regiones[Intervalo],Tabla54[[#This Row],[Intervalo]],Regiones[Skill],'BUPA Seguros'!$L$3)</f>
        <v>0</v>
      </c>
      <c r="F315" s="20">
        <v>44.26765843182713</v>
      </c>
      <c r="G315" s="19">
        <f>IFERROR(SUMIFS(Regiones[TMO],Regiones[Fecha],Tabla54[[#This Row],[Fecha]],Regiones[Intervalo],Tabla54[[#This Row],[Intervalo]],Regiones[Skill],'BUPA Seguros'!$L$3)/Tabla54[[#This Row],[Atendidas]],0)</f>
        <v>0</v>
      </c>
      <c r="H3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5" s="21">
        <f>IFERROR(Tabla54[[#This Row],[Atendidas]]/Tabla54[[#This Row],[Recibidas]],0)</f>
        <v>0</v>
      </c>
    </row>
    <row r="316" spans="2:9" x14ac:dyDescent="0.3">
      <c r="B316" s="27">
        <f t="shared" si="17"/>
        <v>46210</v>
      </c>
      <c r="C316" s="18">
        <v>0.45833333333333298</v>
      </c>
      <c r="D316" s="19">
        <f>+SUMIFS(Regiones[Ofrecidas],Regiones[Fecha],Tabla54[[#This Row],[Fecha]],Regiones[Intervalo],Tabla54[[#This Row],[Intervalo]],Regiones[Skill],'BUPA Seguros'!$L$3)</f>
        <v>0</v>
      </c>
      <c r="E316" s="19">
        <f>+SUMIFS(Regiones[Contestadas],Regiones[Fecha],Tabla54[[#This Row],[Fecha]],Regiones[Intervalo],Tabla54[[#This Row],[Intervalo]],Regiones[Skill],'BUPA Seguros'!$L$3)</f>
        <v>0</v>
      </c>
      <c r="F316" s="20">
        <v>45.798400968046614</v>
      </c>
      <c r="G316" s="19">
        <f>IFERROR(SUMIFS(Regiones[TMO],Regiones[Fecha],Tabla54[[#This Row],[Fecha]],Regiones[Intervalo],Tabla54[[#This Row],[Intervalo]],Regiones[Skill],'BUPA Seguros'!$L$3)/Tabla54[[#This Row],[Atendidas]],0)</f>
        <v>0</v>
      </c>
      <c r="H3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6" s="21">
        <f>IFERROR(Tabla54[[#This Row],[Atendidas]]/Tabla54[[#This Row],[Recibidas]],0)</f>
        <v>0</v>
      </c>
    </row>
    <row r="317" spans="2:9" x14ac:dyDescent="0.3">
      <c r="B317" s="25">
        <f t="shared" si="17"/>
        <v>46210</v>
      </c>
      <c r="C317" s="26">
        <v>0.47916666666666702</v>
      </c>
      <c r="D317" s="19">
        <f>+SUMIFS(Regiones[Ofrecidas],Regiones[Fecha],Tabla54[[#This Row],[Fecha]],Regiones[Intervalo],Tabla54[[#This Row],[Intervalo]],Regiones[Skill],'BUPA Seguros'!$L$3)</f>
        <v>0</v>
      </c>
      <c r="E317" s="19">
        <f>+SUMIFS(Regiones[Contestadas],Regiones[Fecha],Tabla54[[#This Row],[Fecha]],Regiones[Intervalo],Tabla54[[#This Row],[Intervalo]],Regiones[Skill],'BUPA Seguros'!$L$3)</f>
        <v>0</v>
      </c>
      <c r="F317" s="20">
        <v>46.665526797812561</v>
      </c>
      <c r="G317" s="19">
        <f>IFERROR(SUMIFS(Regiones[TMO],Regiones[Fecha],Tabla54[[#This Row],[Fecha]],Regiones[Intervalo],Tabla54[[#This Row],[Intervalo]],Regiones[Skill],'BUPA Seguros'!$L$3)/Tabla54[[#This Row],[Atendidas]],0)</f>
        <v>0</v>
      </c>
      <c r="H3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7" s="21">
        <f>IFERROR(Tabla54[[#This Row],[Atendidas]]/Tabla54[[#This Row],[Recibidas]],0)</f>
        <v>0</v>
      </c>
    </row>
    <row r="318" spans="2:9" x14ac:dyDescent="0.3">
      <c r="B318" s="27">
        <f t="shared" si="17"/>
        <v>46210</v>
      </c>
      <c r="C318" s="18">
        <v>0.5</v>
      </c>
      <c r="D318" s="19">
        <f>+SUMIFS(Regiones[Ofrecidas],Regiones[Fecha],Tabla54[[#This Row],[Fecha]],Regiones[Intervalo],Tabla54[[#This Row],[Intervalo]],Regiones[Skill],'BUPA Seguros'!$L$3)</f>
        <v>0</v>
      </c>
      <c r="E318" s="19">
        <f>+SUMIFS(Regiones[Contestadas],Regiones[Fecha],Tabla54[[#This Row],[Fecha]],Regiones[Intervalo],Tabla54[[#This Row],[Intervalo]],Regiones[Skill],'BUPA Seguros'!$L$3)</f>
        <v>0</v>
      </c>
      <c r="F318" s="20">
        <v>46.789401916350556</v>
      </c>
      <c r="G318" s="19">
        <f>IFERROR(SUMIFS(Regiones[TMO],Regiones[Fecha],Tabla54[[#This Row],[Fecha]],Regiones[Intervalo],Tabla54[[#This Row],[Intervalo]],Regiones[Skill],'BUPA Seguros'!$L$3)/Tabla54[[#This Row],[Atendidas]],0)</f>
        <v>0</v>
      </c>
      <c r="H3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8" s="21">
        <f>IFERROR(Tabla54[[#This Row],[Atendidas]]/Tabla54[[#This Row],[Recibidas]],0)</f>
        <v>0</v>
      </c>
    </row>
    <row r="319" spans="2:9" x14ac:dyDescent="0.3">
      <c r="B319" s="25">
        <f t="shared" si="17"/>
        <v>46210</v>
      </c>
      <c r="C319" s="26">
        <v>0.52083333333333304</v>
      </c>
      <c r="D319" s="19">
        <f>+SUMIFS(Regiones[Ofrecidas],Regiones[Fecha],Tabla54[[#This Row],[Fecha]],Regiones[Intervalo],Tabla54[[#This Row],[Intervalo]],Regiones[Skill],'BUPA Seguros'!$L$3)</f>
        <v>0</v>
      </c>
      <c r="E319" s="19">
        <f>+SUMIFS(Regiones[Contestadas],Regiones[Fecha],Tabla54[[#This Row],[Fecha]],Regiones[Intervalo],Tabla54[[#This Row],[Intervalo]],Regiones[Skill],'BUPA Seguros'!$L$3)</f>
        <v>0</v>
      </c>
      <c r="F319" s="20">
        <v>45.709918740519484</v>
      </c>
      <c r="G319" s="19">
        <f>IFERROR(SUMIFS(Regiones[TMO],Regiones[Fecha],Tabla54[[#This Row],[Fecha]],Regiones[Intervalo],Tabla54[[#This Row],[Intervalo]],Regiones[Skill],'BUPA Seguros'!$L$3)/Tabla54[[#This Row],[Atendidas]],0)</f>
        <v>0</v>
      </c>
      <c r="H3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19" s="21">
        <f>IFERROR(Tabla54[[#This Row],[Atendidas]]/Tabla54[[#This Row],[Recibidas]],0)</f>
        <v>0</v>
      </c>
    </row>
    <row r="320" spans="2:9" x14ac:dyDescent="0.3">
      <c r="B320" s="27">
        <f t="shared" si="17"/>
        <v>46210</v>
      </c>
      <c r="C320" s="18">
        <v>0.54166666666666696</v>
      </c>
      <c r="D320" s="19">
        <f>+SUMIFS(Regiones[Ofrecidas],Regiones[Fecha],Tabla54[[#This Row],[Fecha]],Regiones[Intervalo],Tabla54[[#This Row],[Intervalo]],Regiones[Skill],'BUPA Seguros'!$L$3)</f>
        <v>0</v>
      </c>
      <c r="E320" s="19">
        <f>+SUMIFS(Regiones[Contestadas],Regiones[Fecha],Tabla54[[#This Row],[Fecha]],Regiones[Intervalo],Tabla54[[#This Row],[Intervalo]],Regiones[Skill],'BUPA Seguros'!$L$3)</f>
        <v>0</v>
      </c>
      <c r="F320" s="20">
        <v>43.586345279868162</v>
      </c>
      <c r="G320" s="19">
        <f>IFERROR(SUMIFS(Regiones[TMO],Regiones[Fecha],Tabla54[[#This Row],[Fecha]],Regiones[Intervalo],Tabla54[[#This Row],[Intervalo]],Regiones[Skill],'BUPA Seguros'!$L$3)/Tabla54[[#This Row],[Atendidas]],0)</f>
        <v>0</v>
      </c>
      <c r="H3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0" s="21">
        <f>IFERROR(Tabla54[[#This Row],[Atendidas]]/Tabla54[[#This Row],[Recibidas]],0)</f>
        <v>0</v>
      </c>
    </row>
    <row r="321" spans="2:9" x14ac:dyDescent="0.3">
      <c r="B321" s="25">
        <f t="shared" si="17"/>
        <v>46210</v>
      </c>
      <c r="C321" s="26">
        <v>0.5625</v>
      </c>
      <c r="D321" s="19">
        <f>+SUMIFS(Regiones[Ofrecidas],Regiones[Fecha],Tabla54[[#This Row],[Fecha]],Regiones[Intervalo],Tabla54[[#This Row],[Intervalo]],Regiones[Skill],'BUPA Seguros'!$L$3)</f>
        <v>0</v>
      </c>
      <c r="E321" s="19">
        <f>+SUMIFS(Regiones[Contestadas],Regiones[Fecha],Tabla54[[#This Row],[Fecha]],Regiones[Intervalo],Tabla54[[#This Row],[Intervalo]],Regiones[Skill],'BUPA Seguros'!$L$3)</f>
        <v>0</v>
      </c>
      <c r="F321" s="20">
        <v>40.666431771472617</v>
      </c>
      <c r="G321" s="19">
        <f>IFERROR(SUMIFS(Regiones[TMO],Regiones[Fecha],Tabla54[[#This Row],[Fecha]],Regiones[Intervalo],Tabla54[[#This Row],[Intervalo]],Regiones[Skill],'BUPA Seguros'!$L$3)/Tabla54[[#This Row],[Atendidas]],0)</f>
        <v>0</v>
      </c>
      <c r="H3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1" s="21">
        <f>IFERROR(Tabla54[[#This Row],[Atendidas]]/Tabla54[[#This Row],[Recibidas]],0)</f>
        <v>0</v>
      </c>
    </row>
    <row r="322" spans="2:9" x14ac:dyDescent="0.3">
      <c r="B322" s="27">
        <f t="shared" si="17"/>
        <v>46210</v>
      </c>
      <c r="C322" s="18">
        <v>0.58333333333333304</v>
      </c>
      <c r="D322" s="19">
        <f>+SUMIFS(Regiones[Ofrecidas],Regiones[Fecha],Tabla54[[#This Row],[Fecha]],Regiones[Intervalo],Tabla54[[#This Row],[Intervalo]],Regiones[Skill],'BUPA Seguros'!$L$3)</f>
        <v>0</v>
      </c>
      <c r="E322" s="19">
        <f>+SUMIFS(Regiones[Contestadas],Regiones[Fecha],Tabla54[[#This Row],[Fecha]],Regiones[Intervalo],Tabla54[[#This Row],[Intervalo]],Regiones[Skill],'BUPA Seguros'!$L$3)</f>
        <v>0</v>
      </c>
      <c r="F322" s="20">
        <v>37.852696936109623</v>
      </c>
      <c r="G322" s="19">
        <f>IFERROR(SUMIFS(Regiones[TMO],Regiones[Fecha],Tabla54[[#This Row],[Fecha]],Regiones[Intervalo],Tabla54[[#This Row],[Intervalo]],Regiones[Skill],'BUPA Seguros'!$L$3)/Tabla54[[#This Row],[Atendidas]],0)</f>
        <v>0</v>
      </c>
      <c r="H3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2" s="21">
        <f>IFERROR(Tabla54[[#This Row],[Atendidas]]/Tabla54[[#This Row],[Recibidas]],0)</f>
        <v>0</v>
      </c>
    </row>
    <row r="323" spans="2:9" x14ac:dyDescent="0.3">
      <c r="B323" s="25">
        <f t="shared" si="17"/>
        <v>46210</v>
      </c>
      <c r="C323" s="26">
        <v>0.60416666666666696</v>
      </c>
      <c r="D323" s="19">
        <f>+SUMIFS(Regiones[Ofrecidas],Regiones[Fecha],Tabla54[[#This Row],[Fecha]],Regiones[Intervalo],Tabla54[[#This Row],[Intervalo]],Regiones[Skill],'BUPA Seguros'!$L$3)</f>
        <v>0</v>
      </c>
      <c r="E323" s="19">
        <f>+SUMIFS(Regiones[Contestadas],Regiones[Fecha],Tabla54[[#This Row],[Fecha]],Regiones[Intervalo],Tabla54[[#This Row],[Intervalo]],Regiones[Skill],'BUPA Seguros'!$L$3)</f>
        <v>0</v>
      </c>
      <c r="F323" s="20">
        <v>35.269015892317206</v>
      </c>
      <c r="G323" s="19">
        <f>IFERROR(SUMIFS(Regiones[TMO],Regiones[Fecha],Tabla54[[#This Row],[Fecha]],Regiones[Intervalo],Tabla54[[#This Row],[Intervalo]],Regiones[Skill],'BUPA Seguros'!$L$3)/Tabla54[[#This Row],[Atendidas]],0)</f>
        <v>0</v>
      </c>
      <c r="H3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3" s="21">
        <f>IFERROR(Tabla54[[#This Row],[Atendidas]]/Tabla54[[#This Row],[Recibidas]],0)</f>
        <v>0</v>
      </c>
    </row>
    <row r="324" spans="2:9" x14ac:dyDescent="0.3">
      <c r="B324" s="27">
        <f t="shared" si="17"/>
        <v>46210</v>
      </c>
      <c r="C324" s="18">
        <v>0.625</v>
      </c>
      <c r="D324" s="19">
        <f>+SUMIFS(Regiones[Ofrecidas],Regiones[Fecha],Tabla54[[#This Row],[Fecha]],Regiones[Intervalo],Tabla54[[#This Row],[Intervalo]],Regiones[Skill],'BUPA Seguros'!$L$3)</f>
        <v>0</v>
      </c>
      <c r="E324" s="19">
        <f>+SUMIFS(Regiones[Contestadas],Regiones[Fecha],Tabla54[[#This Row],[Fecha]],Regiones[Intervalo],Tabla54[[#This Row],[Intervalo]],Regiones[Skill],'BUPA Seguros'!$L$3)</f>
        <v>0</v>
      </c>
      <c r="F324" s="20">
        <v>33.57015712379615</v>
      </c>
      <c r="G324" s="19">
        <f>IFERROR(SUMIFS(Regiones[TMO],Regiones[Fecha],Tabla54[[#This Row],[Fecha]],Regiones[Intervalo],Tabla54[[#This Row],[Intervalo]],Regiones[Skill],'BUPA Seguros'!$L$3)/Tabla54[[#This Row],[Atendidas]],0)</f>
        <v>0</v>
      </c>
      <c r="H3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4" s="21">
        <f>IFERROR(Tabla54[[#This Row],[Atendidas]]/Tabla54[[#This Row],[Recibidas]],0)</f>
        <v>0</v>
      </c>
    </row>
    <row r="325" spans="2:9" x14ac:dyDescent="0.3">
      <c r="B325" s="25">
        <f t="shared" si="17"/>
        <v>46210</v>
      </c>
      <c r="C325" s="26">
        <v>0.64583333333333304</v>
      </c>
      <c r="D325" s="19">
        <f>+SUMIFS(Regiones[Ofrecidas],Regiones[Fecha],Tabla54[[#This Row],[Fecha]],Regiones[Intervalo],Tabla54[[#This Row],[Intervalo]],Regiones[Skill],'BUPA Seguros'!$L$3)</f>
        <v>0</v>
      </c>
      <c r="E325" s="19">
        <f>+SUMIFS(Regiones[Contestadas],Regiones[Fecha],Tabla54[[#This Row],[Fecha]],Regiones[Intervalo],Tabla54[[#This Row],[Intervalo]],Regiones[Skill],'BUPA Seguros'!$L$3)</f>
        <v>0</v>
      </c>
      <c r="F325" s="20">
        <v>32.331405938416218</v>
      </c>
      <c r="G325" s="19">
        <f>IFERROR(SUMIFS(Regiones[TMO],Regiones[Fecha],Tabla54[[#This Row],[Fecha]],Regiones[Intervalo],Tabla54[[#This Row],[Intervalo]],Regiones[Skill],'BUPA Seguros'!$L$3)/Tabla54[[#This Row],[Atendidas]],0)</f>
        <v>0</v>
      </c>
      <c r="H3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5" s="21">
        <f>IFERROR(Tabla54[[#This Row],[Atendidas]]/Tabla54[[#This Row],[Recibidas]],0)</f>
        <v>0</v>
      </c>
    </row>
    <row r="326" spans="2:9" x14ac:dyDescent="0.3">
      <c r="B326" s="27">
        <f t="shared" si="17"/>
        <v>46210</v>
      </c>
      <c r="C326" s="18">
        <v>0.66666666666666696</v>
      </c>
      <c r="D326" s="19">
        <f>+SUMIFS(Regiones[Ofrecidas],Regiones[Fecha],Tabla54[[#This Row],[Fecha]],Regiones[Intervalo],Tabla54[[#This Row],[Intervalo]],Regiones[Skill],'BUPA Seguros'!$L$3)</f>
        <v>0</v>
      </c>
      <c r="E326" s="19">
        <f>+SUMIFS(Regiones[Contestadas],Regiones[Fecha],Tabla54[[#This Row],[Fecha]],Regiones[Intervalo],Tabla54[[#This Row],[Intervalo]],Regiones[Skill],'BUPA Seguros'!$L$3)</f>
        <v>0</v>
      </c>
      <c r="F326" s="20">
        <v>31.888994800780534</v>
      </c>
      <c r="G326" s="19">
        <f>IFERROR(SUMIFS(Regiones[TMO],Regiones[Fecha],Tabla54[[#This Row],[Fecha]],Regiones[Intervalo],Tabla54[[#This Row],[Intervalo]],Regiones[Skill],'BUPA Seguros'!$L$3)/Tabla54[[#This Row],[Atendidas]],0)</f>
        <v>0</v>
      </c>
      <c r="H3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6" s="21">
        <f>IFERROR(Tabla54[[#This Row],[Atendidas]]/Tabla54[[#This Row],[Recibidas]],0)</f>
        <v>0</v>
      </c>
    </row>
    <row r="327" spans="2:9" x14ac:dyDescent="0.3">
      <c r="B327" s="25">
        <f t="shared" si="17"/>
        <v>46210</v>
      </c>
      <c r="C327" s="26">
        <v>0.6875</v>
      </c>
      <c r="D327" s="19">
        <f>+SUMIFS(Regiones[Ofrecidas],Regiones[Fecha],Tabla54[[#This Row],[Fecha]],Regiones[Intervalo],Tabla54[[#This Row],[Intervalo]],Regiones[Skill],'BUPA Seguros'!$L$3)</f>
        <v>0</v>
      </c>
      <c r="E327" s="19">
        <f>+SUMIFS(Regiones[Contestadas],Regiones[Fecha],Tabla54[[#This Row],[Fecha]],Regiones[Intervalo],Tabla54[[#This Row],[Intervalo]],Regiones[Skill],'BUPA Seguros'!$L$3)</f>
        <v>0</v>
      </c>
      <c r="F327" s="20">
        <v>32.048262810329376</v>
      </c>
      <c r="G327" s="19">
        <f>IFERROR(SUMIFS(Regiones[TMO],Regiones[Fecha],Tabla54[[#This Row],[Fecha]],Regiones[Intervalo],Tabla54[[#This Row],[Intervalo]],Regiones[Skill],'BUPA Seguros'!$L$3)/Tabla54[[#This Row],[Atendidas]],0)</f>
        <v>0</v>
      </c>
      <c r="H3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7" s="21">
        <f>IFERROR(Tabla54[[#This Row],[Atendidas]]/Tabla54[[#This Row],[Recibidas]],0)</f>
        <v>0</v>
      </c>
    </row>
    <row r="328" spans="2:9" x14ac:dyDescent="0.3">
      <c r="B328" s="27">
        <f t="shared" si="17"/>
        <v>46210</v>
      </c>
      <c r="C328" s="18">
        <v>0.70833333333333304</v>
      </c>
      <c r="D328" s="19">
        <f>+SUMIFS(Regiones[Ofrecidas],Regiones[Fecha],Tabla54[[#This Row],[Fecha]],Regiones[Intervalo],Tabla54[[#This Row],[Intervalo]],Regiones[Skill],'BUPA Seguros'!$L$3)</f>
        <v>0</v>
      </c>
      <c r="E328" s="19">
        <f>+SUMIFS(Regiones[Contestadas],Regiones[Fecha],Tabla54[[#This Row],[Fecha]],Regiones[Intervalo],Tabla54[[#This Row],[Intervalo]],Regiones[Skill],'BUPA Seguros'!$L$3)</f>
        <v>0</v>
      </c>
      <c r="F328" s="20">
        <v>32.490673947965064</v>
      </c>
      <c r="G328" s="19">
        <f>IFERROR(SUMIFS(Regiones[TMO],Regiones[Fecha],Tabla54[[#This Row],[Fecha]],Regiones[Intervalo],Tabla54[[#This Row],[Intervalo]],Regiones[Skill],'BUPA Seguros'!$L$3)/Tabla54[[#This Row],[Atendidas]],0)</f>
        <v>0</v>
      </c>
      <c r="H3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8" s="21">
        <f>IFERROR(Tabla54[[#This Row],[Atendidas]]/Tabla54[[#This Row],[Recibidas]],0)</f>
        <v>0</v>
      </c>
    </row>
    <row r="329" spans="2:9" x14ac:dyDescent="0.3">
      <c r="B329" s="25">
        <f t="shared" si="17"/>
        <v>46210</v>
      </c>
      <c r="C329" s="26">
        <v>0.72916666666666696</v>
      </c>
      <c r="D329" s="19">
        <f>+SUMIFS(Regiones[Ofrecidas],Regiones[Fecha],Tabla54[[#This Row],[Fecha]],Regiones[Intervalo],Tabla54[[#This Row],[Intervalo]],Regiones[Skill],'BUPA Seguros'!$L$3)</f>
        <v>0</v>
      </c>
      <c r="E329" s="19">
        <f>+SUMIFS(Regiones[Contestadas],Regiones[Fecha],Tabla54[[#This Row],[Fecha]],Regiones[Intervalo],Tabla54[[#This Row],[Intervalo]],Regiones[Skill],'BUPA Seguros'!$L$3)</f>
        <v>0</v>
      </c>
      <c r="F329" s="20">
        <v>33.844452029130281</v>
      </c>
      <c r="G329" s="19">
        <f>IFERROR(SUMIFS(Regiones[TMO],Regiones[Fecha],Tabla54[[#This Row],[Fecha]],Regiones[Intervalo],Tabla54[[#This Row],[Intervalo]],Regiones[Skill],'BUPA Seguros'!$L$3)/Tabla54[[#This Row],[Atendidas]],0)</f>
        <v>0</v>
      </c>
      <c r="H3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29" s="21">
        <f>IFERROR(Tabla54[[#This Row],[Atendidas]]/Tabla54[[#This Row],[Recibidas]],0)</f>
        <v>0</v>
      </c>
    </row>
    <row r="330" spans="2:9" x14ac:dyDescent="0.3">
      <c r="B330" s="27">
        <f t="shared" si="17"/>
        <v>46210</v>
      </c>
      <c r="C330" s="18">
        <v>0.75</v>
      </c>
      <c r="D330" s="19">
        <f>+SUMIFS(Regiones[Ofrecidas],Regiones[Fecha],Tabla54[[#This Row],[Fecha]],Regiones[Intervalo],Tabla54[[#This Row],[Intervalo]],Regiones[Skill],'BUPA Seguros'!$L$3)</f>
        <v>0</v>
      </c>
      <c r="E330" s="19">
        <f>+SUMIFS(Regiones[Contestadas],Regiones[Fecha],Tabla54[[#This Row],[Fecha]],Regiones[Intervalo],Tabla54[[#This Row],[Intervalo]],Regiones[Skill],'BUPA Seguros'!$L$3)</f>
        <v>0</v>
      </c>
      <c r="F330" s="20">
        <v>0</v>
      </c>
      <c r="G330" s="19">
        <f>IFERROR(SUMIFS(Regiones[TMO],Regiones[Fecha],Tabla54[[#This Row],[Fecha]],Regiones[Intervalo],Tabla54[[#This Row],[Intervalo]],Regiones[Skill],'BUPA Seguros'!$L$3)/Tabla54[[#This Row],[Atendidas]],0)</f>
        <v>0</v>
      </c>
      <c r="H3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0" s="21">
        <f>IFERROR(Tabla54[[#This Row],[Atendidas]]/Tabla54[[#This Row],[Recibidas]],0)</f>
        <v>0</v>
      </c>
    </row>
    <row r="331" spans="2:9" x14ac:dyDescent="0.3">
      <c r="B331" s="25">
        <f t="shared" si="17"/>
        <v>46210</v>
      </c>
      <c r="C331" s="26">
        <v>0.77083333333333304</v>
      </c>
      <c r="D331" s="19">
        <f>+SUMIFS(Regiones[Ofrecidas],Regiones[Fecha],Tabla54[[#This Row],[Fecha]],Regiones[Intervalo],Tabla54[[#This Row],[Intervalo]],Regiones[Skill],'BUPA Seguros'!$L$3)</f>
        <v>0</v>
      </c>
      <c r="E331" s="19">
        <f>+SUMIFS(Regiones[Contestadas],Regiones[Fecha],Tabla54[[#This Row],[Fecha]],Regiones[Intervalo],Tabla54[[#This Row],[Intervalo]],Regiones[Skill],'BUPA Seguros'!$L$3)</f>
        <v>0</v>
      </c>
      <c r="F331" s="20">
        <v>0</v>
      </c>
      <c r="G331" s="19">
        <f>IFERROR(SUMIFS(Regiones[TMO],Regiones[Fecha],Tabla54[[#This Row],[Fecha]],Regiones[Intervalo],Tabla54[[#This Row],[Intervalo]],Regiones[Skill],'BUPA Seguros'!$L$3)/Tabla54[[#This Row],[Atendidas]],0)</f>
        <v>0</v>
      </c>
      <c r="H3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1" s="21">
        <f>IFERROR(Tabla54[[#This Row],[Atendidas]]/Tabla54[[#This Row],[Recibidas]],0)</f>
        <v>0</v>
      </c>
    </row>
    <row r="332" spans="2:9" x14ac:dyDescent="0.3">
      <c r="B332" s="27">
        <f t="shared" si="17"/>
        <v>46210</v>
      </c>
      <c r="C332" s="18">
        <v>0.79166666666666696</v>
      </c>
      <c r="D332" s="19">
        <f>+SUMIFS(Regiones[Ofrecidas],Regiones[Fecha],Tabla54[[#This Row],[Fecha]],Regiones[Intervalo],Tabla54[[#This Row],[Intervalo]],Regiones[Skill],'BUPA Seguros'!$L$3)</f>
        <v>0</v>
      </c>
      <c r="E332" s="19">
        <f>+SUMIFS(Regiones[Contestadas],Regiones[Fecha],Tabla54[[#This Row],[Fecha]],Regiones[Intervalo],Tabla54[[#This Row],[Intervalo]],Regiones[Skill],'BUPA Seguros'!$L$3)</f>
        <v>0</v>
      </c>
      <c r="F332" s="20">
        <v>0</v>
      </c>
      <c r="G332" s="19">
        <f>IFERROR(SUMIFS(Regiones[TMO],Regiones[Fecha],Tabla54[[#This Row],[Fecha]],Regiones[Intervalo],Tabla54[[#This Row],[Intervalo]],Regiones[Skill],'BUPA Seguros'!$L$3)/Tabla54[[#This Row],[Atendidas]],0)</f>
        <v>0</v>
      </c>
      <c r="H3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2" s="21">
        <f>IFERROR(Tabla54[[#This Row],[Atendidas]]/Tabla54[[#This Row],[Recibidas]],0)</f>
        <v>0</v>
      </c>
    </row>
    <row r="333" spans="2:9" x14ac:dyDescent="0.3">
      <c r="B333" s="25">
        <f t="shared" si="17"/>
        <v>46210</v>
      </c>
      <c r="C333" s="26">
        <v>0.8125</v>
      </c>
      <c r="D333" s="19">
        <f>+SUMIFS(Regiones[Ofrecidas],Regiones[Fecha],Tabla54[[#This Row],[Fecha]],Regiones[Intervalo],Tabla54[[#This Row],[Intervalo]],Regiones[Skill],'BUPA Seguros'!$L$3)</f>
        <v>0</v>
      </c>
      <c r="E333" s="19">
        <f>+SUMIFS(Regiones[Contestadas],Regiones[Fecha],Tabla54[[#This Row],[Fecha]],Regiones[Intervalo],Tabla54[[#This Row],[Intervalo]],Regiones[Skill],'BUPA Seguros'!$L$3)</f>
        <v>0</v>
      </c>
      <c r="F333" s="20">
        <v>0</v>
      </c>
      <c r="G333" s="19">
        <f>IFERROR(SUMIFS(Regiones[TMO],Regiones[Fecha],Tabla54[[#This Row],[Fecha]],Regiones[Intervalo],Tabla54[[#This Row],[Intervalo]],Regiones[Skill],'BUPA Seguros'!$L$3)/Tabla54[[#This Row],[Atendidas]],0)</f>
        <v>0</v>
      </c>
      <c r="H3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3" s="21">
        <f>IFERROR(Tabla54[[#This Row],[Atendidas]]/Tabla54[[#This Row],[Recibidas]],0)</f>
        <v>0</v>
      </c>
    </row>
    <row r="334" spans="2:9" x14ac:dyDescent="0.3">
      <c r="B334" s="27">
        <f t="shared" si="17"/>
        <v>46210</v>
      </c>
      <c r="C334" s="18">
        <v>0.83333333333333304</v>
      </c>
      <c r="D334" s="19">
        <f>+SUMIFS(Regiones[Ofrecidas],Regiones[Fecha],Tabla54[[#This Row],[Fecha]],Regiones[Intervalo],Tabla54[[#This Row],[Intervalo]],Regiones[Skill],'BUPA Seguros'!$L$3)</f>
        <v>0</v>
      </c>
      <c r="E334" s="19">
        <f>+SUMIFS(Regiones[Contestadas],Regiones[Fecha],Tabla54[[#This Row],[Fecha]],Regiones[Intervalo],Tabla54[[#This Row],[Intervalo]],Regiones[Skill],'BUPA Seguros'!$L$3)</f>
        <v>0</v>
      </c>
      <c r="F334" s="20">
        <v>0</v>
      </c>
      <c r="G334" s="19">
        <f>IFERROR(SUMIFS(Regiones[TMO],Regiones[Fecha],Tabla54[[#This Row],[Fecha]],Regiones[Intervalo],Tabla54[[#This Row],[Intervalo]],Regiones[Skill],'BUPA Seguros'!$L$3)/Tabla54[[#This Row],[Atendidas]],0)</f>
        <v>0</v>
      </c>
      <c r="H3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4" s="21">
        <f>IFERROR(Tabla54[[#This Row],[Atendidas]]/Tabla54[[#This Row],[Recibidas]],0)</f>
        <v>0</v>
      </c>
    </row>
    <row r="335" spans="2:9" x14ac:dyDescent="0.3">
      <c r="B335" s="25">
        <f t="shared" si="17"/>
        <v>46210</v>
      </c>
      <c r="C335" s="26">
        <v>0.85416666666666696</v>
      </c>
      <c r="D335" s="19">
        <f>+SUMIFS(Regiones[Ofrecidas],Regiones[Fecha],Tabla54[[#This Row],[Fecha]],Regiones[Intervalo],Tabla54[[#This Row],[Intervalo]],Regiones[Skill],'BUPA Seguros'!$L$3)</f>
        <v>0</v>
      </c>
      <c r="E335" s="19">
        <f>+SUMIFS(Regiones[Contestadas],Regiones[Fecha],Tabla54[[#This Row],[Fecha]],Regiones[Intervalo],Tabla54[[#This Row],[Intervalo]],Regiones[Skill],'BUPA Seguros'!$L$3)</f>
        <v>0</v>
      </c>
      <c r="F335" s="20">
        <v>0</v>
      </c>
      <c r="G335" s="19">
        <f>IFERROR(SUMIFS(Regiones[TMO],Regiones[Fecha],Tabla54[[#This Row],[Fecha]],Regiones[Intervalo],Tabla54[[#This Row],[Intervalo]],Regiones[Skill],'BUPA Seguros'!$L$3)/Tabla54[[#This Row],[Atendidas]],0)</f>
        <v>0</v>
      </c>
      <c r="H3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5" s="21">
        <f>IFERROR(Tabla54[[#This Row],[Atendidas]]/Tabla54[[#This Row],[Recibidas]],0)</f>
        <v>0</v>
      </c>
    </row>
    <row r="336" spans="2:9" x14ac:dyDescent="0.3">
      <c r="B336" s="27">
        <f t="shared" si="17"/>
        <v>46210</v>
      </c>
      <c r="C336" s="18">
        <v>0.875</v>
      </c>
      <c r="D336" s="19">
        <f>+SUMIFS(Regiones[Ofrecidas],Regiones[Fecha],Tabla54[[#This Row],[Fecha]],Regiones[Intervalo],Tabla54[[#This Row],[Intervalo]],Regiones[Skill],'BUPA Seguros'!$L$3)</f>
        <v>0</v>
      </c>
      <c r="E336" s="19">
        <f>+SUMIFS(Regiones[Contestadas],Regiones[Fecha],Tabla54[[#This Row],[Fecha]],Regiones[Intervalo],Tabla54[[#This Row],[Intervalo]],Regiones[Skill],'BUPA Seguros'!$L$3)</f>
        <v>0</v>
      </c>
      <c r="F336" s="20">
        <v>0</v>
      </c>
      <c r="G336" s="19">
        <f>IFERROR(SUMIFS(Regiones[TMO],Regiones[Fecha],Tabla54[[#This Row],[Fecha]],Regiones[Intervalo],Tabla54[[#This Row],[Intervalo]],Regiones[Skill],'BUPA Seguros'!$L$3)/Tabla54[[#This Row],[Atendidas]],0)</f>
        <v>0</v>
      </c>
      <c r="H3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6" s="21">
        <f>IFERROR(Tabla54[[#This Row],[Atendidas]]/Tabla54[[#This Row],[Recibidas]],0)</f>
        <v>0</v>
      </c>
    </row>
    <row r="337" spans="2:9" x14ac:dyDescent="0.3">
      <c r="B337" s="25">
        <f t="shared" si="17"/>
        <v>46210</v>
      </c>
      <c r="C337" s="26">
        <v>0.89583333333333304</v>
      </c>
      <c r="D337" s="19">
        <f>+SUMIFS(Regiones[Ofrecidas],Regiones[Fecha],Tabla54[[#This Row],[Fecha]],Regiones[Intervalo],Tabla54[[#This Row],[Intervalo]],Regiones[Skill],'BUPA Seguros'!$L$3)</f>
        <v>0</v>
      </c>
      <c r="E337" s="19">
        <f>+SUMIFS(Regiones[Contestadas],Regiones[Fecha],Tabla54[[#This Row],[Fecha]],Regiones[Intervalo],Tabla54[[#This Row],[Intervalo]],Regiones[Skill],'BUPA Seguros'!$L$3)</f>
        <v>0</v>
      </c>
      <c r="F337" s="20">
        <v>0</v>
      </c>
      <c r="G337" s="19">
        <f>IFERROR(SUMIFS(Regiones[TMO],Regiones[Fecha],Tabla54[[#This Row],[Fecha]],Regiones[Intervalo],Tabla54[[#This Row],[Intervalo]],Regiones[Skill],'BUPA Seguros'!$L$3)/Tabla54[[#This Row],[Atendidas]],0)</f>
        <v>0</v>
      </c>
      <c r="H3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7" s="21">
        <f>IFERROR(Tabla54[[#This Row],[Atendidas]]/Tabla54[[#This Row],[Recibidas]],0)</f>
        <v>0</v>
      </c>
    </row>
    <row r="338" spans="2:9" x14ac:dyDescent="0.3">
      <c r="B338" s="27">
        <f t="shared" si="17"/>
        <v>46210</v>
      </c>
      <c r="C338" s="18">
        <v>0.91666666666666696</v>
      </c>
      <c r="D338" s="19">
        <f>+SUMIFS(Regiones[Ofrecidas],Regiones[Fecha],Tabla54[[#This Row],[Fecha]],Regiones[Intervalo],Tabla54[[#This Row],[Intervalo]],Regiones[Skill],'BUPA Seguros'!$L$3)</f>
        <v>0</v>
      </c>
      <c r="E338" s="19">
        <f>+SUMIFS(Regiones[Contestadas],Regiones[Fecha],Tabla54[[#This Row],[Fecha]],Regiones[Intervalo],Tabla54[[#This Row],[Intervalo]],Regiones[Skill],'BUPA Seguros'!$L$3)</f>
        <v>0</v>
      </c>
      <c r="F338" s="20">
        <v>0</v>
      </c>
      <c r="G338" s="19">
        <f>IFERROR(SUMIFS(Regiones[TMO],Regiones[Fecha],Tabla54[[#This Row],[Fecha]],Regiones[Intervalo],Tabla54[[#This Row],[Intervalo]],Regiones[Skill],'BUPA Seguros'!$L$3)/Tabla54[[#This Row],[Atendidas]],0)</f>
        <v>0</v>
      </c>
      <c r="H3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8" s="21">
        <f>IFERROR(Tabla54[[#This Row],[Atendidas]]/Tabla54[[#This Row],[Recibidas]],0)</f>
        <v>0</v>
      </c>
    </row>
    <row r="339" spans="2:9" x14ac:dyDescent="0.3">
      <c r="B339" s="25">
        <f t="shared" si="17"/>
        <v>46210</v>
      </c>
      <c r="C339" s="26">
        <v>0.9375</v>
      </c>
      <c r="D339" s="19">
        <f>+SUMIFS(Regiones[Ofrecidas],Regiones[Fecha],Tabla54[[#This Row],[Fecha]],Regiones[Intervalo],Tabla54[[#This Row],[Intervalo]],Regiones[Skill],'BUPA Seguros'!$L$3)</f>
        <v>0</v>
      </c>
      <c r="E339" s="19">
        <f>+SUMIFS(Regiones[Contestadas],Regiones[Fecha],Tabla54[[#This Row],[Fecha]],Regiones[Intervalo],Tabla54[[#This Row],[Intervalo]],Regiones[Skill],'BUPA Seguros'!$L$3)</f>
        <v>0</v>
      </c>
      <c r="F339" s="20">
        <v>0</v>
      </c>
      <c r="G339" s="19">
        <f>IFERROR(SUMIFS(Regiones[TMO],Regiones[Fecha],Tabla54[[#This Row],[Fecha]],Regiones[Intervalo],Tabla54[[#This Row],[Intervalo]],Regiones[Skill],'BUPA Seguros'!$L$3)/Tabla54[[#This Row],[Atendidas]],0)</f>
        <v>0</v>
      </c>
      <c r="H3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39" s="21">
        <f>IFERROR(Tabla54[[#This Row],[Atendidas]]/Tabla54[[#This Row],[Recibidas]],0)</f>
        <v>0</v>
      </c>
    </row>
    <row r="340" spans="2:9" x14ac:dyDescent="0.3">
      <c r="B340" s="27">
        <f t="shared" si="17"/>
        <v>46210</v>
      </c>
      <c r="C340" s="18">
        <v>0.95833333333333304</v>
      </c>
      <c r="D340" s="19">
        <f>+SUMIFS(Regiones[Ofrecidas],Regiones[Fecha],Tabla54[[#This Row],[Fecha]],Regiones[Intervalo],Tabla54[[#This Row],[Intervalo]],Regiones[Skill],'BUPA Seguros'!$L$3)</f>
        <v>0</v>
      </c>
      <c r="E340" s="19">
        <f>+SUMIFS(Regiones[Contestadas],Regiones[Fecha],Tabla54[[#This Row],[Fecha]],Regiones[Intervalo],Tabla54[[#This Row],[Intervalo]],Regiones[Skill],'BUPA Seguros'!$L$3)</f>
        <v>0</v>
      </c>
      <c r="F340" s="20">
        <v>0</v>
      </c>
      <c r="G340" s="19">
        <f>IFERROR(SUMIFS(Regiones[TMO],Regiones[Fecha],Tabla54[[#This Row],[Fecha]],Regiones[Intervalo],Tabla54[[#This Row],[Intervalo]],Regiones[Skill],'BUPA Seguros'!$L$3)/Tabla54[[#This Row],[Atendidas]],0)</f>
        <v>0</v>
      </c>
      <c r="H3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0" s="21">
        <f>IFERROR(Tabla54[[#This Row],[Atendidas]]/Tabla54[[#This Row],[Recibidas]],0)</f>
        <v>0</v>
      </c>
    </row>
    <row r="341" spans="2:9" x14ac:dyDescent="0.3">
      <c r="B341" s="25">
        <f t="shared" si="17"/>
        <v>46210</v>
      </c>
      <c r="C341" s="26">
        <v>0.97916666666666696</v>
      </c>
      <c r="D341" s="19">
        <f>+SUMIFS(Regiones[Ofrecidas],Regiones[Fecha],Tabla54[[#This Row],[Fecha]],Regiones[Intervalo],Tabla54[[#This Row],[Intervalo]],Regiones[Skill],'BUPA Seguros'!$L$3)</f>
        <v>0</v>
      </c>
      <c r="E341" s="19">
        <f>+SUMIFS(Regiones[Contestadas],Regiones[Fecha],Tabla54[[#This Row],[Fecha]],Regiones[Intervalo],Tabla54[[#This Row],[Intervalo]],Regiones[Skill],'BUPA Seguros'!$L$3)</f>
        <v>0</v>
      </c>
      <c r="F341" s="20">
        <v>0</v>
      </c>
      <c r="G341" s="19">
        <f>IFERROR(SUMIFS(Regiones[TMO],Regiones[Fecha],Tabla54[[#This Row],[Fecha]],Regiones[Intervalo],Tabla54[[#This Row],[Intervalo]],Regiones[Skill],'BUPA Seguros'!$L$3)/Tabla54[[#This Row],[Atendidas]],0)</f>
        <v>0</v>
      </c>
      <c r="H3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1" s="21">
        <f>IFERROR(Tabla54[[#This Row],[Atendidas]]/Tabla54[[#This Row],[Recibidas]],0)</f>
        <v>0</v>
      </c>
    </row>
    <row r="342" spans="2:9" x14ac:dyDescent="0.3">
      <c r="B342" s="27">
        <f>+B341+1</f>
        <v>46211</v>
      </c>
      <c r="C342" s="18">
        <v>0</v>
      </c>
      <c r="D342" s="19">
        <f>+SUMIFS(Regiones[Ofrecidas],Regiones[Fecha],Tabla54[[#This Row],[Fecha]],Regiones[Intervalo],Tabla54[[#This Row],[Intervalo]],Regiones[Skill],'BUPA Seguros'!$L$3)</f>
        <v>0</v>
      </c>
      <c r="E342" s="19">
        <f>+SUMIFS(Regiones[Contestadas],Regiones[Fecha],Tabla54[[#This Row],[Fecha]],Regiones[Intervalo],Tabla54[[#This Row],[Intervalo]],Regiones[Skill],'BUPA Seguros'!$L$3)</f>
        <v>0</v>
      </c>
      <c r="F342" s="20">
        <v>0</v>
      </c>
      <c r="G342" s="19">
        <f>IFERROR(SUMIFS(Regiones[TMO],Regiones[Fecha],Tabla54[[#This Row],[Fecha]],Regiones[Intervalo],Tabla54[[#This Row],[Intervalo]],Regiones[Skill],'BUPA Seguros'!$L$3)/Tabla54[[#This Row],[Atendidas]],0)</f>
        <v>0</v>
      </c>
      <c r="H3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2" s="21">
        <f>IFERROR(Tabla54[[#This Row],[Atendidas]]/Tabla54[[#This Row],[Recibidas]],0)</f>
        <v>0</v>
      </c>
    </row>
    <row r="343" spans="2:9" x14ac:dyDescent="0.3">
      <c r="B343" s="25">
        <f>+B342</f>
        <v>46211</v>
      </c>
      <c r="C343" s="26">
        <v>2.0833333333333332E-2</v>
      </c>
      <c r="D343" s="19">
        <f>+SUMIFS(Regiones[Ofrecidas],Regiones[Fecha],Tabla54[[#This Row],[Fecha]],Regiones[Intervalo],Tabla54[[#This Row],[Intervalo]],Regiones[Skill],'BUPA Seguros'!$L$3)</f>
        <v>0</v>
      </c>
      <c r="E343" s="19">
        <f>+SUMIFS(Regiones[Contestadas],Regiones[Fecha],Tabla54[[#This Row],[Fecha]],Regiones[Intervalo],Tabla54[[#This Row],[Intervalo]],Regiones[Skill],'BUPA Seguros'!$L$3)</f>
        <v>0</v>
      </c>
      <c r="F343" s="20">
        <v>0</v>
      </c>
      <c r="G343" s="19">
        <f>IFERROR(SUMIFS(Regiones[TMO],Regiones[Fecha],Tabla54[[#This Row],[Fecha]],Regiones[Intervalo],Tabla54[[#This Row],[Intervalo]],Regiones[Skill],'BUPA Seguros'!$L$3)/Tabla54[[#This Row],[Atendidas]],0)</f>
        <v>0</v>
      </c>
      <c r="H3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3" s="21">
        <f>IFERROR(Tabla54[[#This Row],[Atendidas]]/Tabla54[[#This Row],[Recibidas]],0)</f>
        <v>0</v>
      </c>
    </row>
    <row r="344" spans="2:9" x14ac:dyDescent="0.3">
      <c r="B344" s="27">
        <f t="shared" ref="B344:B389" si="18">+B343</f>
        <v>46211</v>
      </c>
      <c r="C344" s="18">
        <v>4.1666666666666699E-2</v>
      </c>
      <c r="D344" s="19">
        <f>+SUMIFS(Regiones[Ofrecidas],Regiones[Fecha],Tabla54[[#This Row],[Fecha]],Regiones[Intervalo],Tabla54[[#This Row],[Intervalo]],Regiones[Skill],'BUPA Seguros'!$L$3)</f>
        <v>0</v>
      </c>
      <c r="E344" s="19">
        <f>+SUMIFS(Regiones[Contestadas],Regiones[Fecha],Tabla54[[#This Row],[Fecha]],Regiones[Intervalo],Tabla54[[#This Row],[Intervalo]],Regiones[Skill],'BUPA Seguros'!$L$3)</f>
        <v>0</v>
      </c>
      <c r="F344" s="20">
        <v>0</v>
      </c>
      <c r="G344" s="19">
        <f>IFERROR(SUMIFS(Regiones[TMO],Regiones[Fecha],Tabla54[[#This Row],[Fecha]],Regiones[Intervalo],Tabla54[[#This Row],[Intervalo]],Regiones[Skill],'BUPA Seguros'!$L$3)/Tabla54[[#This Row],[Atendidas]],0)</f>
        <v>0</v>
      </c>
      <c r="H3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4" s="21">
        <f>IFERROR(Tabla54[[#This Row],[Atendidas]]/Tabla54[[#This Row],[Recibidas]],0)</f>
        <v>0</v>
      </c>
    </row>
    <row r="345" spans="2:9" x14ac:dyDescent="0.3">
      <c r="B345" s="25">
        <f t="shared" si="18"/>
        <v>46211</v>
      </c>
      <c r="C345" s="26">
        <v>6.25E-2</v>
      </c>
      <c r="D345" s="19">
        <f>+SUMIFS(Regiones[Ofrecidas],Regiones[Fecha],Tabla54[[#This Row],[Fecha]],Regiones[Intervalo],Tabla54[[#This Row],[Intervalo]],Regiones[Skill],'BUPA Seguros'!$L$3)</f>
        <v>0</v>
      </c>
      <c r="E345" s="19">
        <f>+SUMIFS(Regiones[Contestadas],Regiones[Fecha],Tabla54[[#This Row],[Fecha]],Regiones[Intervalo],Tabla54[[#This Row],[Intervalo]],Regiones[Skill],'BUPA Seguros'!$L$3)</f>
        <v>0</v>
      </c>
      <c r="F345" s="20">
        <v>0</v>
      </c>
      <c r="G345" s="19">
        <f>IFERROR(SUMIFS(Regiones[TMO],Regiones[Fecha],Tabla54[[#This Row],[Fecha]],Regiones[Intervalo],Tabla54[[#This Row],[Intervalo]],Regiones[Skill],'BUPA Seguros'!$L$3)/Tabla54[[#This Row],[Atendidas]],0)</f>
        <v>0</v>
      </c>
      <c r="H3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5" s="21">
        <f>IFERROR(Tabla54[[#This Row],[Atendidas]]/Tabla54[[#This Row],[Recibidas]],0)</f>
        <v>0</v>
      </c>
    </row>
    <row r="346" spans="2:9" x14ac:dyDescent="0.3">
      <c r="B346" s="27">
        <f t="shared" si="18"/>
        <v>46211</v>
      </c>
      <c r="C346" s="18">
        <v>8.3333333333333301E-2</v>
      </c>
      <c r="D346" s="19">
        <f>+SUMIFS(Regiones[Ofrecidas],Regiones[Fecha],Tabla54[[#This Row],[Fecha]],Regiones[Intervalo],Tabla54[[#This Row],[Intervalo]],Regiones[Skill],'BUPA Seguros'!$L$3)</f>
        <v>0</v>
      </c>
      <c r="E346" s="19">
        <f>+SUMIFS(Regiones[Contestadas],Regiones[Fecha],Tabla54[[#This Row],[Fecha]],Regiones[Intervalo],Tabla54[[#This Row],[Intervalo]],Regiones[Skill],'BUPA Seguros'!$L$3)</f>
        <v>0</v>
      </c>
      <c r="F346" s="20">
        <v>0</v>
      </c>
      <c r="G346" s="19">
        <f>IFERROR(SUMIFS(Regiones[TMO],Regiones[Fecha],Tabla54[[#This Row],[Fecha]],Regiones[Intervalo],Tabla54[[#This Row],[Intervalo]],Regiones[Skill],'BUPA Seguros'!$L$3)/Tabla54[[#This Row],[Atendidas]],0)</f>
        <v>0</v>
      </c>
      <c r="H3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6" s="21">
        <f>IFERROR(Tabla54[[#This Row],[Atendidas]]/Tabla54[[#This Row],[Recibidas]],0)</f>
        <v>0</v>
      </c>
    </row>
    <row r="347" spans="2:9" x14ac:dyDescent="0.3">
      <c r="B347" s="25">
        <f t="shared" si="18"/>
        <v>46211</v>
      </c>
      <c r="C347" s="26">
        <v>0.104166666666667</v>
      </c>
      <c r="D347" s="19">
        <f>+SUMIFS(Regiones[Ofrecidas],Regiones[Fecha],Tabla54[[#This Row],[Fecha]],Regiones[Intervalo],Tabla54[[#This Row],[Intervalo]],Regiones[Skill],'BUPA Seguros'!$L$3)</f>
        <v>0</v>
      </c>
      <c r="E347" s="19">
        <f>+SUMIFS(Regiones[Contestadas],Regiones[Fecha],Tabla54[[#This Row],[Fecha]],Regiones[Intervalo],Tabla54[[#This Row],[Intervalo]],Regiones[Skill],'BUPA Seguros'!$L$3)</f>
        <v>0</v>
      </c>
      <c r="F347" s="20">
        <v>0</v>
      </c>
      <c r="G347" s="19">
        <f>IFERROR(SUMIFS(Regiones[TMO],Regiones[Fecha],Tabla54[[#This Row],[Fecha]],Regiones[Intervalo],Tabla54[[#This Row],[Intervalo]],Regiones[Skill],'BUPA Seguros'!$L$3)/Tabla54[[#This Row],[Atendidas]],0)</f>
        <v>0</v>
      </c>
      <c r="H3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7" s="21">
        <f>IFERROR(Tabla54[[#This Row],[Atendidas]]/Tabla54[[#This Row],[Recibidas]],0)</f>
        <v>0</v>
      </c>
    </row>
    <row r="348" spans="2:9" x14ac:dyDescent="0.3">
      <c r="B348" s="27">
        <f t="shared" si="18"/>
        <v>46211</v>
      </c>
      <c r="C348" s="18">
        <v>0.125</v>
      </c>
      <c r="D348" s="19">
        <f>+SUMIFS(Regiones[Ofrecidas],Regiones[Fecha],Tabla54[[#This Row],[Fecha]],Regiones[Intervalo],Tabla54[[#This Row],[Intervalo]],Regiones[Skill],'BUPA Seguros'!$L$3)</f>
        <v>0</v>
      </c>
      <c r="E348" s="19">
        <f>+SUMIFS(Regiones[Contestadas],Regiones[Fecha],Tabla54[[#This Row],[Fecha]],Regiones[Intervalo],Tabla54[[#This Row],[Intervalo]],Regiones[Skill],'BUPA Seguros'!$L$3)</f>
        <v>0</v>
      </c>
      <c r="F348" s="20">
        <v>0</v>
      </c>
      <c r="G348" s="19">
        <f>IFERROR(SUMIFS(Regiones[TMO],Regiones[Fecha],Tabla54[[#This Row],[Fecha]],Regiones[Intervalo],Tabla54[[#This Row],[Intervalo]],Regiones[Skill],'BUPA Seguros'!$L$3)/Tabla54[[#This Row],[Atendidas]],0)</f>
        <v>0</v>
      </c>
      <c r="H3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8" s="21">
        <f>IFERROR(Tabla54[[#This Row],[Atendidas]]/Tabla54[[#This Row],[Recibidas]],0)</f>
        <v>0</v>
      </c>
    </row>
    <row r="349" spans="2:9" x14ac:dyDescent="0.3">
      <c r="B349" s="25">
        <f t="shared" si="18"/>
        <v>46211</v>
      </c>
      <c r="C349" s="26">
        <v>0.14583333333333301</v>
      </c>
      <c r="D349" s="19">
        <f>+SUMIFS(Regiones[Ofrecidas],Regiones[Fecha],Tabla54[[#This Row],[Fecha]],Regiones[Intervalo],Tabla54[[#This Row],[Intervalo]],Regiones[Skill],'BUPA Seguros'!$L$3)</f>
        <v>0</v>
      </c>
      <c r="E349" s="19">
        <f>+SUMIFS(Regiones[Contestadas],Regiones[Fecha],Tabla54[[#This Row],[Fecha]],Regiones[Intervalo],Tabla54[[#This Row],[Intervalo]],Regiones[Skill],'BUPA Seguros'!$L$3)</f>
        <v>0</v>
      </c>
      <c r="F349" s="20">
        <v>0</v>
      </c>
      <c r="G349" s="19">
        <f>IFERROR(SUMIFS(Regiones[TMO],Regiones[Fecha],Tabla54[[#This Row],[Fecha]],Regiones[Intervalo],Tabla54[[#This Row],[Intervalo]],Regiones[Skill],'BUPA Seguros'!$L$3)/Tabla54[[#This Row],[Atendidas]],0)</f>
        <v>0</v>
      </c>
      <c r="H3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49" s="21">
        <f>IFERROR(Tabla54[[#This Row],[Atendidas]]/Tabla54[[#This Row],[Recibidas]],0)</f>
        <v>0</v>
      </c>
    </row>
    <row r="350" spans="2:9" x14ac:dyDescent="0.3">
      <c r="B350" s="27">
        <f t="shared" si="18"/>
        <v>46211</v>
      </c>
      <c r="C350" s="18">
        <v>0.16666666666666699</v>
      </c>
      <c r="D350" s="19">
        <f>+SUMIFS(Regiones[Ofrecidas],Regiones[Fecha],Tabla54[[#This Row],[Fecha]],Regiones[Intervalo],Tabla54[[#This Row],[Intervalo]],Regiones[Skill],'BUPA Seguros'!$L$3)</f>
        <v>0</v>
      </c>
      <c r="E350" s="19">
        <f>+SUMIFS(Regiones[Contestadas],Regiones[Fecha],Tabla54[[#This Row],[Fecha]],Regiones[Intervalo],Tabla54[[#This Row],[Intervalo]],Regiones[Skill],'BUPA Seguros'!$L$3)</f>
        <v>0</v>
      </c>
      <c r="F350" s="20">
        <v>0</v>
      </c>
      <c r="G350" s="19">
        <f>IFERROR(SUMIFS(Regiones[TMO],Regiones[Fecha],Tabla54[[#This Row],[Fecha]],Regiones[Intervalo],Tabla54[[#This Row],[Intervalo]],Regiones[Skill],'BUPA Seguros'!$L$3)/Tabla54[[#This Row],[Atendidas]],0)</f>
        <v>0</v>
      </c>
      <c r="H3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0" s="21">
        <f>IFERROR(Tabla54[[#This Row],[Atendidas]]/Tabla54[[#This Row],[Recibidas]],0)</f>
        <v>0</v>
      </c>
    </row>
    <row r="351" spans="2:9" x14ac:dyDescent="0.3">
      <c r="B351" s="25">
        <f t="shared" si="18"/>
        <v>46211</v>
      </c>
      <c r="C351" s="26">
        <v>0.1875</v>
      </c>
      <c r="D351" s="19">
        <f>+SUMIFS(Regiones[Ofrecidas],Regiones[Fecha],Tabla54[[#This Row],[Fecha]],Regiones[Intervalo],Tabla54[[#This Row],[Intervalo]],Regiones[Skill],'BUPA Seguros'!$L$3)</f>
        <v>0</v>
      </c>
      <c r="E351" s="19">
        <f>+SUMIFS(Regiones[Contestadas],Regiones[Fecha],Tabla54[[#This Row],[Fecha]],Regiones[Intervalo],Tabla54[[#This Row],[Intervalo]],Regiones[Skill],'BUPA Seguros'!$L$3)</f>
        <v>0</v>
      </c>
      <c r="F351" s="20">
        <v>0</v>
      </c>
      <c r="G351" s="19">
        <f>IFERROR(SUMIFS(Regiones[TMO],Regiones[Fecha],Tabla54[[#This Row],[Fecha]],Regiones[Intervalo],Tabla54[[#This Row],[Intervalo]],Regiones[Skill],'BUPA Seguros'!$L$3)/Tabla54[[#This Row],[Atendidas]],0)</f>
        <v>0</v>
      </c>
      <c r="H3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1" s="21">
        <f>IFERROR(Tabla54[[#This Row],[Atendidas]]/Tabla54[[#This Row],[Recibidas]],0)</f>
        <v>0</v>
      </c>
    </row>
    <row r="352" spans="2:9" x14ac:dyDescent="0.3">
      <c r="B352" s="27">
        <f t="shared" si="18"/>
        <v>46211</v>
      </c>
      <c r="C352" s="18">
        <v>0.20833333333333301</v>
      </c>
      <c r="D352" s="19">
        <f>+SUMIFS(Regiones[Ofrecidas],Regiones[Fecha],Tabla54[[#This Row],[Fecha]],Regiones[Intervalo],Tabla54[[#This Row],[Intervalo]],Regiones[Skill],'BUPA Seguros'!$L$3)</f>
        <v>0</v>
      </c>
      <c r="E352" s="19">
        <f>+SUMIFS(Regiones[Contestadas],Regiones[Fecha],Tabla54[[#This Row],[Fecha]],Regiones[Intervalo],Tabla54[[#This Row],[Intervalo]],Regiones[Skill],'BUPA Seguros'!$L$3)</f>
        <v>0</v>
      </c>
      <c r="F352" s="20">
        <v>0</v>
      </c>
      <c r="G352" s="19">
        <f>IFERROR(SUMIFS(Regiones[TMO],Regiones[Fecha],Tabla54[[#This Row],[Fecha]],Regiones[Intervalo],Tabla54[[#This Row],[Intervalo]],Regiones[Skill],'BUPA Seguros'!$L$3)/Tabla54[[#This Row],[Atendidas]],0)</f>
        <v>0</v>
      </c>
      <c r="H3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2" s="21">
        <f>IFERROR(Tabla54[[#This Row],[Atendidas]]/Tabla54[[#This Row],[Recibidas]],0)</f>
        <v>0</v>
      </c>
    </row>
    <row r="353" spans="2:9" x14ac:dyDescent="0.3">
      <c r="B353" s="25">
        <f t="shared" si="18"/>
        <v>46211</v>
      </c>
      <c r="C353" s="26">
        <v>0.22916666666666699</v>
      </c>
      <c r="D353" s="19">
        <f>+SUMIFS(Regiones[Ofrecidas],Regiones[Fecha],Tabla54[[#This Row],[Fecha]],Regiones[Intervalo],Tabla54[[#This Row],[Intervalo]],Regiones[Skill],'BUPA Seguros'!$L$3)</f>
        <v>0</v>
      </c>
      <c r="E353" s="19">
        <f>+SUMIFS(Regiones[Contestadas],Regiones[Fecha],Tabla54[[#This Row],[Fecha]],Regiones[Intervalo],Tabla54[[#This Row],[Intervalo]],Regiones[Skill],'BUPA Seguros'!$L$3)</f>
        <v>0</v>
      </c>
      <c r="F353" s="20">
        <v>0</v>
      </c>
      <c r="G353" s="19">
        <f>IFERROR(SUMIFS(Regiones[TMO],Regiones[Fecha],Tabla54[[#This Row],[Fecha]],Regiones[Intervalo],Tabla54[[#This Row],[Intervalo]],Regiones[Skill],'BUPA Seguros'!$L$3)/Tabla54[[#This Row],[Atendidas]],0)</f>
        <v>0</v>
      </c>
      <c r="H3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3" s="21">
        <f>IFERROR(Tabla54[[#This Row],[Atendidas]]/Tabla54[[#This Row],[Recibidas]],0)</f>
        <v>0</v>
      </c>
    </row>
    <row r="354" spans="2:9" x14ac:dyDescent="0.3">
      <c r="B354" s="27">
        <f t="shared" si="18"/>
        <v>46211</v>
      </c>
      <c r="C354" s="18">
        <v>0.25</v>
      </c>
      <c r="D354" s="19">
        <f>+SUMIFS(Regiones[Ofrecidas],Regiones[Fecha],Tabla54[[#This Row],[Fecha]],Regiones[Intervalo],Tabla54[[#This Row],[Intervalo]],Regiones[Skill],'BUPA Seguros'!$L$3)</f>
        <v>0</v>
      </c>
      <c r="E354" s="19">
        <f>+SUMIFS(Regiones[Contestadas],Regiones[Fecha],Tabla54[[#This Row],[Fecha]],Regiones[Intervalo],Tabla54[[#This Row],[Intervalo]],Regiones[Skill],'BUPA Seguros'!$L$3)</f>
        <v>0</v>
      </c>
      <c r="F354" s="20">
        <v>0</v>
      </c>
      <c r="G354" s="19">
        <f>IFERROR(SUMIFS(Regiones[TMO],Regiones[Fecha],Tabla54[[#This Row],[Fecha]],Regiones[Intervalo],Tabla54[[#This Row],[Intervalo]],Regiones[Skill],'BUPA Seguros'!$L$3)/Tabla54[[#This Row],[Atendidas]],0)</f>
        <v>0</v>
      </c>
      <c r="H3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4" s="21">
        <f>IFERROR(Tabla54[[#This Row],[Atendidas]]/Tabla54[[#This Row],[Recibidas]],0)</f>
        <v>0</v>
      </c>
    </row>
    <row r="355" spans="2:9" x14ac:dyDescent="0.3">
      <c r="B355" s="25">
        <f t="shared" si="18"/>
        <v>46211</v>
      </c>
      <c r="C355" s="26">
        <v>0.27083333333333298</v>
      </c>
      <c r="D355" s="19">
        <f>+SUMIFS(Regiones[Ofrecidas],Regiones[Fecha],Tabla54[[#This Row],[Fecha]],Regiones[Intervalo],Tabla54[[#This Row],[Intervalo]],Regiones[Skill],'BUPA Seguros'!$L$3)</f>
        <v>0</v>
      </c>
      <c r="E355" s="19">
        <f>+SUMIFS(Regiones[Contestadas],Regiones[Fecha],Tabla54[[#This Row],[Fecha]],Regiones[Intervalo],Tabla54[[#This Row],[Intervalo]],Regiones[Skill],'BUPA Seguros'!$L$3)</f>
        <v>0</v>
      </c>
      <c r="F355" s="20">
        <v>0</v>
      </c>
      <c r="G355" s="19">
        <f>IFERROR(SUMIFS(Regiones[TMO],Regiones[Fecha],Tabla54[[#This Row],[Fecha]],Regiones[Intervalo],Tabla54[[#This Row],[Intervalo]],Regiones[Skill],'BUPA Seguros'!$L$3)/Tabla54[[#This Row],[Atendidas]],0)</f>
        <v>0</v>
      </c>
      <c r="H3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5" s="21">
        <f>IFERROR(Tabla54[[#This Row],[Atendidas]]/Tabla54[[#This Row],[Recibidas]],0)</f>
        <v>0</v>
      </c>
    </row>
    <row r="356" spans="2:9" x14ac:dyDescent="0.3">
      <c r="B356" s="27">
        <f t="shared" si="18"/>
        <v>46211</v>
      </c>
      <c r="C356" s="18">
        <v>0.29166666666666702</v>
      </c>
      <c r="D356" s="19">
        <f>+SUMIFS(Regiones[Ofrecidas],Regiones[Fecha],Tabla54[[#This Row],[Fecha]],Regiones[Intervalo],Tabla54[[#This Row],[Intervalo]],Regiones[Skill],'BUPA Seguros'!$L$3)</f>
        <v>0</v>
      </c>
      <c r="E356" s="19">
        <f>+SUMIFS(Regiones[Contestadas],Regiones[Fecha],Tabla54[[#This Row],[Fecha]],Regiones[Intervalo],Tabla54[[#This Row],[Intervalo]],Regiones[Skill],'BUPA Seguros'!$L$3)</f>
        <v>0</v>
      </c>
      <c r="F356" s="20">
        <v>0</v>
      </c>
      <c r="G356" s="19">
        <f>IFERROR(SUMIFS(Regiones[TMO],Regiones[Fecha],Tabla54[[#This Row],[Fecha]],Regiones[Intervalo],Tabla54[[#This Row],[Intervalo]],Regiones[Skill],'BUPA Seguros'!$L$3)/Tabla54[[#This Row],[Atendidas]],0)</f>
        <v>0</v>
      </c>
      <c r="H3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6" s="21">
        <f>IFERROR(Tabla54[[#This Row],[Atendidas]]/Tabla54[[#This Row],[Recibidas]],0)</f>
        <v>0</v>
      </c>
    </row>
    <row r="357" spans="2:9" x14ac:dyDescent="0.3">
      <c r="B357" s="25">
        <f t="shared" si="18"/>
        <v>46211</v>
      </c>
      <c r="C357" s="26">
        <v>0.3125</v>
      </c>
      <c r="D357" s="19">
        <f>+SUMIFS(Regiones[Ofrecidas],Regiones[Fecha],Tabla54[[#This Row],[Fecha]],Regiones[Intervalo],Tabla54[[#This Row],[Intervalo]],Regiones[Skill],'BUPA Seguros'!$L$3)</f>
        <v>0</v>
      </c>
      <c r="E357" s="19">
        <f>+SUMIFS(Regiones[Contestadas],Regiones[Fecha],Tabla54[[#This Row],[Fecha]],Regiones[Intervalo],Tabla54[[#This Row],[Intervalo]],Regiones[Skill],'BUPA Seguros'!$L$3)</f>
        <v>0</v>
      </c>
      <c r="F357" s="20">
        <v>0</v>
      </c>
      <c r="G357" s="19">
        <f>IFERROR(SUMIFS(Regiones[TMO],Regiones[Fecha],Tabla54[[#This Row],[Fecha]],Regiones[Intervalo],Tabla54[[#This Row],[Intervalo]],Regiones[Skill],'BUPA Seguros'!$L$3)/Tabla54[[#This Row],[Atendidas]],0)</f>
        <v>0</v>
      </c>
      <c r="H3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7" s="21">
        <f>IFERROR(Tabla54[[#This Row],[Atendidas]]/Tabla54[[#This Row],[Recibidas]],0)</f>
        <v>0</v>
      </c>
    </row>
    <row r="358" spans="2:9" x14ac:dyDescent="0.3">
      <c r="B358" s="27">
        <f t="shared" si="18"/>
        <v>46211</v>
      </c>
      <c r="C358" s="18">
        <v>0.33333333333333298</v>
      </c>
      <c r="D358" s="19">
        <f>+SUMIFS(Regiones[Ofrecidas],Regiones[Fecha],Tabla54[[#This Row],[Fecha]],Regiones[Intervalo],Tabla54[[#This Row],[Intervalo]],Regiones[Skill],'BUPA Seguros'!$L$3)</f>
        <v>0</v>
      </c>
      <c r="E358" s="19">
        <f>+SUMIFS(Regiones[Contestadas],Regiones[Fecha],Tabla54[[#This Row],[Fecha]],Regiones[Intervalo],Tabla54[[#This Row],[Intervalo]],Regiones[Skill],'BUPA Seguros'!$L$3)</f>
        <v>0</v>
      </c>
      <c r="F358" s="20">
        <v>0</v>
      </c>
      <c r="G358" s="19">
        <f>IFERROR(SUMIFS(Regiones[TMO],Regiones[Fecha],Tabla54[[#This Row],[Fecha]],Regiones[Intervalo],Tabla54[[#This Row],[Intervalo]],Regiones[Skill],'BUPA Seguros'!$L$3)/Tabla54[[#This Row],[Atendidas]],0)</f>
        <v>0</v>
      </c>
      <c r="H3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8" s="21">
        <f>IFERROR(Tabla54[[#This Row],[Atendidas]]/Tabla54[[#This Row],[Recibidas]],0)</f>
        <v>0</v>
      </c>
    </row>
    <row r="359" spans="2:9" x14ac:dyDescent="0.3">
      <c r="B359" s="25">
        <f t="shared" si="18"/>
        <v>46211</v>
      </c>
      <c r="C359" s="26">
        <v>0.35416666666666702</v>
      </c>
      <c r="D359" s="19">
        <f>+SUMIFS(Regiones[Ofrecidas],Regiones[Fecha],Tabla54[[#This Row],[Fecha]],Regiones[Intervalo],Tabla54[[#This Row],[Intervalo]],Regiones[Skill],'BUPA Seguros'!$L$3)</f>
        <v>0</v>
      </c>
      <c r="E359" s="19">
        <f>+SUMIFS(Regiones[Contestadas],Regiones[Fecha],Tabla54[[#This Row],[Fecha]],Regiones[Intervalo],Tabla54[[#This Row],[Intervalo]],Regiones[Skill],'BUPA Seguros'!$L$3)</f>
        <v>0</v>
      </c>
      <c r="F359" s="20">
        <v>0</v>
      </c>
      <c r="G359" s="19">
        <f>IFERROR(SUMIFS(Regiones[TMO],Regiones[Fecha],Tabla54[[#This Row],[Fecha]],Regiones[Intervalo],Tabla54[[#This Row],[Intervalo]],Regiones[Skill],'BUPA Seguros'!$L$3)/Tabla54[[#This Row],[Atendidas]],0)</f>
        <v>0</v>
      </c>
      <c r="H3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59" s="21">
        <f>IFERROR(Tabla54[[#This Row],[Atendidas]]/Tabla54[[#This Row],[Recibidas]],0)</f>
        <v>0</v>
      </c>
    </row>
    <row r="360" spans="2:9" x14ac:dyDescent="0.3">
      <c r="B360" s="27">
        <f t="shared" si="18"/>
        <v>46211</v>
      </c>
      <c r="C360" s="18">
        <v>0.375</v>
      </c>
      <c r="D360" s="19">
        <f>+SUMIFS(Regiones[Ofrecidas],Regiones[Fecha],Tabla54[[#This Row],[Fecha]],Regiones[Intervalo],Tabla54[[#This Row],[Intervalo]],Regiones[Skill],'BUPA Seguros'!$L$3)</f>
        <v>0</v>
      </c>
      <c r="E360" s="19">
        <f>+SUMIFS(Regiones[Contestadas],Regiones[Fecha],Tabla54[[#This Row],[Fecha]],Regiones[Intervalo],Tabla54[[#This Row],[Intervalo]],Regiones[Skill],'BUPA Seguros'!$L$3)</f>
        <v>0</v>
      </c>
      <c r="F360" s="20">
        <v>34.792303125933834</v>
      </c>
      <c r="G360" s="19">
        <f>IFERROR(SUMIFS(Regiones[TMO],Regiones[Fecha],Tabla54[[#This Row],[Fecha]],Regiones[Intervalo],Tabla54[[#This Row],[Intervalo]],Regiones[Skill],'BUPA Seguros'!$L$3)/Tabla54[[#This Row],[Atendidas]],0)</f>
        <v>0</v>
      </c>
      <c r="H3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0" s="21">
        <f>IFERROR(Tabla54[[#This Row],[Atendidas]]/Tabla54[[#This Row],[Recibidas]],0)</f>
        <v>0</v>
      </c>
    </row>
    <row r="361" spans="2:9" x14ac:dyDescent="0.3">
      <c r="B361" s="25">
        <f t="shared" si="18"/>
        <v>46211</v>
      </c>
      <c r="C361" s="26">
        <v>0.39583333333333298</v>
      </c>
      <c r="D361" s="19">
        <f>+SUMIFS(Regiones[Ofrecidas],Regiones[Fecha],Tabla54[[#This Row],[Fecha]],Regiones[Intervalo],Tabla54[[#This Row],[Intervalo]],Regiones[Skill],'BUPA Seguros'!$L$3)</f>
        <v>0</v>
      </c>
      <c r="E361" s="19">
        <f>+SUMIFS(Regiones[Contestadas],Regiones[Fecha],Tabla54[[#This Row],[Fecha]],Regiones[Intervalo],Tabla54[[#This Row],[Intervalo]],Regiones[Skill],'BUPA Seguros'!$L$3)</f>
        <v>0</v>
      </c>
      <c r="F361" s="20">
        <v>34.546911230228091</v>
      </c>
      <c r="G361" s="19">
        <f>IFERROR(SUMIFS(Regiones[TMO],Regiones[Fecha],Tabla54[[#This Row],[Fecha]],Regiones[Intervalo],Tabla54[[#This Row],[Intervalo]],Regiones[Skill],'BUPA Seguros'!$L$3)/Tabla54[[#This Row],[Atendidas]],0)</f>
        <v>0</v>
      </c>
      <c r="H3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1" s="21">
        <f>IFERROR(Tabla54[[#This Row],[Atendidas]]/Tabla54[[#This Row],[Recibidas]],0)</f>
        <v>0</v>
      </c>
    </row>
    <row r="362" spans="2:9" x14ac:dyDescent="0.3">
      <c r="B362" s="27">
        <f t="shared" si="18"/>
        <v>46211</v>
      </c>
      <c r="C362" s="18">
        <v>0.41666666666666702</v>
      </c>
      <c r="D362" s="19">
        <f>+SUMIFS(Regiones[Ofrecidas],Regiones[Fecha],Tabla54[[#This Row],[Fecha]],Regiones[Intervalo],Tabla54[[#This Row],[Intervalo]],Regiones[Skill],'BUPA Seguros'!$L$3)</f>
        <v>0</v>
      </c>
      <c r="E362" s="19">
        <f>+SUMIFS(Regiones[Contestadas],Regiones[Fecha],Tabla54[[#This Row],[Fecha]],Regiones[Intervalo],Tabla54[[#This Row],[Intervalo]],Regiones[Skill],'BUPA Seguros'!$L$3)</f>
        <v>0</v>
      </c>
      <c r="F362" s="20">
        <v>34.749626274506753</v>
      </c>
      <c r="G362" s="19">
        <f>IFERROR(SUMIFS(Regiones[TMO],Regiones[Fecha],Tabla54[[#This Row],[Fecha]],Regiones[Intervalo],Tabla54[[#This Row],[Intervalo]],Regiones[Skill],'BUPA Seguros'!$L$3)/Tabla54[[#This Row],[Atendidas]],0)</f>
        <v>0</v>
      </c>
      <c r="H3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2" s="21">
        <f>IFERROR(Tabla54[[#This Row],[Atendidas]]/Tabla54[[#This Row],[Recibidas]],0)</f>
        <v>0</v>
      </c>
    </row>
    <row r="363" spans="2:9" x14ac:dyDescent="0.3">
      <c r="B363" s="25">
        <f t="shared" si="18"/>
        <v>46211</v>
      </c>
      <c r="C363" s="26">
        <v>0.4375</v>
      </c>
      <c r="D363" s="19">
        <f>+SUMIFS(Regiones[Ofrecidas],Regiones[Fecha],Tabla54[[#This Row],[Fecha]],Regiones[Intervalo],Tabla54[[#This Row],[Intervalo]],Regiones[Skill],'BUPA Seguros'!$L$3)</f>
        <v>0</v>
      </c>
      <c r="E363" s="19">
        <f>+SUMIFS(Regiones[Contestadas],Regiones[Fecha],Tabla54[[#This Row],[Fecha]],Regiones[Intervalo],Tabla54[[#This Row],[Intervalo]],Regiones[Skill],'BUPA Seguros'!$L$3)</f>
        <v>0</v>
      </c>
      <c r="F363" s="20">
        <v>36.510046395874149</v>
      </c>
      <c r="G363" s="19">
        <f>IFERROR(SUMIFS(Regiones[TMO],Regiones[Fecha],Tabla54[[#This Row],[Fecha]],Regiones[Intervalo],Tabla54[[#This Row],[Intervalo]],Regiones[Skill],'BUPA Seguros'!$L$3)/Tabla54[[#This Row],[Atendidas]],0)</f>
        <v>0</v>
      </c>
      <c r="H3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3" s="21">
        <f>IFERROR(Tabla54[[#This Row],[Atendidas]]/Tabla54[[#This Row],[Recibidas]],0)</f>
        <v>0</v>
      </c>
    </row>
    <row r="364" spans="2:9" x14ac:dyDescent="0.3">
      <c r="B364" s="27">
        <f t="shared" si="18"/>
        <v>46211</v>
      </c>
      <c r="C364" s="18">
        <v>0.45833333333333298</v>
      </c>
      <c r="D364" s="19">
        <f>+SUMIFS(Regiones[Ofrecidas],Regiones[Fecha],Tabla54[[#This Row],[Fecha]],Regiones[Intervalo],Tabla54[[#This Row],[Intervalo]],Regiones[Skill],'BUPA Seguros'!$L$3)</f>
        <v>0</v>
      </c>
      <c r="E364" s="19">
        <f>+SUMIFS(Regiones[Contestadas],Regiones[Fecha],Tabla54[[#This Row],[Fecha]],Regiones[Intervalo],Tabla54[[#This Row],[Intervalo]],Regiones[Skill],'BUPA Seguros'!$L$3)</f>
        <v>0</v>
      </c>
      <c r="F364" s="20">
        <v>37.34224499870237</v>
      </c>
      <c r="G364" s="19">
        <f>IFERROR(SUMIFS(Regiones[TMO],Regiones[Fecha],Tabla54[[#This Row],[Fecha]],Regiones[Intervalo],Tabla54[[#This Row],[Intervalo]],Regiones[Skill],'BUPA Seguros'!$L$3)/Tabla54[[#This Row],[Atendidas]],0)</f>
        <v>0</v>
      </c>
      <c r="H3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4" s="21">
        <f>IFERROR(Tabla54[[#This Row],[Atendidas]]/Tabla54[[#This Row],[Recibidas]],0)</f>
        <v>0</v>
      </c>
    </row>
    <row r="365" spans="2:9" x14ac:dyDescent="0.3">
      <c r="B365" s="25">
        <f t="shared" si="18"/>
        <v>46211</v>
      </c>
      <c r="C365" s="26">
        <v>0.47916666666666702</v>
      </c>
      <c r="D365" s="19">
        <f>+SUMIFS(Regiones[Ofrecidas],Regiones[Fecha],Tabla54[[#This Row],[Fecha]],Regiones[Intervalo],Tabla54[[#This Row],[Intervalo]],Regiones[Skill],'BUPA Seguros'!$L$3)</f>
        <v>0</v>
      </c>
      <c r="E365" s="19">
        <f>+SUMIFS(Regiones[Contestadas],Regiones[Fecha],Tabla54[[#This Row],[Fecha]],Regiones[Intervalo],Tabla54[[#This Row],[Intervalo]],Regiones[Skill],'BUPA Seguros'!$L$3)</f>
        <v>0</v>
      </c>
      <c r="F365" s="20">
        <v>38.025074621535786</v>
      </c>
      <c r="G365" s="19">
        <f>IFERROR(SUMIFS(Regiones[TMO],Regiones[Fecha],Tabla54[[#This Row],[Fecha]],Regiones[Intervalo],Tabla54[[#This Row],[Intervalo]],Regiones[Skill],'BUPA Seguros'!$L$3)/Tabla54[[#This Row],[Atendidas]],0)</f>
        <v>0</v>
      </c>
      <c r="H3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5" s="21">
        <f>IFERROR(Tabla54[[#This Row],[Atendidas]]/Tabla54[[#This Row],[Recibidas]],0)</f>
        <v>0</v>
      </c>
    </row>
    <row r="366" spans="2:9" x14ac:dyDescent="0.3">
      <c r="B366" s="27">
        <f t="shared" si="18"/>
        <v>46211</v>
      </c>
      <c r="C366" s="18">
        <v>0.5</v>
      </c>
      <c r="D366" s="19">
        <f>+SUMIFS(Regiones[Ofrecidas],Regiones[Fecha],Tabla54[[#This Row],[Fecha]],Regiones[Intervalo],Tabla54[[#This Row],[Intervalo]],Regiones[Skill],'BUPA Seguros'!$L$3)</f>
        <v>0</v>
      </c>
      <c r="E366" s="19">
        <f>+SUMIFS(Regiones[Contestadas],Regiones[Fecha],Tabla54[[#This Row],[Fecha]],Regiones[Intervalo],Tabla54[[#This Row],[Intervalo]],Regiones[Skill],'BUPA Seguros'!$L$3)</f>
        <v>0</v>
      </c>
      <c r="F366" s="20">
        <v>37.15731197585167</v>
      </c>
      <c r="G366" s="19">
        <f>IFERROR(SUMIFS(Regiones[TMO],Regiones[Fecha],Tabla54[[#This Row],[Fecha]],Regiones[Intervalo],Tabla54[[#This Row],[Intervalo]],Regiones[Skill],'BUPA Seguros'!$L$3)/Tabla54[[#This Row],[Atendidas]],0)</f>
        <v>0</v>
      </c>
      <c r="H3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6" s="21">
        <f>IFERROR(Tabla54[[#This Row],[Atendidas]]/Tabla54[[#This Row],[Recibidas]],0)</f>
        <v>0</v>
      </c>
    </row>
    <row r="367" spans="2:9" x14ac:dyDescent="0.3">
      <c r="B367" s="25">
        <f t="shared" si="18"/>
        <v>46211</v>
      </c>
      <c r="C367" s="26">
        <v>0.52083333333333304</v>
      </c>
      <c r="D367" s="19">
        <f>+SUMIFS(Regiones[Ofrecidas],Regiones[Fecha],Tabla54[[#This Row],[Fecha]],Regiones[Intervalo],Tabla54[[#This Row],[Intervalo]],Regiones[Skill],'BUPA Seguros'!$L$3)</f>
        <v>0</v>
      </c>
      <c r="E367" s="19">
        <f>+SUMIFS(Regiones[Contestadas],Regiones[Fecha],Tabla54[[#This Row],[Fecha]],Regiones[Intervalo],Tabla54[[#This Row],[Intervalo]],Regiones[Skill],'BUPA Seguros'!$L$3)</f>
        <v>0</v>
      </c>
      <c r="F367" s="20">
        <v>35.74897587875774</v>
      </c>
      <c r="G367" s="19">
        <f>IFERROR(SUMIFS(Regiones[TMO],Regiones[Fecha],Tabla54[[#This Row],[Fecha]],Regiones[Intervalo],Tabla54[[#This Row],[Intervalo]],Regiones[Skill],'BUPA Seguros'!$L$3)/Tabla54[[#This Row],[Atendidas]],0)</f>
        <v>0</v>
      </c>
      <c r="H3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7" s="21">
        <f>IFERROR(Tabla54[[#This Row],[Atendidas]]/Tabla54[[#This Row],[Recibidas]],0)</f>
        <v>0</v>
      </c>
    </row>
    <row r="368" spans="2:9" x14ac:dyDescent="0.3">
      <c r="B368" s="27">
        <f t="shared" si="18"/>
        <v>46211</v>
      </c>
      <c r="C368" s="18">
        <v>0.54166666666666696</v>
      </c>
      <c r="D368" s="19">
        <f>+SUMIFS(Regiones[Ofrecidas],Regiones[Fecha],Tabla54[[#This Row],[Fecha]],Regiones[Intervalo],Tabla54[[#This Row],[Intervalo]],Regiones[Skill],'BUPA Seguros'!$L$3)</f>
        <v>0</v>
      </c>
      <c r="E368" s="19">
        <f>+SUMIFS(Regiones[Contestadas],Regiones[Fecha],Tabla54[[#This Row],[Fecha]],Regiones[Intervalo],Tabla54[[#This Row],[Intervalo]],Regiones[Skill],'BUPA Seguros'!$L$3)</f>
        <v>0</v>
      </c>
      <c r="F368" s="20">
        <v>33.586682073118588</v>
      </c>
      <c r="G368" s="19">
        <f>IFERROR(SUMIFS(Regiones[TMO],Regiones[Fecha],Tabla54[[#This Row],[Fecha]],Regiones[Intervalo],Tabla54[[#This Row],[Intervalo]],Regiones[Skill],'BUPA Seguros'!$L$3)/Tabla54[[#This Row],[Atendidas]],0)</f>
        <v>0</v>
      </c>
      <c r="H3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8" s="21">
        <f>IFERROR(Tabla54[[#This Row],[Atendidas]]/Tabla54[[#This Row],[Recibidas]],0)</f>
        <v>0</v>
      </c>
    </row>
    <row r="369" spans="2:9" x14ac:dyDescent="0.3">
      <c r="B369" s="25">
        <f t="shared" si="18"/>
        <v>46211</v>
      </c>
      <c r="C369" s="26">
        <v>0.5625</v>
      </c>
      <c r="D369" s="19">
        <f>+SUMIFS(Regiones[Ofrecidas],Regiones[Fecha],Tabla54[[#This Row],[Fecha]],Regiones[Intervalo],Tabla54[[#This Row],[Intervalo]],Regiones[Skill],'BUPA Seguros'!$L$3)</f>
        <v>0</v>
      </c>
      <c r="E369" s="19">
        <f>+SUMIFS(Regiones[Contestadas],Regiones[Fecha],Tabla54[[#This Row],[Fecha]],Regiones[Intervalo],Tabla54[[#This Row],[Intervalo]],Regiones[Skill],'BUPA Seguros'!$L$3)</f>
        <v>0</v>
      </c>
      <c r="F369" s="20">
        <v>31.993412953173955</v>
      </c>
      <c r="G369" s="19">
        <f>IFERROR(SUMIFS(Regiones[TMO],Regiones[Fecha],Tabla54[[#This Row],[Fecha]],Regiones[Intervalo],Tabla54[[#This Row],[Intervalo]],Regiones[Skill],'BUPA Seguros'!$L$3)/Tabla54[[#This Row],[Atendidas]],0)</f>
        <v>0</v>
      </c>
      <c r="H3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69" s="21">
        <f>IFERROR(Tabla54[[#This Row],[Atendidas]]/Tabla54[[#This Row],[Recibidas]],0)</f>
        <v>0</v>
      </c>
    </row>
    <row r="370" spans="2:9" x14ac:dyDescent="0.3">
      <c r="B370" s="27">
        <f t="shared" si="18"/>
        <v>46211</v>
      </c>
      <c r="C370" s="18">
        <v>0.58333333333333304</v>
      </c>
      <c r="D370" s="19">
        <f>+SUMIFS(Regiones[Ofrecidas],Regiones[Fecha],Tabla54[[#This Row],[Fecha]],Regiones[Intervalo],Tabla54[[#This Row],[Intervalo]],Regiones[Skill],'BUPA Seguros'!$L$3)</f>
        <v>0</v>
      </c>
      <c r="E370" s="19">
        <f>+SUMIFS(Regiones[Contestadas],Regiones[Fecha],Tabla54[[#This Row],[Fecha]],Regiones[Intervalo],Tabla54[[#This Row],[Intervalo]],Regiones[Skill],'BUPA Seguros'!$L$3)</f>
        <v>0</v>
      </c>
      <c r="F370" s="20">
        <v>30.585076856080033</v>
      </c>
      <c r="G370" s="19">
        <f>IFERROR(SUMIFS(Regiones[TMO],Regiones[Fecha],Tabla54[[#This Row],[Fecha]],Regiones[Intervalo],Tabla54[[#This Row],[Intervalo]],Regiones[Skill],'BUPA Seguros'!$L$3)/Tabla54[[#This Row],[Atendidas]],0)</f>
        <v>0</v>
      </c>
      <c r="H3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0" s="21">
        <f>IFERROR(Tabla54[[#This Row],[Atendidas]]/Tabla54[[#This Row],[Recibidas]],0)</f>
        <v>0</v>
      </c>
    </row>
    <row r="371" spans="2:9" x14ac:dyDescent="0.3">
      <c r="B371" s="25">
        <f t="shared" si="18"/>
        <v>46211</v>
      </c>
      <c r="C371" s="26">
        <v>0.60416666666666696</v>
      </c>
      <c r="D371" s="19">
        <f>+SUMIFS(Regiones[Ofrecidas],Regiones[Fecha],Tabla54[[#This Row],[Fecha]],Regiones[Intervalo],Tabla54[[#This Row],[Intervalo]],Regiones[Skill],'BUPA Seguros'!$L$3)</f>
        <v>0</v>
      </c>
      <c r="E371" s="19">
        <f>+SUMIFS(Regiones[Contestadas],Regiones[Fecha],Tabla54[[#This Row],[Fecha]],Regiones[Intervalo],Tabla54[[#This Row],[Intervalo]],Regiones[Skill],'BUPA Seguros'!$L$3)</f>
        <v>0</v>
      </c>
      <c r="F371" s="20">
        <v>29.717314210395902</v>
      </c>
      <c r="G371" s="19">
        <f>IFERROR(SUMIFS(Regiones[TMO],Regiones[Fecha],Tabla54[[#This Row],[Fecha]],Regiones[Intervalo],Tabla54[[#This Row],[Intervalo]],Regiones[Skill],'BUPA Seguros'!$L$3)/Tabla54[[#This Row],[Atendidas]],0)</f>
        <v>0</v>
      </c>
      <c r="H3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1" s="21">
        <f>IFERROR(Tabla54[[#This Row],[Atendidas]]/Tabla54[[#This Row],[Recibidas]],0)</f>
        <v>0</v>
      </c>
    </row>
    <row r="372" spans="2:9" x14ac:dyDescent="0.3">
      <c r="B372" s="27">
        <f t="shared" si="18"/>
        <v>46211</v>
      </c>
      <c r="C372" s="18">
        <v>0.625</v>
      </c>
      <c r="D372" s="19">
        <f>+SUMIFS(Regiones[Ofrecidas],Regiones[Fecha],Tabla54[[#This Row],[Fecha]],Regiones[Intervalo],Tabla54[[#This Row],[Intervalo]],Regiones[Skill],'BUPA Seguros'!$L$3)</f>
        <v>0</v>
      </c>
      <c r="E372" s="19">
        <f>+SUMIFS(Regiones[Contestadas],Regiones[Fecha],Tabla54[[#This Row],[Fecha]],Regiones[Intervalo],Tabla54[[#This Row],[Intervalo]],Regiones[Skill],'BUPA Seguros'!$L$3)</f>
        <v>0</v>
      </c>
      <c r="F372" s="20">
        <v>28.69306977614578</v>
      </c>
      <c r="G372" s="19">
        <f>IFERROR(SUMIFS(Regiones[TMO],Regiones[Fecha],Tabla54[[#This Row],[Fecha]],Regiones[Intervalo],Tabla54[[#This Row],[Intervalo]],Regiones[Skill],'BUPA Seguros'!$L$3)/Tabla54[[#This Row],[Atendidas]],0)</f>
        <v>0</v>
      </c>
      <c r="H3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2" s="21">
        <f>IFERROR(Tabla54[[#This Row],[Atendidas]]/Tabla54[[#This Row],[Recibidas]],0)</f>
        <v>0</v>
      </c>
    </row>
    <row r="373" spans="2:9" x14ac:dyDescent="0.3">
      <c r="B373" s="25">
        <f t="shared" si="18"/>
        <v>46211</v>
      </c>
      <c r="C373" s="26">
        <v>0.64583333333333304</v>
      </c>
      <c r="D373" s="19">
        <f>+SUMIFS(Regiones[Ofrecidas],Regiones[Fecha],Tabla54[[#This Row],[Fecha]],Regiones[Intervalo],Tabla54[[#This Row],[Intervalo]],Regiones[Skill],'BUPA Seguros'!$L$3)</f>
        <v>0</v>
      </c>
      <c r="E373" s="19">
        <f>+SUMIFS(Regiones[Contestadas],Regiones[Fecha],Tabla54[[#This Row],[Fecha]],Regiones[Intervalo],Tabla54[[#This Row],[Intervalo]],Regiones[Skill],'BUPA Seguros'!$L$3)</f>
        <v>0</v>
      </c>
      <c r="F373" s="20">
        <v>27.58347163904148</v>
      </c>
      <c r="G373" s="19">
        <f>IFERROR(SUMIFS(Regiones[TMO],Regiones[Fecha],Tabla54[[#This Row],[Fecha]],Regiones[Intervalo],Tabla54[[#This Row],[Intervalo]],Regiones[Skill],'BUPA Seguros'!$L$3)/Tabla54[[#This Row],[Atendidas]],0)</f>
        <v>0</v>
      </c>
      <c r="H3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3" s="21">
        <f>IFERROR(Tabla54[[#This Row],[Atendidas]]/Tabla54[[#This Row],[Recibidas]],0)</f>
        <v>0</v>
      </c>
    </row>
    <row r="374" spans="2:9" x14ac:dyDescent="0.3">
      <c r="B374" s="27">
        <f t="shared" si="18"/>
        <v>46211</v>
      </c>
      <c r="C374" s="18">
        <v>0.66666666666666696</v>
      </c>
      <c r="D374" s="19">
        <f>+SUMIFS(Regiones[Ofrecidas],Regiones[Fecha],Tabla54[[#This Row],[Fecha]],Regiones[Intervalo],Tabla54[[#This Row],[Intervalo]],Regiones[Skill],'BUPA Seguros'!$L$3)</f>
        <v>0</v>
      </c>
      <c r="E374" s="19">
        <f>+SUMIFS(Regiones[Contestadas],Regiones[Fecha],Tabla54[[#This Row],[Fecha]],Regiones[Intervalo],Tabla54[[#This Row],[Intervalo]],Regiones[Skill],'BUPA Seguros'!$L$3)</f>
        <v>0</v>
      </c>
      <c r="F374" s="20">
        <v>26.111120264806935</v>
      </c>
      <c r="G374" s="19">
        <f>IFERROR(SUMIFS(Regiones[TMO],Regiones[Fecha],Tabla54[[#This Row],[Fecha]],Regiones[Intervalo],Tabla54[[#This Row],[Intervalo]],Regiones[Skill],'BUPA Seguros'!$L$3)/Tabla54[[#This Row],[Atendidas]],0)</f>
        <v>0</v>
      </c>
      <c r="H3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4" s="21">
        <f>IFERROR(Tabla54[[#This Row],[Atendidas]]/Tabla54[[#This Row],[Recibidas]],0)</f>
        <v>0</v>
      </c>
    </row>
    <row r="375" spans="2:9" x14ac:dyDescent="0.3">
      <c r="B375" s="25">
        <f t="shared" si="18"/>
        <v>46211</v>
      </c>
      <c r="C375" s="26">
        <v>0.6875</v>
      </c>
      <c r="D375" s="19">
        <f>+SUMIFS(Regiones[Ofrecidas],Regiones[Fecha],Tabla54[[#This Row],[Fecha]],Regiones[Intervalo],Tabla54[[#This Row],[Intervalo]],Regiones[Skill],'BUPA Seguros'!$L$3)</f>
        <v>0</v>
      </c>
      <c r="E375" s="19">
        <f>+SUMIFS(Regiones[Contestadas],Regiones[Fecha],Tabla54[[#This Row],[Fecha]],Regiones[Intervalo],Tabla54[[#This Row],[Intervalo]],Regiones[Skill],'BUPA Seguros'!$L$3)</f>
        <v>0</v>
      </c>
      <c r="F375" s="20">
        <v>24.944619659133181</v>
      </c>
      <c r="G375" s="19">
        <f>IFERROR(SUMIFS(Regiones[TMO],Regiones[Fecha],Tabla54[[#This Row],[Fecha]],Regiones[Intervalo],Tabla54[[#This Row],[Intervalo]],Regiones[Skill],'BUPA Seguros'!$L$3)/Tabla54[[#This Row],[Atendidas]],0)</f>
        <v>0</v>
      </c>
      <c r="H3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5" s="21">
        <f>IFERROR(Tabla54[[#This Row],[Atendidas]]/Tabla54[[#This Row],[Recibidas]],0)</f>
        <v>0</v>
      </c>
    </row>
    <row r="376" spans="2:9" x14ac:dyDescent="0.3">
      <c r="B376" s="27">
        <f t="shared" si="18"/>
        <v>46211</v>
      </c>
      <c r="C376" s="18">
        <v>0.70833333333333304</v>
      </c>
      <c r="D376" s="19">
        <f>+SUMIFS(Regiones[Ofrecidas],Regiones[Fecha],Tabla54[[#This Row],[Fecha]],Regiones[Intervalo],Tabla54[[#This Row],[Intervalo]],Regiones[Skill],'BUPA Seguros'!$L$3)</f>
        <v>0</v>
      </c>
      <c r="E376" s="19">
        <f>+SUMIFS(Regiones[Contestadas],Regiones[Fecha],Tabla54[[#This Row],[Fecha]],Regiones[Intervalo],Tabla54[[#This Row],[Intervalo]],Regiones[Skill],'BUPA Seguros'!$L$3)</f>
        <v>0</v>
      </c>
      <c r="F376" s="20">
        <v>23.386914582044454</v>
      </c>
      <c r="G376" s="19">
        <f>IFERROR(SUMIFS(Regiones[TMO],Regiones[Fecha],Tabla54[[#This Row],[Fecha]],Regiones[Intervalo],Tabla54[[#This Row],[Intervalo]],Regiones[Skill],'BUPA Seguros'!$L$3)/Tabla54[[#This Row],[Atendidas]],0)</f>
        <v>0</v>
      </c>
      <c r="H3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6" s="21">
        <f>IFERROR(Tabla54[[#This Row],[Atendidas]]/Tabla54[[#This Row],[Recibidas]],0)</f>
        <v>0</v>
      </c>
    </row>
    <row r="377" spans="2:9" x14ac:dyDescent="0.3">
      <c r="B377" s="25">
        <f t="shared" si="18"/>
        <v>46211</v>
      </c>
      <c r="C377" s="26">
        <v>0.72916666666666696</v>
      </c>
      <c r="D377" s="19">
        <f>+SUMIFS(Regiones[Ofrecidas],Regiones[Fecha],Tabla54[[#This Row],[Fecha]],Regiones[Intervalo],Tabla54[[#This Row],[Intervalo]],Regiones[Skill],'BUPA Seguros'!$L$3)</f>
        <v>0</v>
      </c>
      <c r="E377" s="19">
        <f>+SUMIFS(Regiones[Contestadas],Regiones[Fecha],Tabla54[[#This Row],[Fecha]],Regiones[Intervalo],Tabla54[[#This Row],[Intervalo]],Regiones[Skill],'BUPA Seguros'!$L$3)</f>
        <v>0</v>
      </c>
      <c r="F377" s="20">
        <v>23.333568517760593</v>
      </c>
      <c r="G377" s="19">
        <f>IFERROR(SUMIFS(Regiones[TMO],Regiones[Fecha],Tabla54[[#This Row],[Fecha]],Regiones[Intervalo],Tabla54[[#This Row],[Intervalo]],Regiones[Skill],'BUPA Seguros'!$L$3)/Tabla54[[#This Row],[Atendidas]],0)</f>
        <v>0</v>
      </c>
      <c r="H3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7" s="21">
        <f>IFERROR(Tabla54[[#This Row],[Atendidas]]/Tabla54[[#This Row],[Recibidas]],0)</f>
        <v>0</v>
      </c>
    </row>
    <row r="378" spans="2:9" x14ac:dyDescent="0.3">
      <c r="B378" s="27">
        <f t="shared" si="18"/>
        <v>46211</v>
      </c>
      <c r="C378" s="18">
        <v>0.75</v>
      </c>
      <c r="D378" s="19">
        <f>+SUMIFS(Regiones[Ofrecidas],Regiones[Fecha],Tabla54[[#This Row],[Fecha]],Regiones[Intervalo],Tabla54[[#This Row],[Intervalo]],Regiones[Skill],'BUPA Seguros'!$L$3)</f>
        <v>0</v>
      </c>
      <c r="E378" s="19">
        <f>+SUMIFS(Regiones[Contestadas],Regiones[Fecha],Tabla54[[#This Row],[Fecha]],Regiones[Intervalo],Tabla54[[#This Row],[Intervalo]],Regiones[Skill],'BUPA Seguros'!$L$3)</f>
        <v>0</v>
      </c>
      <c r="F378" s="20">
        <v>0</v>
      </c>
      <c r="G378" s="19">
        <f>IFERROR(SUMIFS(Regiones[TMO],Regiones[Fecha],Tabla54[[#This Row],[Fecha]],Regiones[Intervalo],Tabla54[[#This Row],[Intervalo]],Regiones[Skill],'BUPA Seguros'!$L$3)/Tabla54[[#This Row],[Atendidas]],0)</f>
        <v>0</v>
      </c>
      <c r="H3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8" s="21">
        <f>IFERROR(Tabla54[[#This Row],[Atendidas]]/Tabla54[[#This Row],[Recibidas]],0)</f>
        <v>0</v>
      </c>
    </row>
    <row r="379" spans="2:9" x14ac:dyDescent="0.3">
      <c r="B379" s="25">
        <f t="shared" si="18"/>
        <v>46211</v>
      </c>
      <c r="C379" s="26">
        <v>0.77083333333333304</v>
      </c>
      <c r="D379" s="19">
        <f>+SUMIFS(Regiones[Ofrecidas],Regiones[Fecha],Tabla54[[#This Row],[Fecha]],Regiones[Intervalo],Tabla54[[#This Row],[Intervalo]],Regiones[Skill],'BUPA Seguros'!$L$3)</f>
        <v>0</v>
      </c>
      <c r="E379" s="19">
        <f>+SUMIFS(Regiones[Contestadas],Regiones[Fecha],Tabla54[[#This Row],[Fecha]],Regiones[Intervalo],Tabla54[[#This Row],[Intervalo]],Regiones[Skill],'BUPA Seguros'!$L$3)</f>
        <v>0</v>
      </c>
      <c r="F379" s="20">
        <v>0</v>
      </c>
      <c r="G379" s="19">
        <f>IFERROR(SUMIFS(Regiones[TMO],Regiones[Fecha],Tabla54[[#This Row],[Fecha]],Regiones[Intervalo],Tabla54[[#This Row],[Intervalo]],Regiones[Skill],'BUPA Seguros'!$L$3)/Tabla54[[#This Row],[Atendidas]],0)</f>
        <v>0</v>
      </c>
      <c r="H3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79" s="21">
        <f>IFERROR(Tabla54[[#This Row],[Atendidas]]/Tabla54[[#This Row],[Recibidas]],0)</f>
        <v>0</v>
      </c>
    </row>
    <row r="380" spans="2:9" x14ac:dyDescent="0.3">
      <c r="B380" s="27">
        <f t="shared" si="18"/>
        <v>46211</v>
      </c>
      <c r="C380" s="18">
        <v>0.79166666666666696</v>
      </c>
      <c r="D380" s="19">
        <f>+SUMIFS(Regiones[Ofrecidas],Regiones[Fecha],Tabla54[[#This Row],[Fecha]],Regiones[Intervalo],Tabla54[[#This Row],[Intervalo]],Regiones[Skill],'BUPA Seguros'!$L$3)</f>
        <v>0</v>
      </c>
      <c r="E380" s="19">
        <f>+SUMIFS(Regiones[Contestadas],Regiones[Fecha],Tabla54[[#This Row],[Fecha]],Regiones[Intervalo],Tabla54[[#This Row],[Intervalo]],Regiones[Skill],'BUPA Seguros'!$L$3)</f>
        <v>0</v>
      </c>
      <c r="F380" s="20">
        <v>0</v>
      </c>
      <c r="G380" s="19">
        <f>IFERROR(SUMIFS(Regiones[TMO],Regiones[Fecha],Tabla54[[#This Row],[Fecha]],Regiones[Intervalo],Tabla54[[#This Row],[Intervalo]],Regiones[Skill],'BUPA Seguros'!$L$3)/Tabla54[[#This Row],[Atendidas]],0)</f>
        <v>0</v>
      </c>
      <c r="H3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0" s="21">
        <f>IFERROR(Tabla54[[#This Row],[Atendidas]]/Tabla54[[#This Row],[Recibidas]],0)</f>
        <v>0</v>
      </c>
    </row>
    <row r="381" spans="2:9" x14ac:dyDescent="0.3">
      <c r="B381" s="25">
        <f t="shared" si="18"/>
        <v>46211</v>
      </c>
      <c r="C381" s="26">
        <v>0.8125</v>
      </c>
      <c r="D381" s="19">
        <f>+SUMIFS(Regiones[Ofrecidas],Regiones[Fecha],Tabla54[[#This Row],[Fecha]],Regiones[Intervalo],Tabla54[[#This Row],[Intervalo]],Regiones[Skill],'BUPA Seguros'!$L$3)</f>
        <v>0</v>
      </c>
      <c r="E381" s="19">
        <f>+SUMIFS(Regiones[Contestadas],Regiones[Fecha],Tabla54[[#This Row],[Fecha]],Regiones[Intervalo],Tabla54[[#This Row],[Intervalo]],Regiones[Skill],'BUPA Seguros'!$L$3)</f>
        <v>0</v>
      </c>
      <c r="F381" s="20">
        <v>0</v>
      </c>
      <c r="G381" s="19">
        <f>IFERROR(SUMIFS(Regiones[TMO],Regiones[Fecha],Tabla54[[#This Row],[Fecha]],Regiones[Intervalo],Tabla54[[#This Row],[Intervalo]],Regiones[Skill],'BUPA Seguros'!$L$3)/Tabla54[[#This Row],[Atendidas]],0)</f>
        <v>0</v>
      </c>
      <c r="H3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1" s="21">
        <f>IFERROR(Tabla54[[#This Row],[Atendidas]]/Tabla54[[#This Row],[Recibidas]],0)</f>
        <v>0</v>
      </c>
    </row>
    <row r="382" spans="2:9" x14ac:dyDescent="0.3">
      <c r="B382" s="27">
        <f t="shared" si="18"/>
        <v>46211</v>
      </c>
      <c r="C382" s="18">
        <v>0.83333333333333304</v>
      </c>
      <c r="D382" s="19">
        <f>+SUMIFS(Regiones[Ofrecidas],Regiones[Fecha],Tabla54[[#This Row],[Fecha]],Regiones[Intervalo],Tabla54[[#This Row],[Intervalo]],Regiones[Skill],'BUPA Seguros'!$L$3)</f>
        <v>0</v>
      </c>
      <c r="E382" s="19">
        <f>+SUMIFS(Regiones[Contestadas],Regiones[Fecha],Tabla54[[#This Row],[Fecha]],Regiones[Intervalo],Tabla54[[#This Row],[Intervalo]],Regiones[Skill],'BUPA Seguros'!$L$3)</f>
        <v>0</v>
      </c>
      <c r="F382" s="20">
        <v>0</v>
      </c>
      <c r="G382" s="19">
        <f>IFERROR(SUMIFS(Regiones[TMO],Regiones[Fecha],Tabla54[[#This Row],[Fecha]],Regiones[Intervalo],Tabla54[[#This Row],[Intervalo]],Regiones[Skill],'BUPA Seguros'!$L$3)/Tabla54[[#This Row],[Atendidas]],0)</f>
        <v>0</v>
      </c>
      <c r="H3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2" s="21">
        <f>IFERROR(Tabla54[[#This Row],[Atendidas]]/Tabla54[[#This Row],[Recibidas]],0)</f>
        <v>0</v>
      </c>
    </row>
    <row r="383" spans="2:9" x14ac:dyDescent="0.3">
      <c r="B383" s="25">
        <f t="shared" si="18"/>
        <v>46211</v>
      </c>
      <c r="C383" s="26">
        <v>0.85416666666666696</v>
      </c>
      <c r="D383" s="19">
        <f>+SUMIFS(Regiones[Ofrecidas],Regiones[Fecha],Tabla54[[#This Row],[Fecha]],Regiones[Intervalo],Tabla54[[#This Row],[Intervalo]],Regiones[Skill],'BUPA Seguros'!$L$3)</f>
        <v>0</v>
      </c>
      <c r="E383" s="19">
        <f>+SUMIFS(Regiones[Contestadas],Regiones[Fecha],Tabla54[[#This Row],[Fecha]],Regiones[Intervalo],Tabla54[[#This Row],[Intervalo]],Regiones[Skill],'BUPA Seguros'!$L$3)</f>
        <v>0</v>
      </c>
      <c r="F383" s="20">
        <v>0</v>
      </c>
      <c r="G383" s="19">
        <f>IFERROR(SUMIFS(Regiones[TMO],Regiones[Fecha],Tabla54[[#This Row],[Fecha]],Regiones[Intervalo],Tabla54[[#This Row],[Intervalo]],Regiones[Skill],'BUPA Seguros'!$L$3)/Tabla54[[#This Row],[Atendidas]],0)</f>
        <v>0</v>
      </c>
      <c r="H3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3" s="21">
        <f>IFERROR(Tabla54[[#This Row],[Atendidas]]/Tabla54[[#This Row],[Recibidas]],0)</f>
        <v>0</v>
      </c>
    </row>
    <row r="384" spans="2:9" x14ac:dyDescent="0.3">
      <c r="B384" s="27">
        <f t="shared" si="18"/>
        <v>46211</v>
      </c>
      <c r="C384" s="18">
        <v>0.875</v>
      </c>
      <c r="D384" s="19">
        <f>+SUMIFS(Regiones[Ofrecidas],Regiones[Fecha],Tabla54[[#This Row],[Fecha]],Regiones[Intervalo],Tabla54[[#This Row],[Intervalo]],Regiones[Skill],'BUPA Seguros'!$L$3)</f>
        <v>0</v>
      </c>
      <c r="E384" s="19">
        <f>+SUMIFS(Regiones[Contestadas],Regiones[Fecha],Tabla54[[#This Row],[Fecha]],Regiones[Intervalo],Tabla54[[#This Row],[Intervalo]],Regiones[Skill],'BUPA Seguros'!$L$3)</f>
        <v>0</v>
      </c>
      <c r="F384" s="20">
        <v>0</v>
      </c>
      <c r="G384" s="19">
        <f>IFERROR(SUMIFS(Regiones[TMO],Regiones[Fecha],Tabla54[[#This Row],[Fecha]],Regiones[Intervalo],Tabla54[[#This Row],[Intervalo]],Regiones[Skill],'BUPA Seguros'!$L$3)/Tabla54[[#This Row],[Atendidas]],0)</f>
        <v>0</v>
      </c>
      <c r="H3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4" s="21">
        <f>IFERROR(Tabla54[[#This Row],[Atendidas]]/Tabla54[[#This Row],[Recibidas]],0)</f>
        <v>0</v>
      </c>
    </row>
    <row r="385" spans="2:9" x14ac:dyDescent="0.3">
      <c r="B385" s="25">
        <f t="shared" si="18"/>
        <v>46211</v>
      </c>
      <c r="C385" s="26">
        <v>0.89583333333333304</v>
      </c>
      <c r="D385" s="19">
        <f>+SUMIFS(Regiones[Ofrecidas],Regiones[Fecha],Tabla54[[#This Row],[Fecha]],Regiones[Intervalo],Tabla54[[#This Row],[Intervalo]],Regiones[Skill],'BUPA Seguros'!$L$3)</f>
        <v>0</v>
      </c>
      <c r="E385" s="19">
        <f>+SUMIFS(Regiones[Contestadas],Regiones[Fecha],Tabla54[[#This Row],[Fecha]],Regiones[Intervalo],Tabla54[[#This Row],[Intervalo]],Regiones[Skill],'BUPA Seguros'!$L$3)</f>
        <v>0</v>
      </c>
      <c r="F385" s="20">
        <v>0</v>
      </c>
      <c r="G385" s="19">
        <f>IFERROR(SUMIFS(Regiones[TMO],Regiones[Fecha],Tabla54[[#This Row],[Fecha]],Regiones[Intervalo],Tabla54[[#This Row],[Intervalo]],Regiones[Skill],'BUPA Seguros'!$L$3)/Tabla54[[#This Row],[Atendidas]],0)</f>
        <v>0</v>
      </c>
      <c r="H3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5" s="21">
        <f>IFERROR(Tabla54[[#This Row],[Atendidas]]/Tabla54[[#This Row],[Recibidas]],0)</f>
        <v>0</v>
      </c>
    </row>
    <row r="386" spans="2:9" x14ac:dyDescent="0.3">
      <c r="B386" s="27">
        <f t="shared" si="18"/>
        <v>46211</v>
      </c>
      <c r="C386" s="18">
        <v>0.91666666666666696</v>
      </c>
      <c r="D386" s="19">
        <f>+SUMIFS(Regiones[Ofrecidas],Regiones[Fecha],Tabla54[[#This Row],[Fecha]],Regiones[Intervalo],Tabla54[[#This Row],[Intervalo]],Regiones[Skill],'BUPA Seguros'!$L$3)</f>
        <v>0</v>
      </c>
      <c r="E386" s="19">
        <f>+SUMIFS(Regiones[Contestadas],Regiones[Fecha],Tabla54[[#This Row],[Fecha]],Regiones[Intervalo],Tabla54[[#This Row],[Intervalo]],Regiones[Skill],'BUPA Seguros'!$L$3)</f>
        <v>0</v>
      </c>
      <c r="F386" s="20">
        <v>0</v>
      </c>
      <c r="G386" s="19">
        <f>IFERROR(SUMIFS(Regiones[TMO],Regiones[Fecha],Tabla54[[#This Row],[Fecha]],Regiones[Intervalo],Tabla54[[#This Row],[Intervalo]],Regiones[Skill],'BUPA Seguros'!$L$3)/Tabla54[[#This Row],[Atendidas]],0)</f>
        <v>0</v>
      </c>
      <c r="H3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6" s="21">
        <f>IFERROR(Tabla54[[#This Row],[Atendidas]]/Tabla54[[#This Row],[Recibidas]],0)</f>
        <v>0</v>
      </c>
    </row>
    <row r="387" spans="2:9" x14ac:dyDescent="0.3">
      <c r="B387" s="25">
        <f t="shared" si="18"/>
        <v>46211</v>
      </c>
      <c r="C387" s="26">
        <v>0.9375</v>
      </c>
      <c r="D387" s="19">
        <f>+SUMIFS(Regiones[Ofrecidas],Regiones[Fecha],Tabla54[[#This Row],[Fecha]],Regiones[Intervalo],Tabla54[[#This Row],[Intervalo]],Regiones[Skill],'BUPA Seguros'!$L$3)</f>
        <v>0</v>
      </c>
      <c r="E387" s="19">
        <f>+SUMIFS(Regiones[Contestadas],Regiones[Fecha],Tabla54[[#This Row],[Fecha]],Regiones[Intervalo],Tabla54[[#This Row],[Intervalo]],Regiones[Skill],'BUPA Seguros'!$L$3)</f>
        <v>0</v>
      </c>
      <c r="F387" s="20">
        <v>0</v>
      </c>
      <c r="G387" s="19">
        <f>IFERROR(SUMIFS(Regiones[TMO],Regiones[Fecha],Tabla54[[#This Row],[Fecha]],Regiones[Intervalo],Tabla54[[#This Row],[Intervalo]],Regiones[Skill],'BUPA Seguros'!$L$3)/Tabla54[[#This Row],[Atendidas]],0)</f>
        <v>0</v>
      </c>
      <c r="H3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7" s="21">
        <f>IFERROR(Tabla54[[#This Row],[Atendidas]]/Tabla54[[#This Row],[Recibidas]],0)</f>
        <v>0</v>
      </c>
    </row>
    <row r="388" spans="2:9" x14ac:dyDescent="0.3">
      <c r="B388" s="27">
        <f t="shared" si="18"/>
        <v>46211</v>
      </c>
      <c r="C388" s="18">
        <v>0.95833333333333304</v>
      </c>
      <c r="D388" s="19">
        <f>+SUMIFS(Regiones[Ofrecidas],Regiones[Fecha],Tabla54[[#This Row],[Fecha]],Regiones[Intervalo],Tabla54[[#This Row],[Intervalo]],Regiones[Skill],'BUPA Seguros'!$L$3)</f>
        <v>0</v>
      </c>
      <c r="E388" s="19">
        <f>+SUMIFS(Regiones[Contestadas],Regiones[Fecha],Tabla54[[#This Row],[Fecha]],Regiones[Intervalo],Tabla54[[#This Row],[Intervalo]],Regiones[Skill],'BUPA Seguros'!$L$3)</f>
        <v>0</v>
      </c>
      <c r="F388" s="20">
        <v>0</v>
      </c>
      <c r="G388" s="19">
        <f>IFERROR(SUMIFS(Regiones[TMO],Regiones[Fecha],Tabla54[[#This Row],[Fecha]],Regiones[Intervalo],Tabla54[[#This Row],[Intervalo]],Regiones[Skill],'BUPA Seguros'!$L$3)/Tabla54[[#This Row],[Atendidas]],0)</f>
        <v>0</v>
      </c>
      <c r="H3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8" s="21">
        <f>IFERROR(Tabla54[[#This Row],[Atendidas]]/Tabla54[[#This Row],[Recibidas]],0)</f>
        <v>0</v>
      </c>
    </row>
    <row r="389" spans="2:9" x14ac:dyDescent="0.3">
      <c r="B389" s="25">
        <f t="shared" si="18"/>
        <v>46211</v>
      </c>
      <c r="C389" s="26">
        <v>0.97916666666666696</v>
      </c>
      <c r="D389" s="19">
        <f>+SUMIFS(Regiones[Ofrecidas],Regiones[Fecha],Tabla54[[#This Row],[Fecha]],Regiones[Intervalo],Tabla54[[#This Row],[Intervalo]],Regiones[Skill],'BUPA Seguros'!$L$3)</f>
        <v>0</v>
      </c>
      <c r="E389" s="19">
        <f>+SUMIFS(Regiones[Contestadas],Regiones[Fecha],Tabla54[[#This Row],[Fecha]],Regiones[Intervalo],Tabla54[[#This Row],[Intervalo]],Regiones[Skill],'BUPA Seguros'!$L$3)</f>
        <v>0</v>
      </c>
      <c r="F389" s="20">
        <v>0</v>
      </c>
      <c r="G389" s="19">
        <f>IFERROR(SUMIFS(Regiones[TMO],Regiones[Fecha],Tabla54[[#This Row],[Fecha]],Regiones[Intervalo],Tabla54[[#This Row],[Intervalo]],Regiones[Skill],'BUPA Seguros'!$L$3)/Tabla54[[#This Row],[Atendidas]],0)</f>
        <v>0</v>
      </c>
      <c r="H3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89" s="21">
        <f>IFERROR(Tabla54[[#This Row],[Atendidas]]/Tabla54[[#This Row],[Recibidas]],0)</f>
        <v>0</v>
      </c>
    </row>
    <row r="390" spans="2:9" x14ac:dyDescent="0.3">
      <c r="B390" s="27">
        <f>+B389+1</f>
        <v>46212</v>
      </c>
      <c r="C390" s="18">
        <v>0</v>
      </c>
      <c r="D390" s="19">
        <f>+SUMIFS(Regiones[Ofrecidas],Regiones[Fecha],Tabla54[[#This Row],[Fecha]],Regiones[Intervalo],Tabla54[[#This Row],[Intervalo]],Regiones[Skill],'BUPA Seguros'!$L$3)</f>
        <v>0</v>
      </c>
      <c r="E390" s="19">
        <f>+SUMIFS(Regiones[Contestadas],Regiones[Fecha],Tabla54[[#This Row],[Fecha]],Regiones[Intervalo],Tabla54[[#This Row],[Intervalo]],Regiones[Skill],'BUPA Seguros'!$L$3)</f>
        <v>0</v>
      </c>
      <c r="F390" s="20">
        <v>0</v>
      </c>
      <c r="G390" s="19">
        <f>IFERROR(SUMIFS(Regiones[TMO],Regiones[Fecha],Tabla54[[#This Row],[Fecha]],Regiones[Intervalo],Tabla54[[#This Row],[Intervalo]],Regiones[Skill],'BUPA Seguros'!$L$3)/Tabla54[[#This Row],[Atendidas]],0)</f>
        <v>0</v>
      </c>
      <c r="H3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0" s="21">
        <f>IFERROR(Tabla54[[#This Row],[Atendidas]]/Tabla54[[#This Row],[Recibidas]],0)</f>
        <v>0</v>
      </c>
    </row>
    <row r="391" spans="2:9" x14ac:dyDescent="0.3">
      <c r="B391" s="25">
        <f>+B390</f>
        <v>46212</v>
      </c>
      <c r="C391" s="26">
        <v>2.0833333333333332E-2</v>
      </c>
      <c r="D391" s="19">
        <f>+SUMIFS(Regiones[Ofrecidas],Regiones[Fecha],Tabla54[[#This Row],[Fecha]],Regiones[Intervalo],Tabla54[[#This Row],[Intervalo]],Regiones[Skill],'BUPA Seguros'!$L$3)</f>
        <v>0</v>
      </c>
      <c r="E391" s="19">
        <f>+SUMIFS(Regiones[Contestadas],Regiones[Fecha],Tabla54[[#This Row],[Fecha]],Regiones[Intervalo],Tabla54[[#This Row],[Intervalo]],Regiones[Skill],'BUPA Seguros'!$L$3)</f>
        <v>0</v>
      </c>
      <c r="F391" s="20">
        <v>0</v>
      </c>
      <c r="G391" s="19">
        <f>IFERROR(SUMIFS(Regiones[TMO],Regiones[Fecha],Tabla54[[#This Row],[Fecha]],Regiones[Intervalo],Tabla54[[#This Row],[Intervalo]],Regiones[Skill],'BUPA Seguros'!$L$3)/Tabla54[[#This Row],[Atendidas]],0)</f>
        <v>0</v>
      </c>
      <c r="H3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1" s="21">
        <f>IFERROR(Tabla54[[#This Row],[Atendidas]]/Tabla54[[#This Row],[Recibidas]],0)</f>
        <v>0</v>
      </c>
    </row>
    <row r="392" spans="2:9" x14ac:dyDescent="0.3">
      <c r="B392" s="27">
        <f t="shared" ref="B392:B437" si="19">+B391</f>
        <v>46212</v>
      </c>
      <c r="C392" s="18">
        <v>4.1666666666666699E-2</v>
      </c>
      <c r="D392" s="19">
        <f>+SUMIFS(Regiones[Ofrecidas],Regiones[Fecha],Tabla54[[#This Row],[Fecha]],Regiones[Intervalo],Tabla54[[#This Row],[Intervalo]],Regiones[Skill],'BUPA Seguros'!$L$3)</f>
        <v>0</v>
      </c>
      <c r="E392" s="19">
        <f>+SUMIFS(Regiones[Contestadas],Regiones[Fecha],Tabla54[[#This Row],[Fecha]],Regiones[Intervalo],Tabla54[[#This Row],[Intervalo]],Regiones[Skill],'BUPA Seguros'!$L$3)</f>
        <v>0</v>
      </c>
      <c r="F392" s="20">
        <v>0</v>
      </c>
      <c r="G392" s="19">
        <f>IFERROR(SUMIFS(Regiones[TMO],Regiones[Fecha],Tabla54[[#This Row],[Fecha]],Regiones[Intervalo],Tabla54[[#This Row],[Intervalo]],Regiones[Skill],'BUPA Seguros'!$L$3)/Tabla54[[#This Row],[Atendidas]],0)</f>
        <v>0</v>
      </c>
      <c r="H3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2" s="21">
        <f>IFERROR(Tabla54[[#This Row],[Atendidas]]/Tabla54[[#This Row],[Recibidas]],0)</f>
        <v>0</v>
      </c>
    </row>
    <row r="393" spans="2:9" x14ac:dyDescent="0.3">
      <c r="B393" s="25">
        <f t="shared" si="19"/>
        <v>46212</v>
      </c>
      <c r="C393" s="26">
        <v>6.25E-2</v>
      </c>
      <c r="D393" s="19">
        <f>+SUMIFS(Regiones[Ofrecidas],Regiones[Fecha],Tabla54[[#This Row],[Fecha]],Regiones[Intervalo],Tabla54[[#This Row],[Intervalo]],Regiones[Skill],'BUPA Seguros'!$L$3)</f>
        <v>0</v>
      </c>
      <c r="E393" s="19">
        <f>+SUMIFS(Regiones[Contestadas],Regiones[Fecha],Tabla54[[#This Row],[Fecha]],Regiones[Intervalo],Tabla54[[#This Row],[Intervalo]],Regiones[Skill],'BUPA Seguros'!$L$3)</f>
        <v>0</v>
      </c>
      <c r="F393" s="20">
        <v>0</v>
      </c>
      <c r="G393" s="19">
        <f>IFERROR(SUMIFS(Regiones[TMO],Regiones[Fecha],Tabla54[[#This Row],[Fecha]],Regiones[Intervalo],Tabla54[[#This Row],[Intervalo]],Regiones[Skill],'BUPA Seguros'!$L$3)/Tabla54[[#This Row],[Atendidas]],0)</f>
        <v>0</v>
      </c>
      <c r="H3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3" s="21">
        <f>IFERROR(Tabla54[[#This Row],[Atendidas]]/Tabla54[[#This Row],[Recibidas]],0)</f>
        <v>0</v>
      </c>
    </row>
    <row r="394" spans="2:9" x14ac:dyDescent="0.3">
      <c r="B394" s="27">
        <f t="shared" si="19"/>
        <v>46212</v>
      </c>
      <c r="C394" s="18">
        <v>8.3333333333333301E-2</v>
      </c>
      <c r="D394" s="19">
        <f>+SUMIFS(Regiones[Ofrecidas],Regiones[Fecha],Tabla54[[#This Row],[Fecha]],Regiones[Intervalo],Tabla54[[#This Row],[Intervalo]],Regiones[Skill],'BUPA Seguros'!$L$3)</f>
        <v>0</v>
      </c>
      <c r="E394" s="19">
        <f>+SUMIFS(Regiones[Contestadas],Regiones[Fecha],Tabla54[[#This Row],[Fecha]],Regiones[Intervalo],Tabla54[[#This Row],[Intervalo]],Regiones[Skill],'BUPA Seguros'!$L$3)</f>
        <v>0</v>
      </c>
      <c r="F394" s="20">
        <v>0</v>
      </c>
      <c r="G394" s="19">
        <f>IFERROR(SUMIFS(Regiones[TMO],Regiones[Fecha],Tabla54[[#This Row],[Fecha]],Regiones[Intervalo],Tabla54[[#This Row],[Intervalo]],Regiones[Skill],'BUPA Seguros'!$L$3)/Tabla54[[#This Row],[Atendidas]],0)</f>
        <v>0</v>
      </c>
      <c r="H3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4" s="21">
        <f>IFERROR(Tabla54[[#This Row],[Atendidas]]/Tabla54[[#This Row],[Recibidas]],0)</f>
        <v>0</v>
      </c>
    </row>
    <row r="395" spans="2:9" x14ac:dyDescent="0.3">
      <c r="B395" s="25">
        <f t="shared" si="19"/>
        <v>46212</v>
      </c>
      <c r="C395" s="26">
        <v>0.104166666666667</v>
      </c>
      <c r="D395" s="19">
        <f>+SUMIFS(Regiones[Ofrecidas],Regiones[Fecha],Tabla54[[#This Row],[Fecha]],Regiones[Intervalo],Tabla54[[#This Row],[Intervalo]],Regiones[Skill],'BUPA Seguros'!$L$3)</f>
        <v>0</v>
      </c>
      <c r="E395" s="19">
        <f>+SUMIFS(Regiones[Contestadas],Regiones[Fecha],Tabla54[[#This Row],[Fecha]],Regiones[Intervalo],Tabla54[[#This Row],[Intervalo]],Regiones[Skill],'BUPA Seguros'!$L$3)</f>
        <v>0</v>
      </c>
      <c r="F395" s="20">
        <v>0</v>
      </c>
      <c r="G395" s="19">
        <f>IFERROR(SUMIFS(Regiones[TMO],Regiones[Fecha],Tabla54[[#This Row],[Fecha]],Regiones[Intervalo],Tabla54[[#This Row],[Intervalo]],Regiones[Skill],'BUPA Seguros'!$L$3)/Tabla54[[#This Row],[Atendidas]],0)</f>
        <v>0</v>
      </c>
      <c r="H3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5" s="21">
        <f>IFERROR(Tabla54[[#This Row],[Atendidas]]/Tabla54[[#This Row],[Recibidas]],0)</f>
        <v>0</v>
      </c>
    </row>
    <row r="396" spans="2:9" x14ac:dyDescent="0.3">
      <c r="B396" s="27">
        <f t="shared" si="19"/>
        <v>46212</v>
      </c>
      <c r="C396" s="18">
        <v>0.125</v>
      </c>
      <c r="D396" s="19">
        <f>+SUMIFS(Regiones[Ofrecidas],Regiones[Fecha],Tabla54[[#This Row],[Fecha]],Regiones[Intervalo],Tabla54[[#This Row],[Intervalo]],Regiones[Skill],'BUPA Seguros'!$L$3)</f>
        <v>0</v>
      </c>
      <c r="E396" s="19">
        <f>+SUMIFS(Regiones[Contestadas],Regiones[Fecha],Tabla54[[#This Row],[Fecha]],Regiones[Intervalo],Tabla54[[#This Row],[Intervalo]],Regiones[Skill],'BUPA Seguros'!$L$3)</f>
        <v>0</v>
      </c>
      <c r="F396" s="20">
        <v>0</v>
      </c>
      <c r="G396" s="19">
        <f>IFERROR(SUMIFS(Regiones[TMO],Regiones[Fecha],Tabla54[[#This Row],[Fecha]],Regiones[Intervalo],Tabla54[[#This Row],[Intervalo]],Regiones[Skill],'BUPA Seguros'!$L$3)/Tabla54[[#This Row],[Atendidas]],0)</f>
        <v>0</v>
      </c>
      <c r="H3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6" s="21">
        <f>IFERROR(Tabla54[[#This Row],[Atendidas]]/Tabla54[[#This Row],[Recibidas]],0)</f>
        <v>0</v>
      </c>
    </row>
    <row r="397" spans="2:9" x14ac:dyDescent="0.3">
      <c r="B397" s="25">
        <f t="shared" si="19"/>
        <v>46212</v>
      </c>
      <c r="C397" s="26">
        <v>0.14583333333333301</v>
      </c>
      <c r="D397" s="19">
        <f>+SUMIFS(Regiones[Ofrecidas],Regiones[Fecha],Tabla54[[#This Row],[Fecha]],Regiones[Intervalo],Tabla54[[#This Row],[Intervalo]],Regiones[Skill],'BUPA Seguros'!$L$3)</f>
        <v>0</v>
      </c>
      <c r="E397" s="19">
        <f>+SUMIFS(Regiones[Contestadas],Regiones[Fecha],Tabla54[[#This Row],[Fecha]],Regiones[Intervalo],Tabla54[[#This Row],[Intervalo]],Regiones[Skill],'BUPA Seguros'!$L$3)</f>
        <v>0</v>
      </c>
      <c r="F397" s="20">
        <v>0</v>
      </c>
      <c r="G397" s="19">
        <f>IFERROR(SUMIFS(Regiones[TMO],Regiones[Fecha],Tabla54[[#This Row],[Fecha]],Regiones[Intervalo],Tabla54[[#This Row],[Intervalo]],Regiones[Skill],'BUPA Seguros'!$L$3)/Tabla54[[#This Row],[Atendidas]],0)</f>
        <v>0</v>
      </c>
      <c r="H3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7" s="21">
        <f>IFERROR(Tabla54[[#This Row],[Atendidas]]/Tabla54[[#This Row],[Recibidas]],0)</f>
        <v>0</v>
      </c>
    </row>
    <row r="398" spans="2:9" x14ac:dyDescent="0.3">
      <c r="B398" s="27">
        <f t="shared" si="19"/>
        <v>46212</v>
      </c>
      <c r="C398" s="18">
        <v>0.16666666666666699</v>
      </c>
      <c r="D398" s="19">
        <f>+SUMIFS(Regiones[Ofrecidas],Regiones[Fecha],Tabla54[[#This Row],[Fecha]],Regiones[Intervalo],Tabla54[[#This Row],[Intervalo]],Regiones[Skill],'BUPA Seguros'!$L$3)</f>
        <v>0</v>
      </c>
      <c r="E398" s="19">
        <f>+SUMIFS(Regiones[Contestadas],Regiones[Fecha],Tabla54[[#This Row],[Fecha]],Regiones[Intervalo],Tabla54[[#This Row],[Intervalo]],Regiones[Skill],'BUPA Seguros'!$L$3)</f>
        <v>0</v>
      </c>
      <c r="F398" s="20">
        <v>0</v>
      </c>
      <c r="G398" s="19">
        <f>IFERROR(SUMIFS(Regiones[TMO],Regiones[Fecha],Tabla54[[#This Row],[Fecha]],Regiones[Intervalo],Tabla54[[#This Row],[Intervalo]],Regiones[Skill],'BUPA Seguros'!$L$3)/Tabla54[[#This Row],[Atendidas]],0)</f>
        <v>0</v>
      </c>
      <c r="H3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8" s="21">
        <f>IFERROR(Tabla54[[#This Row],[Atendidas]]/Tabla54[[#This Row],[Recibidas]],0)</f>
        <v>0</v>
      </c>
    </row>
    <row r="399" spans="2:9" x14ac:dyDescent="0.3">
      <c r="B399" s="25">
        <f t="shared" si="19"/>
        <v>46212</v>
      </c>
      <c r="C399" s="26">
        <v>0.1875</v>
      </c>
      <c r="D399" s="19">
        <f>+SUMIFS(Regiones[Ofrecidas],Regiones[Fecha],Tabla54[[#This Row],[Fecha]],Regiones[Intervalo],Tabla54[[#This Row],[Intervalo]],Regiones[Skill],'BUPA Seguros'!$L$3)</f>
        <v>0</v>
      </c>
      <c r="E399" s="19">
        <f>+SUMIFS(Regiones[Contestadas],Regiones[Fecha],Tabla54[[#This Row],[Fecha]],Regiones[Intervalo],Tabla54[[#This Row],[Intervalo]],Regiones[Skill],'BUPA Seguros'!$L$3)</f>
        <v>0</v>
      </c>
      <c r="F399" s="20">
        <v>0</v>
      </c>
      <c r="G399" s="19">
        <f>IFERROR(SUMIFS(Regiones[TMO],Regiones[Fecha],Tabla54[[#This Row],[Fecha]],Regiones[Intervalo],Tabla54[[#This Row],[Intervalo]],Regiones[Skill],'BUPA Seguros'!$L$3)/Tabla54[[#This Row],[Atendidas]],0)</f>
        <v>0</v>
      </c>
      <c r="H3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399" s="21">
        <f>IFERROR(Tabla54[[#This Row],[Atendidas]]/Tabla54[[#This Row],[Recibidas]],0)</f>
        <v>0</v>
      </c>
    </row>
    <row r="400" spans="2:9" x14ac:dyDescent="0.3">
      <c r="B400" s="27">
        <f t="shared" si="19"/>
        <v>46212</v>
      </c>
      <c r="C400" s="18">
        <v>0.20833333333333301</v>
      </c>
      <c r="D400" s="19">
        <f>+SUMIFS(Regiones[Ofrecidas],Regiones[Fecha],Tabla54[[#This Row],[Fecha]],Regiones[Intervalo],Tabla54[[#This Row],[Intervalo]],Regiones[Skill],'BUPA Seguros'!$L$3)</f>
        <v>0</v>
      </c>
      <c r="E400" s="19">
        <f>+SUMIFS(Regiones[Contestadas],Regiones[Fecha],Tabla54[[#This Row],[Fecha]],Regiones[Intervalo],Tabla54[[#This Row],[Intervalo]],Regiones[Skill],'BUPA Seguros'!$L$3)</f>
        <v>0</v>
      </c>
      <c r="F400" s="20">
        <v>0</v>
      </c>
      <c r="G400" s="19">
        <f>IFERROR(SUMIFS(Regiones[TMO],Regiones[Fecha],Tabla54[[#This Row],[Fecha]],Regiones[Intervalo],Tabla54[[#This Row],[Intervalo]],Regiones[Skill],'BUPA Seguros'!$L$3)/Tabla54[[#This Row],[Atendidas]],0)</f>
        <v>0</v>
      </c>
      <c r="H4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0" s="21">
        <f>IFERROR(Tabla54[[#This Row],[Atendidas]]/Tabla54[[#This Row],[Recibidas]],0)</f>
        <v>0</v>
      </c>
    </row>
    <row r="401" spans="2:9" x14ac:dyDescent="0.3">
      <c r="B401" s="25">
        <f t="shared" si="19"/>
        <v>46212</v>
      </c>
      <c r="C401" s="26">
        <v>0.22916666666666699</v>
      </c>
      <c r="D401" s="19">
        <f>+SUMIFS(Regiones[Ofrecidas],Regiones[Fecha],Tabla54[[#This Row],[Fecha]],Regiones[Intervalo],Tabla54[[#This Row],[Intervalo]],Regiones[Skill],'BUPA Seguros'!$L$3)</f>
        <v>0</v>
      </c>
      <c r="E401" s="19">
        <f>+SUMIFS(Regiones[Contestadas],Regiones[Fecha],Tabla54[[#This Row],[Fecha]],Regiones[Intervalo],Tabla54[[#This Row],[Intervalo]],Regiones[Skill],'BUPA Seguros'!$L$3)</f>
        <v>0</v>
      </c>
      <c r="F401" s="20">
        <v>0</v>
      </c>
      <c r="G401" s="19">
        <f>IFERROR(SUMIFS(Regiones[TMO],Regiones[Fecha],Tabla54[[#This Row],[Fecha]],Regiones[Intervalo],Tabla54[[#This Row],[Intervalo]],Regiones[Skill],'BUPA Seguros'!$L$3)/Tabla54[[#This Row],[Atendidas]],0)</f>
        <v>0</v>
      </c>
      <c r="H4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1" s="21">
        <f>IFERROR(Tabla54[[#This Row],[Atendidas]]/Tabla54[[#This Row],[Recibidas]],0)</f>
        <v>0</v>
      </c>
    </row>
    <row r="402" spans="2:9" x14ac:dyDescent="0.3">
      <c r="B402" s="27">
        <f t="shared" si="19"/>
        <v>46212</v>
      </c>
      <c r="C402" s="18">
        <v>0.25</v>
      </c>
      <c r="D402" s="19">
        <f>+SUMIFS(Regiones[Ofrecidas],Regiones[Fecha],Tabla54[[#This Row],[Fecha]],Regiones[Intervalo],Tabla54[[#This Row],[Intervalo]],Regiones[Skill],'BUPA Seguros'!$L$3)</f>
        <v>0</v>
      </c>
      <c r="E402" s="19">
        <f>+SUMIFS(Regiones[Contestadas],Regiones[Fecha],Tabla54[[#This Row],[Fecha]],Regiones[Intervalo],Tabla54[[#This Row],[Intervalo]],Regiones[Skill],'BUPA Seguros'!$L$3)</f>
        <v>0</v>
      </c>
      <c r="F402" s="20">
        <v>0</v>
      </c>
      <c r="G402" s="19">
        <f>IFERROR(SUMIFS(Regiones[TMO],Regiones[Fecha],Tabla54[[#This Row],[Fecha]],Regiones[Intervalo],Tabla54[[#This Row],[Intervalo]],Regiones[Skill],'BUPA Seguros'!$L$3)/Tabla54[[#This Row],[Atendidas]],0)</f>
        <v>0</v>
      </c>
      <c r="H4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2" s="21">
        <f>IFERROR(Tabla54[[#This Row],[Atendidas]]/Tabla54[[#This Row],[Recibidas]],0)</f>
        <v>0</v>
      </c>
    </row>
    <row r="403" spans="2:9" x14ac:dyDescent="0.3">
      <c r="B403" s="25">
        <f t="shared" si="19"/>
        <v>46212</v>
      </c>
      <c r="C403" s="26">
        <v>0.27083333333333298</v>
      </c>
      <c r="D403" s="19">
        <f>+SUMIFS(Regiones[Ofrecidas],Regiones[Fecha],Tabla54[[#This Row],[Fecha]],Regiones[Intervalo],Tabla54[[#This Row],[Intervalo]],Regiones[Skill],'BUPA Seguros'!$L$3)</f>
        <v>0</v>
      </c>
      <c r="E403" s="19">
        <f>+SUMIFS(Regiones[Contestadas],Regiones[Fecha],Tabla54[[#This Row],[Fecha]],Regiones[Intervalo],Tabla54[[#This Row],[Intervalo]],Regiones[Skill],'BUPA Seguros'!$L$3)</f>
        <v>0</v>
      </c>
      <c r="F403" s="20">
        <v>0</v>
      </c>
      <c r="G403" s="19">
        <f>IFERROR(SUMIFS(Regiones[TMO],Regiones[Fecha],Tabla54[[#This Row],[Fecha]],Regiones[Intervalo],Tabla54[[#This Row],[Intervalo]],Regiones[Skill],'BUPA Seguros'!$L$3)/Tabla54[[#This Row],[Atendidas]],0)</f>
        <v>0</v>
      </c>
      <c r="H4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3" s="21">
        <f>IFERROR(Tabla54[[#This Row],[Atendidas]]/Tabla54[[#This Row],[Recibidas]],0)</f>
        <v>0</v>
      </c>
    </row>
    <row r="404" spans="2:9" x14ac:dyDescent="0.3">
      <c r="B404" s="27">
        <f t="shared" si="19"/>
        <v>46212</v>
      </c>
      <c r="C404" s="18">
        <v>0.29166666666666702</v>
      </c>
      <c r="D404" s="19">
        <f>+SUMIFS(Regiones[Ofrecidas],Regiones[Fecha],Tabla54[[#This Row],[Fecha]],Regiones[Intervalo],Tabla54[[#This Row],[Intervalo]],Regiones[Skill],'BUPA Seguros'!$L$3)</f>
        <v>0</v>
      </c>
      <c r="E404" s="19">
        <f>+SUMIFS(Regiones[Contestadas],Regiones[Fecha],Tabla54[[#This Row],[Fecha]],Regiones[Intervalo],Tabla54[[#This Row],[Intervalo]],Regiones[Skill],'BUPA Seguros'!$L$3)</f>
        <v>0</v>
      </c>
      <c r="F404" s="20">
        <v>0</v>
      </c>
      <c r="G404" s="19">
        <f>IFERROR(SUMIFS(Regiones[TMO],Regiones[Fecha],Tabla54[[#This Row],[Fecha]],Regiones[Intervalo],Tabla54[[#This Row],[Intervalo]],Regiones[Skill],'BUPA Seguros'!$L$3)/Tabla54[[#This Row],[Atendidas]],0)</f>
        <v>0</v>
      </c>
      <c r="H4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4" s="21">
        <f>IFERROR(Tabla54[[#This Row],[Atendidas]]/Tabla54[[#This Row],[Recibidas]],0)</f>
        <v>0</v>
      </c>
    </row>
    <row r="405" spans="2:9" x14ac:dyDescent="0.3">
      <c r="B405" s="25">
        <f t="shared" si="19"/>
        <v>46212</v>
      </c>
      <c r="C405" s="26">
        <v>0.3125</v>
      </c>
      <c r="D405" s="19">
        <f>+SUMIFS(Regiones[Ofrecidas],Regiones[Fecha],Tabla54[[#This Row],[Fecha]],Regiones[Intervalo],Tabla54[[#This Row],[Intervalo]],Regiones[Skill],'BUPA Seguros'!$L$3)</f>
        <v>0</v>
      </c>
      <c r="E405" s="19">
        <f>+SUMIFS(Regiones[Contestadas],Regiones[Fecha],Tabla54[[#This Row],[Fecha]],Regiones[Intervalo],Tabla54[[#This Row],[Intervalo]],Regiones[Skill],'BUPA Seguros'!$L$3)</f>
        <v>0</v>
      </c>
      <c r="F405" s="20">
        <v>0</v>
      </c>
      <c r="G405" s="19">
        <f>IFERROR(SUMIFS(Regiones[TMO],Regiones[Fecha],Tabla54[[#This Row],[Fecha]],Regiones[Intervalo],Tabla54[[#This Row],[Intervalo]],Regiones[Skill],'BUPA Seguros'!$L$3)/Tabla54[[#This Row],[Atendidas]],0)</f>
        <v>0</v>
      </c>
      <c r="H4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5" s="21">
        <f>IFERROR(Tabla54[[#This Row],[Atendidas]]/Tabla54[[#This Row],[Recibidas]],0)</f>
        <v>0</v>
      </c>
    </row>
    <row r="406" spans="2:9" x14ac:dyDescent="0.3">
      <c r="B406" s="27">
        <f t="shared" si="19"/>
        <v>46212</v>
      </c>
      <c r="C406" s="18">
        <v>0.33333333333333298</v>
      </c>
      <c r="D406" s="19">
        <f>+SUMIFS(Regiones[Ofrecidas],Regiones[Fecha],Tabla54[[#This Row],[Fecha]],Regiones[Intervalo],Tabla54[[#This Row],[Intervalo]],Regiones[Skill],'BUPA Seguros'!$L$3)</f>
        <v>0</v>
      </c>
      <c r="E406" s="19">
        <f>+SUMIFS(Regiones[Contestadas],Regiones[Fecha],Tabla54[[#This Row],[Fecha]],Regiones[Intervalo],Tabla54[[#This Row],[Intervalo]],Regiones[Skill],'BUPA Seguros'!$L$3)</f>
        <v>0</v>
      </c>
      <c r="F406" s="20">
        <v>0</v>
      </c>
      <c r="G406" s="19">
        <f>IFERROR(SUMIFS(Regiones[TMO],Regiones[Fecha],Tabla54[[#This Row],[Fecha]],Regiones[Intervalo],Tabla54[[#This Row],[Intervalo]],Regiones[Skill],'BUPA Seguros'!$L$3)/Tabla54[[#This Row],[Atendidas]],0)</f>
        <v>0</v>
      </c>
      <c r="H4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6" s="21">
        <f>IFERROR(Tabla54[[#This Row],[Atendidas]]/Tabla54[[#This Row],[Recibidas]],0)</f>
        <v>0</v>
      </c>
    </row>
    <row r="407" spans="2:9" x14ac:dyDescent="0.3">
      <c r="B407" s="25">
        <f t="shared" si="19"/>
        <v>46212</v>
      </c>
      <c r="C407" s="26">
        <v>0.35416666666666702</v>
      </c>
      <c r="D407" s="19">
        <f>+SUMIFS(Regiones[Ofrecidas],Regiones[Fecha],Tabla54[[#This Row],[Fecha]],Regiones[Intervalo],Tabla54[[#This Row],[Intervalo]],Regiones[Skill],'BUPA Seguros'!$L$3)</f>
        <v>0</v>
      </c>
      <c r="E407" s="19">
        <f>+SUMIFS(Regiones[Contestadas],Regiones[Fecha],Tabla54[[#This Row],[Fecha]],Regiones[Intervalo],Tabla54[[#This Row],[Intervalo]],Regiones[Skill],'BUPA Seguros'!$L$3)</f>
        <v>0</v>
      </c>
      <c r="F407" s="20">
        <v>0</v>
      </c>
      <c r="G407" s="19">
        <f>IFERROR(SUMIFS(Regiones[TMO],Regiones[Fecha],Tabla54[[#This Row],[Fecha]],Regiones[Intervalo],Tabla54[[#This Row],[Intervalo]],Regiones[Skill],'BUPA Seguros'!$L$3)/Tabla54[[#This Row],[Atendidas]],0)</f>
        <v>0</v>
      </c>
      <c r="H4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7" s="21">
        <f>IFERROR(Tabla54[[#This Row],[Atendidas]]/Tabla54[[#This Row],[Recibidas]],0)</f>
        <v>0</v>
      </c>
    </row>
    <row r="408" spans="2:9" x14ac:dyDescent="0.3">
      <c r="B408" s="27">
        <f t="shared" si="19"/>
        <v>46212</v>
      </c>
      <c r="C408" s="18">
        <v>0.375</v>
      </c>
      <c r="D408" s="19">
        <f>+SUMIFS(Regiones[Ofrecidas],Regiones[Fecha],Tabla54[[#This Row],[Fecha]],Regiones[Intervalo],Tabla54[[#This Row],[Intervalo]],Regiones[Skill],'BUPA Seguros'!$L$3)</f>
        <v>0</v>
      </c>
      <c r="E408" s="19">
        <f>+SUMIFS(Regiones[Contestadas],Regiones[Fecha],Tabla54[[#This Row],[Fecha]],Regiones[Intervalo],Tabla54[[#This Row],[Intervalo]],Regiones[Skill],'BUPA Seguros'!$L$3)</f>
        <v>0</v>
      </c>
      <c r="F408" s="20">
        <v>33.280398275528817</v>
      </c>
      <c r="G408" s="19">
        <f>IFERROR(SUMIFS(Regiones[TMO],Regiones[Fecha],Tabla54[[#This Row],[Fecha]],Regiones[Intervalo],Tabla54[[#This Row],[Intervalo]],Regiones[Skill],'BUPA Seguros'!$L$3)/Tabla54[[#This Row],[Atendidas]],0)</f>
        <v>0</v>
      </c>
      <c r="H4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8" s="21">
        <f>IFERROR(Tabla54[[#This Row],[Atendidas]]/Tabla54[[#This Row],[Recibidas]],0)</f>
        <v>0</v>
      </c>
    </row>
    <row r="409" spans="2:9" x14ac:dyDescent="0.3">
      <c r="B409" s="25">
        <f t="shared" si="19"/>
        <v>46212</v>
      </c>
      <c r="C409" s="26">
        <v>0.39583333333333298</v>
      </c>
      <c r="D409" s="19">
        <f>+SUMIFS(Regiones[Ofrecidas],Regiones[Fecha],Tabla54[[#This Row],[Fecha]],Regiones[Intervalo],Tabla54[[#This Row],[Intervalo]],Regiones[Skill],'BUPA Seguros'!$L$3)</f>
        <v>0</v>
      </c>
      <c r="E409" s="19">
        <f>+SUMIFS(Regiones[Contestadas],Regiones[Fecha],Tabla54[[#This Row],[Fecha]],Regiones[Intervalo],Tabla54[[#This Row],[Intervalo]],Regiones[Skill],'BUPA Seguros'!$L$3)</f>
        <v>0</v>
      </c>
      <c r="F409" s="20">
        <v>33.963462322232942</v>
      </c>
      <c r="G409" s="19">
        <f>IFERROR(SUMIFS(Regiones[TMO],Regiones[Fecha],Tabla54[[#This Row],[Fecha]],Regiones[Intervalo],Tabla54[[#This Row],[Intervalo]],Regiones[Skill],'BUPA Seguros'!$L$3)/Tabla54[[#This Row],[Atendidas]],0)</f>
        <v>0</v>
      </c>
      <c r="H4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09" s="21">
        <f>IFERROR(Tabla54[[#This Row],[Atendidas]]/Tabla54[[#This Row],[Recibidas]],0)</f>
        <v>0</v>
      </c>
    </row>
    <row r="410" spans="2:9" x14ac:dyDescent="0.3">
      <c r="B410" s="27">
        <f t="shared" si="19"/>
        <v>46212</v>
      </c>
      <c r="C410" s="18">
        <v>0.41666666666666702</v>
      </c>
      <c r="D410" s="19">
        <f>+SUMIFS(Regiones[Ofrecidas],Regiones[Fecha],Tabla54[[#This Row],[Fecha]],Regiones[Intervalo],Tabla54[[#This Row],[Intervalo]],Regiones[Skill],'BUPA Seguros'!$L$3)</f>
        <v>0</v>
      </c>
      <c r="E410" s="19">
        <f>+SUMIFS(Regiones[Contestadas],Regiones[Fecha],Tabla54[[#This Row],[Fecha]],Regiones[Intervalo],Tabla54[[#This Row],[Intervalo]],Regiones[Skill],'BUPA Seguros'!$L$3)</f>
        <v>0</v>
      </c>
      <c r="F410" s="20">
        <v>35.11455173427138</v>
      </c>
      <c r="G410" s="19">
        <f>IFERROR(SUMIFS(Regiones[TMO],Regiones[Fecha],Tabla54[[#This Row],[Fecha]],Regiones[Intervalo],Tabla54[[#This Row],[Intervalo]],Regiones[Skill],'BUPA Seguros'!$L$3)/Tabla54[[#This Row],[Atendidas]],0)</f>
        <v>0</v>
      </c>
      <c r="H4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0" s="21">
        <f>IFERROR(Tabla54[[#This Row],[Atendidas]]/Tabla54[[#This Row],[Recibidas]],0)</f>
        <v>0</v>
      </c>
    </row>
    <row r="411" spans="2:9" x14ac:dyDescent="0.3">
      <c r="B411" s="25">
        <f t="shared" si="19"/>
        <v>46212</v>
      </c>
      <c r="C411" s="26">
        <v>0.4375</v>
      </c>
      <c r="D411" s="19">
        <f>+SUMIFS(Regiones[Ofrecidas],Regiones[Fecha],Tabla54[[#This Row],[Fecha]],Regiones[Intervalo],Tabla54[[#This Row],[Intervalo]],Regiones[Skill],'BUPA Seguros'!$L$3)</f>
        <v>0</v>
      </c>
      <c r="E411" s="19">
        <f>+SUMIFS(Regiones[Contestadas],Regiones[Fecha],Tabla54[[#This Row],[Fecha]],Regiones[Intervalo],Tabla54[[#This Row],[Intervalo]],Regiones[Skill],'BUPA Seguros'!$L$3)</f>
        <v>0</v>
      </c>
      <c r="F411" s="20">
        <v>35.316941081442963</v>
      </c>
      <c r="G411" s="19">
        <f>IFERROR(SUMIFS(Regiones[TMO],Regiones[Fecha],Tabla54[[#This Row],[Fecha]],Regiones[Intervalo],Tabla54[[#This Row],[Intervalo]],Regiones[Skill],'BUPA Seguros'!$L$3)/Tabla54[[#This Row],[Atendidas]],0)</f>
        <v>0</v>
      </c>
      <c r="H4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1" s="21">
        <f>IFERROR(Tabla54[[#This Row],[Atendidas]]/Tabla54[[#This Row],[Recibidas]],0)</f>
        <v>0</v>
      </c>
    </row>
    <row r="412" spans="2:9" x14ac:dyDescent="0.3">
      <c r="B412" s="27">
        <f t="shared" si="19"/>
        <v>46212</v>
      </c>
      <c r="C412" s="18">
        <v>0.45833333333333298</v>
      </c>
      <c r="D412" s="19">
        <f>+SUMIFS(Regiones[Ofrecidas],Regiones[Fecha],Tabla54[[#This Row],[Fecha]],Regiones[Intervalo],Tabla54[[#This Row],[Intervalo]],Regiones[Skill],'BUPA Seguros'!$L$3)</f>
        <v>0</v>
      </c>
      <c r="E412" s="19">
        <f>+SUMIFS(Regiones[Contestadas],Regiones[Fecha],Tabla54[[#This Row],[Fecha]],Regiones[Intervalo],Tabla54[[#This Row],[Intervalo]],Regiones[Skill],'BUPA Seguros'!$L$3)</f>
        <v>0</v>
      </c>
      <c r="F412" s="20">
        <v>35.940974901888715</v>
      </c>
      <c r="G412" s="19">
        <f>IFERROR(SUMIFS(Regiones[TMO],Regiones[Fecha],Tabla54[[#This Row],[Fecha]],Regiones[Intervalo],Tabla54[[#This Row],[Intervalo]],Regiones[Skill],'BUPA Seguros'!$L$3)/Tabla54[[#This Row],[Atendidas]],0)</f>
        <v>0</v>
      </c>
      <c r="H4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2" s="21">
        <f>IFERROR(Tabla54[[#This Row],[Atendidas]]/Tabla54[[#This Row],[Recibidas]],0)</f>
        <v>0</v>
      </c>
    </row>
    <row r="413" spans="2:9" x14ac:dyDescent="0.3">
      <c r="B413" s="25">
        <f t="shared" si="19"/>
        <v>46212</v>
      </c>
      <c r="C413" s="26">
        <v>0.47916666666666702</v>
      </c>
      <c r="D413" s="19">
        <f>+SUMIFS(Regiones[Ofrecidas],Regiones[Fecha],Tabla54[[#This Row],[Fecha]],Regiones[Intervalo],Tabla54[[#This Row],[Intervalo]],Regiones[Skill],'BUPA Seguros'!$L$3)</f>
        <v>0</v>
      </c>
      <c r="E413" s="19">
        <f>+SUMIFS(Regiones[Contestadas],Regiones[Fecha],Tabla54[[#This Row],[Fecha]],Regiones[Intervalo],Tabla54[[#This Row],[Intervalo]],Regiones[Skill],'BUPA Seguros'!$L$3)</f>
        <v>0</v>
      </c>
      <c r="F413" s="20">
        <v>35.738585554717126</v>
      </c>
      <c r="G413" s="19">
        <f>IFERROR(SUMIFS(Regiones[TMO],Regiones[Fecha],Tabla54[[#This Row],[Fecha]],Regiones[Intervalo],Tabla54[[#This Row],[Intervalo]],Regiones[Skill],'BUPA Seguros'!$L$3)/Tabla54[[#This Row],[Atendidas]],0)</f>
        <v>0</v>
      </c>
      <c r="H4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3" s="21">
        <f>IFERROR(Tabla54[[#This Row],[Atendidas]]/Tabla54[[#This Row],[Recibidas]],0)</f>
        <v>0</v>
      </c>
    </row>
    <row r="414" spans="2:9" x14ac:dyDescent="0.3">
      <c r="B414" s="27">
        <f t="shared" si="19"/>
        <v>46212</v>
      </c>
      <c r="C414" s="18">
        <v>0.5</v>
      </c>
      <c r="D414" s="19">
        <f>+SUMIFS(Regiones[Ofrecidas],Regiones[Fecha],Tabla54[[#This Row],[Fecha]],Regiones[Intervalo],Tabla54[[#This Row],[Intervalo]],Regiones[Skill],'BUPA Seguros'!$L$3)</f>
        <v>0</v>
      </c>
      <c r="E414" s="19">
        <f>+SUMIFS(Regiones[Contestadas],Regiones[Fecha],Tabla54[[#This Row],[Fecha]],Regiones[Intervalo],Tabla54[[#This Row],[Intervalo]],Regiones[Skill],'BUPA Seguros'!$L$3)</f>
        <v>0</v>
      </c>
      <c r="F414" s="20">
        <v>35.738585554717112</v>
      </c>
      <c r="G414" s="19">
        <f>IFERROR(SUMIFS(Regiones[TMO],Regiones[Fecha],Tabla54[[#This Row],[Fecha]],Regiones[Intervalo],Tabla54[[#This Row],[Intervalo]],Regiones[Skill],'BUPA Seguros'!$L$3)/Tabla54[[#This Row],[Atendidas]],0)</f>
        <v>0</v>
      </c>
      <c r="H4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4" s="21">
        <f>IFERROR(Tabla54[[#This Row],[Atendidas]]/Tabla54[[#This Row],[Recibidas]],0)</f>
        <v>0</v>
      </c>
    </row>
    <row r="415" spans="2:9" x14ac:dyDescent="0.3">
      <c r="B415" s="25">
        <f t="shared" si="19"/>
        <v>46212</v>
      </c>
      <c r="C415" s="26">
        <v>0.52083333333333304</v>
      </c>
      <c r="D415" s="19">
        <f>+SUMIFS(Regiones[Ofrecidas],Regiones[Fecha],Tabla54[[#This Row],[Fecha]],Regiones[Intervalo],Tabla54[[#This Row],[Intervalo]],Regiones[Skill],'BUPA Seguros'!$L$3)</f>
        <v>0</v>
      </c>
      <c r="E415" s="19">
        <f>+SUMIFS(Regiones[Contestadas],Regiones[Fecha],Tabla54[[#This Row],[Fecha]],Regiones[Intervalo],Tabla54[[#This Row],[Intervalo]],Regiones[Skill],'BUPA Seguros'!$L$3)</f>
        <v>0</v>
      </c>
      <c r="F415" s="20">
        <v>34.979625502823652</v>
      </c>
      <c r="G415" s="19">
        <f>IFERROR(SUMIFS(Regiones[TMO],Regiones[Fecha],Tabla54[[#This Row],[Fecha]],Regiones[Intervalo],Tabla54[[#This Row],[Intervalo]],Regiones[Skill],'BUPA Seguros'!$L$3)/Tabla54[[#This Row],[Atendidas]],0)</f>
        <v>0</v>
      </c>
      <c r="H4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5" s="21">
        <f>IFERROR(Tabla54[[#This Row],[Atendidas]]/Tabla54[[#This Row],[Recibidas]],0)</f>
        <v>0</v>
      </c>
    </row>
    <row r="416" spans="2:9" x14ac:dyDescent="0.3">
      <c r="B416" s="27">
        <f t="shared" si="19"/>
        <v>46212</v>
      </c>
      <c r="C416" s="18">
        <v>0.54166666666666696</v>
      </c>
      <c r="D416" s="19">
        <f>+SUMIFS(Regiones[Ofrecidas],Regiones[Fecha],Tabla54[[#This Row],[Fecha]],Regiones[Intervalo],Tabla54[[#This Row],[Intervalo]],Regiones[Skill],'BUPA Seguros'!$L$3)</f>
        <v>0</v>
      </c>
      <c r="E416" s="19">
        <f>+SUMIFS(Regiones[Contestadas],Regiones[Fecha],Tabla54[[#This Row],[Fecha]],Regiones[Intervalo],Tabla54[[#This Row],[Intervalo]],Regiones[Skill],'BUPA Seguros'!$L$3)</f>
        <v>0</v>
      </c>
      <c r="F416" s="20">
        <v>34.00141032482761</v>
      </c>
      <c r="G416" s="19">
        <f>IFERROR(SUMIFS(Regiones[TMO],Regiones[Fecha],Tabla54[[#This Row],[Fecha]],Regiones[Intervalo],Tabla54[[#This Row],[Intervalo]],Regiones[Skill],'BUPA Seguros'!$L$3)/Tabla54[[#This Row],[Atendidas]],0)</f>
        <v>0</v>
      </c>
      <c r="H4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6" s="21">
        <f>IFERROR(Tabla54[[#This Row],[Atendidas]]/Tabla54[[#This Row],[Recibidas]],0)</f>
        <v>0</v>
      </c>
    </row>
    <row r="417" spans="2:9" x14ac:dyDescent="0.3">
      <c r="B417" s="25">
        <f t="shared" si="19"/>
        <v>46212</v>
      </c>
      <c r="C417" s="26">
        <v>0.5625</v>
      </c>
      <c r="D417" s="19">
        <f>+SUMIFS(Regiones[Ofrecidas],Regiones[Fecha],Tabla54[[#This Row],[Fecha]],Regiones[Intervalo],Tabla54[[#This Row],[Intervalo]],Regiones[Skill],'BUPA Seguros'!$L$3)</f>
        <v>0</v>
      </c>
      <c r="E417" s="19">
        <f>+SUMIFS(Regiones[Contestadas],Regiones[Fecha],Tabla54[[#This Row],[Fecha]],Regiones[Intervalo],Tabla54[[#This Row],[Intervalo]],Regiones[Skill],'BUPA Seguros'!$L$3)</f>
        <v>0</v>
      </c>
      <c r="F417" s="20">
        <v>32.314832431731006</v>
      </c>
      <c r="G417" s="19">
        <f>IFERROR(SUMIFS(Regiones[TMO],Regiones[Fecha],Tabla54[[#This Row],[Fecha]],Regiones[Intervalo],Tabla54[[#This Row],[Intervalo]],Regiones[Skill],'BUPA Seguros'!$L$3)/Tabla54[[#This Row],[Atendidas]],0)</f>
        <v>0</v>
      </c>
      <c r="H4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7" s="21">
        <f>IFERROR(Tabla54[[#This Row],[Atendidas]]/Tabla54[[#This Row],[Recibidas]],0)</f>
        <v>0</v>
      </c>
    </row>
    <row r="418" spans="2:9" x14ac:dyDescent="0.3">
      <c r="B418" s="27">
        <f t="shared" si="19"/>
        <v>46212</v>
      </c>
      <c r="C418" s="18">
        <v>0.58333333333333304</v>
      </c>
      <c r="D418" s="19">
        <f>+SUMIFS(Regiones[Ofrecidas],Regiones[Fecha],Tabla54[[#This Row],[Fecha]],Regiones[Intervalo],Tabla54[[#This Row],[Intervalo]],Regiones[Skill],'BUPA Seguros'!$L$3)</f>
        <v>0</v>
      </c>
      <c r="E418" s="19">
        <f>+SUMIFS(Regiones[Contestadas],Regiones[Fecha],Tabla54[[#This Row],[Fecha]],Regiones[Intervalo],Tabla54[[#This Row],[Intervalo]],Regiones[Skill],'BUPA Seguros'!$L$3)</f>
        <v>0</v>
      </c>
      <c r="F418" s="20">
        <v>30.847509664736961</v>
      </c>
      <c r="G418" s="19">
        <f>IFERROR(SUMIFS(Regiones[TMO],Regiones[Fecha],Tabla54[[#This Row],[Fecha]],Regiones[Intervalo],Tabla54[[#This Row],[Intervalo]],Regiones[Skill],'BUPA Seguros'!$L$3)/Tabla54[[#This Row],[Atendidas]],0)</f>
        <v>0</v>
      </c>
      <c r="H4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8" s="21">
        <f>IFERROR(Tabla54[[#This Row],[Atendidas]]/Tabla54[[#This Row],[Recibidas]],0)</f>
        <v>0</v>
      </c>
    </row>
    <row r="419" spans="2:9" x14ac:dyDescent="0.3">
      <c r="B419" s="25">
        <f t="shared" si="19"/>
        <v>46212</v>
      </c>
      <c r="C419" s="26">
        <v>0.60416666666666696</v>
      </c>
      <c r="D419" s="19">
        <f>+SUMIFS(Regiones[Ofrecidas],Regiones[Fecha],Tabla54[[#This Row],[Fecha]],Regiones[Intervalo],Tabla54[[#This Row],[Intervalo]],Regiones[Skill],'BUPA Seguros'!$L$3)</f>
        <v>0</v>
      </c>
      <c r="E419" s="19">
        <f>+SUMIFS(Regiones[Contestadas],Regiones[Fecha],Tabla54[[#This Row],[Fecha]],Regiones[Intervalo],Tabla54[[#This Row],[Intervalo]],Regiones[Skill],'BUPA Seguros'!$L$3)</f>
        <v>0</v>
      </c>
      <c r="F419" s="20">
        <v>29.531978908121616</v>
      </c>
      <c r="G419" s="19">
        <f>IFERROR(SUMIFS(Regiones[TMO],Regiones[Fecha],Tabla54[[#This Row],[Fecha]],Regiones[Intervalo],Tabla54[[#This Row],[Intervalo]],Regiones[Skill],'BUPA Seguros'!$L$3)/Tabla54[[#This Row],[Atendidas]],0)</f>
        <v>0</v>
      </c>
      <c r="H4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19" s="21">
        <f>IFERROR(Tabla54[[#This Row],[Atendidas]]/Tabla54[[#This Row],[Recibidas]],0)</f>
        <v>0</v>
      </c>
    </row>
    <row r="420" spans="2:9" x14ac:dyDescent="0.3">
      <c r="B420" s="27">
        <f t="shared" si="19"/>
        <v>46212</v>
      </c>
      <c r="C420" s="18">
        <v>0.625</v>
      </c>
      <c r="D420" s="19">
        <f>+SUMIFS(Regiones[Ofrecidas],Regiones[Fecha],Tabla54[[#This Row],[Fecha]],Regiones[Intervalo],Tabla54[[#This Row],[Intervalo]],Regiones[Skill],'BUPA Seguros'!$L$3)</f>
        <v>0</v>
      </c>
      <c r="E420" s="19">
        <f>+SUMIFS(Regiones[Contestadas],Regiones[Fecha],Tabla54[[#This Row],[Fecha]],Regiones[Intervalo],Tabla54[[#This Row],[Intervalo]],Regiones[Skill],'BUPA Seguros'!$L$3)</f>
        <v>0</v>
      </c>
      <c r="F420" s="20">
        <v>29.177797550571324</v>
      </c>
      <c r="G420" s="19">
        <f>IFERROR(SUMIFS(Regiones[TMO],Regiones[Fecha],Tabla54[[#This Row],[Fecha]],Regiones[Intervalo],Tabla54[[#This Row],[Intervalo]],Regiones[Skill],'BUPA Seguros'!$L$3)/Tabla54[[#This Row],[Atendidas]],0)</f>
        <v>0</v>
      </c>
      <c r="H4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0" s="21">
        <f>IFERROR(Tabla54[[#This Row],[Atendidas]]/Tabla54[[#This Row],[Recibidas]],0)</f>
        <v>0</v>
      </c>
    </row>
    <row r="421" spans="2:9" x14ac:dyDescent="0.3">
      <c r="B421" s="25">
        <f t="shared" si="19"/>
        <v>46212</v>
      </c>
      <c r="C421" s="26">
        <v>0.64583333333333304</v>
      </c>
      <c r="D421" s="19">
        <f>+SUMIFS(Regiones[Ofrecidas],Regiones[Fecha],Tabla54[[#This Row],[Fecha]],Regiones[Intervalo],Tabla54[[#This Row],[Intervalo]],Regiones[Skill],'BUPA Seguros'!$L$3)</f>
        <v>0</v>
      </c>
      <c r="E421" s="19">
        <f>+SUMIFS(Regiones[Contestadas],Regiones[Fecha],Tabla54[[#This Row],[Fecha]],Regiones[Intervalo],Tabla54[[#This Row],[Intervalo]],Regiones[Skill],'BUPA Seguros'!$L$3)</f>
        <v>0</v>
      </c>
      <c r="F421" s="20">
        <v>29.110334434847452</v>
      </c>
      <c r="G421" s="19">
        <f>IFERROR(SUMIFS(Regiones[TMO],Regiones[Fecha],Tabla54[[#This Row],[Fecha]],Regiones[Intervalo],Tabla54[[#This Row],[Intervalo]],Regiones[Skill],'BUPA Seguros'!$L$3)/Tabla54[[#This Row],[Atendidas]],0)</f>
        <v>0</v>
      </c>
      <c r="H4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1" s="21">
        <f>IFERROR(Tabla54[[#This Row],[Atendidas]]/Tabla54[[#This Row],[Recibidas]],0)</f>
        <v>0</v>
      </c>
    </row>
    <row r="422" spans="2:9" x14ac:dyDescent="0.3">
      <c r="B422" s="27">
        <f t="shared" si="19"/>
        <v>46212</v>
      </c>
      <c r="C422" s="18">
        <v>0.66666666666666696</v>
      </c>
      <c r="D422" s="19">
        <f>+SUMIFS(Regiones[Ofrecidas],Regiones[Fecha],Tabla54[[#This Row],[Fecha]],Regiones[Intervalo],Tabla54[[#This Row],[Intervalo]],Regiones[Skill],'BUPA Seguros'!$L$3)</f>
        <v>0</v>
      </c>
      <c r="E422" s="19">
        <f>+SUMIFS(Regiones[Contestadas],Regiones[Fecha],Tabla54[[#This Row],[Fecha]],Regiones[Intervalo],Tabla54[[#This Row],[Intervalo]],Regiones[Skill],'BUPA Seguros'!$L$3)</f>
        <v>0</v>
      </c>
      <c r="F422" s="20">
        <v>29.447650013466777</v>
      </c>
      <c r="G422" s="19">
        <f>IFERROR(SUMIFS(Regiones[TMO],Regiones[Fecha],Tabla54[[#This Row],[Fecha]],Regiones[Intervalo],Tabla54[[#This Row],[Intervalo]],Regiones[Skill],'BUPA Seguros'!$L$3)/Tabla54[[#This Row],[Atendidas]],0)</f>
        <v>0</v>
      </c>
      <c r="H4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2" s="21">
        <f>IFERROR(Tabla54[[#This Row],[Atendidas]]/Tabla54[[#This Row],[Recibidas]],0)</f>
        <v>0</v>
      </c>
    </row>
    <row r="423" spans="2:9" x14ac:dyDescent="0.3">
      <c r="B423" s="25">
        <f t="shared" si="19"/>
        <v>46212</v>
      </c>
      <c r="C423" s="26">
        <v>0.6875</v>
      </c>
      <c r="D423" s="19">
        <f>+SUMIFS(Regiones[Ofrecidas],Regiones[Fecha],Tabla54[[#This Row],[Fecha]],Regiones[Intervalo],Tabla54[[#This Row],[Intervalo]],Regiones[Skill],'BUPA Seguros'!$L$3)</f>
        <v>0</v>
      </c>
      <c r="E423" s="19">
        <f>+SUMIFS(Regiones[Contestadas],Regiones[Fecha],Tabla54[[#This Row],[Fecha]],Regiones[Intervalo],Tabla54[[#This Row],[Intervalo]],Regiones[Skill],'BUPA Seguros'!$L$3)</f>
        <v>0</v>
      </c>
      <c r="F423" s="20">
        <v>29.236827776829699</v>
      </c>
      <c r="G423" s="19">
        <f>IFERROR(SUMIFS(Regiones[TMO],Regiones[Fecha],Tabla54[[#This Row],[Fecha]],Regiones[Intervalo],Tabla54[[#This Row],[Intervalo]],Regiones[Skill],'BUPA Seguros'!$L$3)/Tabla54[[#This Row],[Atendidas]],0)</f>
        <v>0</v>
      </c>
      <c r="H4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3" s="21">
        <f>IFERROR(Tabla54[[#This Row],[Atendidas]]/Tabla54[[#This Row],[Recibidas]],0)</f>
        <v>0</v>
      </c>
    </row>
    <row r="424" spans="2:9" x14ac:dyDescent="0.3">
      <c r="B424" s="27">
        <f t="shared" si="19"/>
        <v>46212</v>
      </c>
      <c r="C424" s="18">
        <v>0.70833333333333304</v>
      </c>
      <c r="D424" s="19">
        <f>+SUMIFS(Regiones[Ofrecidas],Regiones[Fecha],Tabla54[[#This Row],[Fecha]],Regiones[Intervalo],Tabla54[[#This Row],[Intervalo]],Regiones[Skill],'BUPA Seguros'!$L$3)</f>
        <v>0</v>
      </c>
      <c r="E424" s="19">
        <f>+SUMIFS(Regiones[Contestadas],Regiones[Fecha],Tabla54[[#This Row],[Fecha]],Regiones[Intervalo],Tabla54[[#This Row],[Intervalo]],Regiones[Skill],'BUPA Seguros'!$L$3)</f>
        <v>0</v>
      </c>
      <c r="F424" s="20">
        <v>29.055520653321814</v>
      </c>
      <c r="G424" s="19">
        <f>IFERROR(SUMIFS(Regiones[TMO],Regiones[Fecha],Tabla54[[#This Row],[Fecha]],Regiones[Intervalo],Tabla54[[#This Row],[Intervalo]],Regiones[Skill],'BUPA Seguros'!$L$3)/Tabla54[[#This Row],[Atendidas]],0)</f>
        <v>0</v>
      </c>
      <c r="H4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4" s="21">
        <f>IFERROR(Tabla54[[#This Row],[Atendidas]]/Tabla54[[#This Row],[Recibidas]],0)</f>
        <v>0</v>
      </c>
    </row>
    <row r="425" spans="2:9" x14ac:dyDescent="0.3">
      <c r="B425" s="25">
        <f t="shared" si="19"/>
        <v>46212</v>
      </c>
      <c r="C425" s="26">
        <v>0.72916666666666696</v>
      </c>
      <c r="D425" s="19">
        <f>+SUMIFS(Regiones[Ofrecidas],Regiones[Fecha],Tabla54[[#This Row],[Fecha]],Regiones[Intervalo],Tabla54[[#This Row],[Intervalo]],Regiones[Skill],'BUPA Seguros'!$L$3)</f>
        <v>0</v>
      </c>
      <c r="E425" s="19">
        <f>+SUMIFS(Regiones[Contestadas],Regiones[Fecha],Tabla54[[#This Row],[Fecha]],Regiones[Intervalo],Tabla54[[#This Row],[Intervalo]],Regiones[Skill],'BUPA Seguros'!$L$3)</f>
        <v>0</v>
      </c>
      <c r="F425" s="20">
        <v>27.967677912274503</v>
      </c>
      <c r="G425" s="19">
        <f>IFERROR(SUMIFS(Regiones[TMO],Regiones[Fecha],Tabla54[[#This Row],[Fecha]],Regiones[Intervalo],Tabla54[[#This Row],[Intervalo]],Regiones[Skill],'BUPA Seguros'!$L$3)/Tabla54[[#This Row],[Atendidas]],0)</f>
        <v>0</v>
      </c>
      <c r="H4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5" s="21">
        <f>IFERROR(Tabla54[[#This Row],[Atendidas]]/Tabla54[[#This Row],[Recibidas]],0)</f>
        <v>0</v>
      </c>
    </row>
    <row r="426" spans="2:9" x14ac:dyDescent="0.3">
      <c r="B426" s="27">
        <f t="shared" si="19"/>
        <v>46212</v>
      </c>
      <c r="C426" s="18">
        <v>0.75</v>
      </c>
      <c r="D426" s="19">
        <f>+SUMIFS(Regiones[Ofrecidas],Regiones[Fecha],Tabla54[[#This Row],[Fecha]],Regiones[Intervalo],Tabla54[[#This Row],[Intervalo]],Regiones[Skill],'BUPA Seguros'!$L$3)</f>
        <v>0</v>
      </c>
      <c r="E426" s="19">
        <f>+SUMIFS(Regiones[Contestadas],Regiones[Fecha],Tabla54[[#This Row],[Fecha]],Regiones[Intervalo],Tabla54[[#This Row],[Intervalo]],Regiones[Skill],'BUPA Seguros'!$L$3)</f>
        <v>0</v>
      </c>
      <c r="F426" s="20">
        <v>0</v>
      </c>
      <c r="G426" s="19">
        <f>IFERROR(SUMIFS(Regiones[TMO],Regiones[Fecha],Tabla54[[#This Row],[Fecha]],Regiones[Intervalo],Tabla54[[#This Row],[Intervalo]],Regiones[Skill],'BUPA Seguros'!$L$3)/Tabla54[[#This Row],[Atendidas]],0)</f>
        <v>0</v>
      </c>
      <c r="H4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6" s="21">
        <f>IFERROR(Tabla54[[#This Row],[Atendidas]]/Tabla54[[#This Row],[Recibidas]],0)</f>
        <v>0</v>
      </c>
    </row>
    <row r="427" spans="2:9" x14ac:dyDescent="0.3">
      <c r="B427" s="25">
        <f t="shared" si="19"/>
        <v>46212</v>
      </c>
      <c r="C427" s="26">
        <v>0.77083333333333304</v>
      </c>
      <c r="D427" s="19">
        <f>+SUMIFS(Regiones[Ofrecidas],Regiones[Fecha],Tabla54[[#This Row],[Fecha]],Regiones[Intervalo],Tabla54[[#This Row],[Intervalo]],Regiones[Skill],'BUPA Seguros'!$L$3)</f>
        <v>0</v>
      </c>
      <c r="E427" s="19">
        <f>+SUMIFS(Regiones[Contestadas],Regiones[Fecha],Tabla54[[#This Row],[Fecha]],Regiones[Intervalo],Tabla54[[#This Row],[Intervalo]],Regiones[Skill],'BUPA Seguros'!$L$3)</f>
        <v>0</v>
      </c>
      <c r="F427" s="20">
        <v>0</v>
      </c>
      <c r="G427" s="19">
        <f>IFERROR(SUMIFS(Regiones[TMO],Regiones[Fecha],Tabla54[[#This Row],[Fecha]],Regiones[Intervalo],Tabla54[[#This Row],[Intervalo]],Regiones[Skill],'BUPA Seguros'!$L$3)/Tabla54[[#This Row],[Atendidas]],0)</f>
        <v>0</v>
      </c>
      <c r="H4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7" s="21">
        <f>IFERROR(Tabla54[[#This Row],[Atendidas]]/Tabla54[[#This Row],[Recibidas]],0)</f>
        <v>0</v>
      </c>
    </row>
    <row r="428" spans="2:9" x14ac:dyDescent="0.3">
      <c r="B428" s="27">
        <f t="shared" si="19"/>
        <v>46212</v>
      </c>
      <c r="C428" s="18">
        <v>0.79166666666666696</v>
      </c>
      <c r="D428" s="19">
        <f>+SUMIFS(Regiones[Ofrecidas],Regiones[Fecha],Tabla54[[#This Row],[Fecha]],Regiones[Intervalo],Tabla54[[#This Row],[Intervalo]],Regiones[Skill],'BUPA Seguros'!$L$3)</f>
        <v>0</v>
      </c>
      <c r="E428" s="19">
        <f>+SUMIFS(Regiones[Contestadas],Regiones[Fecha],Tabla54[[#This Row],[Fecha]],Regiones[Intervalo],Tabla54[[#This Row],[Intervalo]],Regiones[Skill],'BUPA Seguros'!$L$3)</f>
        <v>0</v>
      </c>
      <c r="F428" s="20">
        <v>0</v>
      </c>
      <c r="G428" s="19">
        <f>IFERROR(SUMIFS(Regiones[TMO],Regiones[Fecha],Tabla54[[#This Row],[Fecha]],Regiones[Intervalo],Tabla54[[#This Row],[Intervalo]],Regiones[Skill],'BUPA Seguros'!$L$3)/Tabla54[[#This Row],[Atendidas]],0)</f>
        <v>0</v>
      </c>
      <c r="H4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8" s="21">
        <f>IFERROR(Tabla54[[#This Row],[Atendidas]]/Tabla54[[#This Row],[Recibidas]],0)</f>
        <v>0</v>
      </c>
    </row>
    <row r="429" spans="2:9" x14ac:dyDescent="0.3">
      <c r="B429" s="25">
        <f t="shared" si="19"/>
        <v>46212</v>
      </c>
      <c r="C429" s="26">
        <v>0.8125</v>
      </c>
      <c r="D429" s="19">
        <f>+SUMIFS(Regiones[Ofrecidas],Regiones[Fecha],Tabla54[[#This Row],[Fecha]],Regiones[Intervalo],Tabla54[[#This Row],[Intervalo]],Regiones[Skill],'BUPA Seguros'!$L$3)</f>
        <v>0</v>
      </c>
      <c r="E429" s="19">
        <f>+SUMIFS(Regiones[Contestadas],Regiones[Fecha],Tabla54[[#This Row],[Fecha]],Regiones[Intervalo],Tabla54[[#This Row],[Intervalo]],Regiones[Skill],'BUPA Seguros'!$L$3)</f>
        <v>0</v>
      </c>
      <c r="F429" s="20">
        <v>0</v>
      </c>
      <c r="G429" s="19">
        <f>IFERROR(SUMIFS(Regiones[TMO],Regiones[Fecha],Tabla54[[#This Row],[Fecha]],Regiones[Intervalo],Tabla54[[#This Row],[Intervalo]],Regiones[Skill],'BUPA Seguros'!$L$3)/Tabla54[[#This Row],[Atendidas]],0)</f>
        <v>0</v>
      </c>
      <c r="H4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29" s="21">
        <f>IFERROR(Tabla54[[#This Row],[Atendidas]]/Tabla54[[#This Row],[Recibidas]],0)</f>
        <v>0</v>
      </c>
    </row>
    <row r="430" spans="2:9" x14ac:dyDescent="0.3">
      <c r="B430" s="27">
        <f t="shared" si="19"/>
        <v>46212</v>
      </c>
      <c r="C430" s="18">
        <v>0.83333333333333304</v>
      </c>
      <c r="D430" s="19">
        <f>+SUMIFS(Regiones[Ofrecidas],Regiones[Fecha],Tabla54[[#This Row],[Fecha]],Regiones[Intervalo],Tabla54[[#This Row],[Intervalo]],Regiones[Skill],'BUPA Seguros'!$L$3)</f>
        <v>0</v>
      </c>
      <c r="E430" s="19">
        <f>+SUMIFS(Regiones[Contestadas],Regiones[Fecha],Tabla54[[#This Row],[Fecha]],Regiones[Intervalo],Tabla54[[#This Row],[Intervalo]],Regiones[Skill],'BUPA Seguros'!$L$3)</f>
        <v>0</v>
      </c>
      <c r="F430" s="20">
        <v>0</v>
      </c>
      <c r="G430" s="19">
        <f>IFERROR(SUMIFS(Regiones[TMO],Regiones[Fecha],Tabla54[[#This Row],[Fecha]],Regiones[Intervalo],Tabla54[[#This Row],[Intervalo]],Regiones[Skill],'BUPA Seguros'!$L$3)/Tabla54[[#This Row],[Atendidas]],0)</f>
        <v>0</v>
      </c>
      <c r="H4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0" s="21">
        <f>IFERROR(Tabla54[[#This Row],[Atendidas]]/Tabla54[[#This Row],[Recibidas]],0)</f>
        <v>0</v>
      </c>
    </row>
    <row r="431" spans="2:9" x14ac:dyDescent="0.3">
      <c r="B431" s="25">
        <f t="shared" si="19"/>
        <v>46212</v>
      </c>
      <c r="C431" s="26">
        <v>0.85416666666666696</v>
      </c>
      <c r="D431" s="19">
        <f>+SUMIFS(Regiones[Ofrecidas],Regiones[Fecha],Tabla54[[#This Row],[Fecha]],Regiones[Intervalo],Tabla54[[#This Row],[Intervalo]],Regiones[Skill],'BUPA Seguros'!$L$3)</f>
        <v>0</v>
      </c>
      <c r="E431" s="19">
        <f>+SUMIFS(Regiones[Contestadas],Regiones[Fecha],Tabla54[[#This Row],[Fecha]],Regiones[Intervalo],Tabla54[[#This Row],[Intervalo]],Regiones[Skill],'BUPA Seguros'!$L$3)</f>
        <v>0</v>
      </c>
      <c r="F431" s="20">
        <v>0</v>
      </c>
      <c r="G431" s="19">
        <f>IFERROR(SUMIFS(Regiones[TMO],Regiones[Fecha],Tabla54[[#This Row],[Fecha]],Regiones[Intervalo],Tabla54[[#This Row],[Intervalo]],Regiones[Skill],'BUPA Seguros'!$L$3)/Tabla54[[#This Row],[Atendidas]],0)</f>
        <v>0</v>
      </c>
      <c r="H4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1" s="21">
        <f>IFERROR(Tabla54[[#This Row],[Atendidas]]/Tabla54[[#This Row],[Recibidas]],0)</f>
        <v>0</v>
      </c>
    </row>
    <row r="432" spans="2:9" x14ac:dyDescent="0.3">
      <c r="B432" s="27">
        <f t="shared" si="19"/>
        <v>46212</v>
      </c>
      <c r="C432" s="18">
        <v>0.875</v>
      </c>
      <c r="D432" s="19">
        <f>+SUMIFS(Regiones[Ofrecidas],Regiones[Fecha],Tabla54[[#This Row],[Fecha]],Regiones[Intervalo],Tabla54[[#This Row],[Intervalo]],Regiones[Skill],'BUPA Seguros'!$L$3)</f>
        <v>0</v>
      </c>
      <c r="E432" s="19">
        <f>+SUMIFS(Regiones[Contestadas],Regiones[Fecha],Tabla54[[#This Row],[Fecha]],Regiones[Intervalo],Tabla54[[#This Row],[Intervalo]],Regiones[Skill],'BUPA Seguros'!$L$3)</f>
        <v>0</v>
      </c>
      <c r="F432" s="20">
        <v>0</v>
      </c>
      <c r="G432" s="19">
        <f>IFERROR(SUMIFS(Regiones[TMO],Regiones[Fecha],Tabla54[[#This Row],[Fecha]],Regiones[Intervalo],Tabla54[[#This Row],[Intervalo]],Regiones[Skill],'BUPA Seguros'!$L$3)/Tabla54[[#This Row],[Atendidas]],0)</f>
        <v>0</v>
      </c>
      <c r="H4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2" s="21">
        <f>IFERROR(Tabla54[[#This Row],[Atendidas]]/Tabla54[[#This Row],[Recibidas]],0)</f>
        <v>0</v>
      </c>
    </row>
    <row r="433" spans="2:9" x14ac:dyDescent="0.3">
      <c r="B433" s="25">
        <f t="shared" si="19"/>
        <v>46212</v>
      </c>
      <c r="C433" s="26">
        <v>0.89583333333333304</v>
      </c>
      <c r="D433" s="19">
        <f>+SUMIFS(Regiones[Ofrecidas],Regiones[Fecha],Tabla54[[#This Row],[Fecha]],Regiones[Intervalo],Tabla54[[#This Row],[Intervalo]],Regiones[Skill],'BUPA Seguros'!$L$3)</f>
        <v>0</v>
      </c>
      <c r="E433" s="19">
        <f>+SUMIFS(Regiones[Contestadas],Regiones[Fecha],Tabla54[[#This Row],[Fecha]],Regiones[Intervalo],Tabla54[[#This Row],[Intervalo]],Regiones[Skill],'BUPA Seguros'!$L$3)</f>
        <v>0</v>
      </c>
      <c r="F433" s="20">
        <v>0</v>
      </c>
      <c r="G433" s="19">
        <f>IFERROR(SUMIFS(Regiones[TMO],Regiones[Fecha],Tabla54[[#This Row],[Fecha]],Regiones[Intervalo],Tabla54[[#This Row],[Intervalo]],Regiones[Skill],'BUPA Seguros'!$L$3)/Tabla54[[#This Row],[Atendidas]],0)</f>
        <v>0</v>
      </c>
      <c r="H4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3" s="21">
        <f>IFERROR(Tabla54[[#This Row],[Atendidas]]/Tabla54[[#This Row],[Recibidas]],0)</f>
        <v>0</v>
      </c>
    </row>
    <row r="434" spans="2:9" x14ac:dyDescent="0.3">
      <c r="B434" s="27">
        <f t="shared" si="19"/>
        <v>46212</v>
      </c>
      <c r="C434" s="18">
        <v>0.91666666666666696</v>
      </c>
      <c r="D434" s="19">
        <f>+SUMIFS(Regiones[Ofrecidas],Regiones[Fecha],Tabla54[[#This Row],[Fecha]],Regiones[Intervalo],Tabla54[[#This Row],[Intervalo]],Regiones[Skill],'BUPA Seguros'!$L$3)</f>
        <v>0</v>
      </c>
      <c r="E434" s="19">
        <f>+SUMIFS(Regiones[Contestadas],Regiones[Fecha],Tabla54[[#This Row],[Fecha]],Regiones[Intervalo],Tabla54[[#This Row],[Intervalo]],Regiones[Skill],'BUPA Seguros'!$L$3)</f>
        <v>0</v>
      </c>
      <c r="F434" s="20">
        <v>0</v>
      </c>
      <c r="G434" s="19">
        <f>IFERROR(SUMIFS(Regiones[TMO],Regiones[Fecha],Tabla54[[#This Row],[Fecha]],Regiones[Intervalo],Tabla54[[#This Row],[Intervalo]],Regiones[Skill],'BUPA Seguros'!$L$3)/Tabla54[[#This Row],[Atendidas]],0)</f>
        <v>0</v>
      </c>
      <c r="H4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4" s="21">
        <f>IFERROR(Tabla54[[#This Row],[Atendidas]]/Tabla54[[#This Row],[Recibidas]],0)</f>
        <v>0</v>
      </c>
    </row>
    <row r="435" spans="2:9" x14ac:dyDescent="0.3">
      <c r="B435" s="25">
        <f t="shared" si="19"/>
        <v>46212</v>
      </c>
      <c r="C435" s="26">
        <v>0.9375</v>
      </c>
      <c r="D435" s="19">
        <f>+SUMIFS(Regiones[Ofrecidas],Regiones[Fecha],Tabla54[[#This Row],[Fecha]],Regiones[Intervalo],Tabla54[[#This Row],[Intervalo]],Regiones[Skill],'BUPA Seguros'!$L$3)</f>
        <v>0</v>
      </c>
      <c r="E435" s="19">
        <f>+SUMIFS(Regiones[Contestadas],Regiones[Fecha],Tabla54[[#This Row],[Fecha]],Regiones[Intervalo],Tabla54[[#This Row],[Intervalo]],Regiones[Skill],'BUPA Seguros'!$L$3)</f>
        <v>0</v>
      </c>
      <c r="F435" s="20">
        <v>0</v>
      </c>
      <c r="G435" s="19">
        <f>IFERROR(SUMIFS(Regiones[TMO],Regiones[Fecha],Tabla54[[#This Row],[Fecha]],Regiones[Intervalo],Tabla54[[#This Row],[Intervalo]],Regiones[Skill],'BUPA Seguros'!$L$3)/Tabla54[[#This Row],[Atendidas]],0)</f>
        <v>0</v>
      </c>
      <c r="H4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5" s="21">
        <f>IFERROR(Tabla54[[#This Row],[Atendidas]]/Tabla54[[#This Row],[Recibidas]],0)</f>
        <v>0</v>
      </c>
    </row>
    <row r="436" spans="2:9" x14ac:dyDescent="0.3">
      <c r="B436" s="27">
        <f t="shared" si="19"/>
        <v>46212</v>
      </c>
      <c r="C436" s="18">
        <v>0.95833333333333304</v>
      </c>
      <c r="D436" s="19">
        <f>+SUMIFS(Regiones[Ofrecidas],Regiones[Fecha],Tabla54[[#This Row],[Fecha]],Regiones[Intervalo],Tabla54[[#This Row],[Intervalo]],Regiones[Skill],'BUPA Seguros'!$L$3)</f>
        <v>0</v>
      </c>
      <c r="E436" s="19">
        <f>+SUMIFS(Regiones[Contestadas],Regiones[Fecha],Tabla54[[#This Row],[Fecha]],Regiones[Intervalo],Tabla54[[#This Row],[Intervalo]],Regiones[Skill],'BUPA Seguros'!$L$3)</f>
        <v>0</v>
      </c>
      <c r="F436" s="20">
        <v>0</v>
      </c>
      <c r="G436" s="19">
        <f>IFERROR(SUMIFS(Regiones[TMO],Regiones[Fecha],Tabla54[[#This Row],[Fecha]],Regiones[Intervalo],Tabla54[[#This Row],[Intervalo]],Regiones[Skill],'BUPA Seguros'!$L$3)/Tabla54[[#This Row],[Atendidas]],0)</f>
        <v>0</v>
      </c>
      <c r="H4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6" s="21">
        <f>IFERROR(Tabla54[[#This Row],[Atendidas]]/Tabla54[[#This Row],[Recibidas]],0)</f>
        <v>0</v>
      </c>
    </row>
    <row r="437" spans="2:9" x14ac:dyDescent="0.3">
      <c r="B437" s="25">
        <f t="shared" si="19"/>
        <v>46212</v>
      </c>
      <c r="C437" s="26">
        <v>0.97916666666666696</v>
      </c>
      <c r="D437" s="19">
        <f>+SUMIFS(Regiones[Ofrecidas],Regiones[Fecha],Tabla54[[#This Row],[Fecha]],Regiones[Intervalo],Tabla54[[#This Row],[Intervalo]],Regiones[Skill],'BUPA Seguros'!$L$3)</f>
        <v>0</v>
      </c>
      <c r="E437" s="19">
        <f>+SUMIFS(Regiones[Contestadas],Regiones[Fecha],Tabla54[[#This Row],[Fecha]],Regiones[Intervalo],Tabla54[[#This Row],[Intervalo]],Regiones[Skill],'BUPA Seguros'!$L$3)</f>
        <v>0</v>
      </c>
      <c r="F437" s="20">
        <v>0</v>
      </c>
      <c r="G437" s="19">
        <f>IFERROR(SUMIFS(Regiones[TMO],Regiones[Fecha],Tabla54[[#This Row],[Fecha]],Regiones[Intervalo],Tabla54[[#This Row],[Intervalo]],Regiones[Skill],'BUPA Seguros'!$L$3)/Tabla54[[#This Row],[Atendidas]],0)</f>
        <v>0</v>
      </c>
      <c r="H4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7" s="21">
        <f>IFERROR(Tabla54[[#This Row],[Atendidas]]/Tabla54[[#This Row],[Recibidas]],0)</f>
        <v>0</v>
      </c>
    </row>
    <row r="438" spans="2:9" x14ac:dyDescent="0.3">
      <c r="B438" s="27">
        <f>+B437+1</f>
        <v>46213</v>
      </c>
      <c r="C438" s="18">
        <v>0</v>
      </c>
      <c r="D438" s="19">
        <f>+SUMIFS(Regiones[Ofrecidas],Regiones[Fecha],Tabla54[[#This Row],[Fecha]],Regiones[Intervalo],Tabla54[[#This Row],[Intervalo]],Regiones[Skill],'BUPA Seguros'!$L$3)</f>
        <v>0</v>
      </c>
      <c r="E438" s="19">
        <f>+SUMIFS(Regiones[Contestadas],Regiones[Fecha],Tabla54[[#This Row],[Fecha]],Regiones[Intervalo],Tabla54[[#This Row],[Intervalo]],Regiones[Skill],'BUPA Seguros'!$L$3)</f>
        <v>0</v>
      </c>
      <c r="F438" s="20">
        <v>0</v>
      </c>
      <c r="G438" s="19">
        <f>IFERROR(SUMIFS(Regiones[TMO],Regiones[Fecha],Tabla54[[#This Row],[Fecha]],Regiones[Intervalo],Tabla54[[#This Row],[Intervalo]],Regiones[Skill],'BUPA Seguros'!$L$3)/Tabla54[[#This Row],[Atendidas]],0)</f>
        <v>0</v>
      </c>
      <c r="H4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8" s="21">
        <f>IFERROR(Tabla54[[#This Row],[Atendidas]]/Tabla54[[#This Row],[Recibidas]],0)</f>
        <v>0</v>
      </c>
    </row>
    <row r="439" spans="2:9" x14ac:dyDescent="0.3">
      <c r="B439" s="25">
        <f>+B438</f>
        <v>46213</v>
      </c>
      <c r="C439" s="26">
        <v>2.0833333333333332E-2</v>
      </c>
      <c r="D439" s="19">
        <f>+SUMIFS(Regiones[Ofrecidas],Regiones[Fecha],Tabla54[[#This Row],[Fecha]],Regiones[Intervalo],Tabla54[[#This Row],[Intervalo]],Regiones[Skill],'BUPA Seguros'!$L$3)</f>
        <v>0</v>
      </c>
      <c r="E439" s="19">
        <f>+SUMIFS(Regiones[Contestadas],Regiones[Fecha],Tabla54[[#This Row],[Fecha]],Regiones[Intervalo],Tabla54[[#This Row],[Intervalo]],Regiones[Skill],'BUPA Seguros'!$L$3)</f>
        <v>0</v>
      </c>
      <c r="F439" s="20">
        <v>0</v>
      </c>
      <c r="G439" s="19">
        <f>IFERROR(SUMIFS(Regiones[TMO],Regiones[Fecha],Tabla54[[#This Row],[Fecha]],Regiones[Intervalo],Tabla54[[#This Row],[Intervalo]],Regiones[Skill],'BUPA Seguros'!$L$3)/Tabla54[[#This Row],[Atendidas]],0)</f>
        <v>0</v>
      </c>
      <c r="H4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39" s="21">
        <f>IFERROR(Tabla54[[#This Row],[Atendidas]]/Tabla54[[#This Row],[Recibidas]],0)</f>
        <v>0</v>
      </c>
    </row>
    <row r="440" spans="2:9" x14ac:dyDescent="0.3">
      <c r="B440" s="27">
        <f t="shared" ref="B440:B485" si="20">+B439</f>
        <v>46213</v>
      </c>
      <c r="C440" s="18">
        <v>4.1666666666666699E-2</v>
      </c>
      <c r="D440" s="19">
        <f>+SUMIFS(Regiones[Ofrecidas],Regiones[Fecha],Tabla54[[#This Row],[Fecha]],Regiones[Intervalo],Tabla54[[#This Row],[Intervalo]],Regiones[Skill],'BUPA Seguros'!$L$3)</f>
        <v>0</v>
      </c>
      <c r="E440" s="19">
        <f>+SUMIFS(Regiones[Contestadas],Regiones[Fecha],Tabla54[[#This Row],[Fecha]],Regiones[Intervalo],Tabla54[[#This Row],[Intervalo]],Regiones[Skill],'BUPA Seguros'!$L$3)</f>
        <v>0</v>
      </c>
      <c r="F440" s="20">
        <v>0</v>
      </c>
      <c r="G440" s="19">
        <f>IFERROR(SUMIFS(Regiones[TMO],Regiones[Fecha],Tabla54[[#This Row],[Fecha]],Regiones[Intervalo],Tabla54[[#This Row],[Intervalo]],Regiones[Skill],'BUPA Seguros'!$L$3)/Tabla54[[#This Row],[Atendidas]],0)</f>
        <v>0</v>
      </c>
      <c r="H4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0" s="21">
        <f>IFERROR(Tabla54[[#This Row],[Atendidas]]/Tabla54[[#This Row],[Recibidas]],0)</f>
        <v>0</v>
      </c>
    </row>
    <row r="441" spans="2:9" x14ac:dyDescent="0.3">
      <c r="B441" s="25">
        <f t="shared" si="20"/>
        <v>46213</v>
      </c>
      <c r="C441" s="26">
        <v>6.25E-2</v>
      </c>
      <c r="D441" s="19">
        <f>+SUMIFS(Regiones[Ofrecidas],Regiones[Fecha],Tabla54[[#This Row],[Fecha]],Regiones[Intervalo],Tabla54[[#This Row],[Intervalo]],Regiones[Skill],'BUPA Seguros'!$L$3)</f>
        <v>0</v>
      </c>
      <c r="E441" s="19">
        <f>+SUMIFS(Regiones[Contestadas],Regiones[Fecha],Tabla54[[#This Row],[Fecha]],Regiones[Intervalo],Tabla54[[#This Row],[Intervalo]],Regiones[Skill],'BUPA Seguros'!$L$3)</f>
        <v>0</v>
      </c>
      <c r="F441" s="20">
        <v>0</v>
      </c>
      <c r="G441" s="19">
        <f>IFERROR(SUMIFS(Regiones[TMO],Regiones[Fecha],Tabla54[[#This Row],[Fecha]],Regiones[Intervalo],Tabla54[[#This Row],[Intervalo]],Regiones[Skill],'BUPA Seguros'!$L$3)/Tabla54[[#This Row],[Atendidas]],0)</f>
        <v>0</v>
      </c>
      <c r="H4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1" s="21">
        <f>IFERROR(Tabla54[[#This Row],[Atendidas]]/Tabla54[[#This Row],[Recibidas]],0)</f>
        <v>0</v>
      </c>
    </row>
    <row r="442" spans="2:9" x14ac:dyDescent="0.3">
      <c r="B442" s="27">
        <f t="shared" si="20"/>
        <v>46213</v>
      </c>
      <c r="C442" s="18">
        <v>8.3333333333333301E-2</v>
      </c>
      <c r="D442" s="19">
        <f>+SUMIFS(Regiones[Ofrecidas],Regiones[Fecha],Tabla54[[#This Row],[Fecha]],Regiones[Intervalo],Tabla54[[#This Row],[Intervalo]],Regiones[Skill],'BUPA Seguros'!$L$3)</f>
        <v>0</v>
      </c>
      <c r="E442" s="19">
        <f>+SUMIFS(Regiones[Contestadas],Regiones[Fecha],Tabla54[[#This Row],[Fecha]],Regiones[Intervalo],Tabla54[[#This Row],[Intervalo]],Regiones[Skill],'BUPA Seguros'!$L$3)</f>
        <v>0</v>
      </c>
      <c r="F442" s="20">
        <v>0</v>
      </c>
      <c r="G442" s="19">
        <f>IFERROR(SUMIFS(Regiones[TMO],Regiones[Fecha],Tabla54[[#This Row],[Fecha]],Regiones[Intervalo],Tabla54[[#This Row],[Intervalo]],Regiones[Skill],'BUPA Seguros'!$L$3)/Tabla54[[#This Row],[Atendidas]],0)</f>
        <v>0</v>
      </c>
      <c r="H4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2" s="21">
        <f>IFERROR(Tabla54[[#This Row],[Atendidas]]/Tabla54[[#This Row],[Recibidas]],0)</f>
        <v>0</v>
      </c>
    </row>
    <row r="443" spans="2:9" x14ac:dyDescent="0.3">
      <c r="B443" s="25">
        <f t="shared" si="20"/>
        <v>46213</v>
      </c>
      <c r="C443" s="26">
        <v>0.104166666666667</v>
      </c>
      <c r="D443" s="19">
        <f>+SUMIFS(Regiones[Ofrecidas],Regiones[Fecha],Tabla54[[#This Row],[Fecha]],Regiones[Intervalo],Tabla54[[#This Row],[Intervalo]],Regiones[Skill],'BUPA Seguros'!$L$3)</f>
        <v>0</v>
      </c>
      <c r="E443" s="19">
        <f>+SUMIFS(Regiones[Contestadas],Regiones[Fecha],Tabla54[[#This Row],[Fecha]],Regiones[Intervalo],Tabla54[[#This Row],[Intervalo]],Regiones[Skill],'BUPA Seguros'!$L$3)</f>
        <v>0</v>
      </c>
      <c r="F443" s="20">
        <v>0</v>
      </c>
      <c r="G443" s="19">
        <f>IFERROR(SUMIFS(Regiones[TMO],Regiones[Fecha],Tabla54[[#This Row],[Fecha]],Regiones[Intervalo],Tabla54[[#This Row],[Intervalo]],Regiones[Skill],'BUPA Seguros'!$L$3)/Tabla54[[#This Row],[Atendidas]],0)</f>
        <v>0</v>
      </c>
      <c r="H4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3" s="21">
        <f>IFERROR(Tabla54[[#This Row],[Atendidas]]/Tabla54[[#This Row],[Recibidas]],0)</f>
        <v>0</v>
      </c>
    </row>
    <row r="444" spans="2:9" x14ac:dyDescent="0.3">
      <c r="B444" s="27">
        <f t="shared" si="20"/>
        <v>46213</v>
      </c>
      <c r="C444" s="18">
        <v>0.125</v>
      </c>
      <c r="D444" s="19">
        <f>+SUMIFS(Regiones[Ofrecidas],Regiones[Fecha],Tabla54[[#This Row],[Fecha]],Regiones[Intervalo],Tabla54[[#This Row],[Intervalo]],Regiones[Skill],'BUPA Seguros'!$L$3)</f>
        <v>0</v>
      </c>
      <c r="E444" s="19">
        <f>+SUMIFS(Regiones[Contestadas],Regiones[Fecha],Tabla54[[#This Row],[Fecha]],Regiones[Intervalo],Tabla54[[#This Row],[Intervalo]],Regiones[Skill],'BUPA Seguros'!$L$3)</f>
        <v>0</v>
      </c>
      <c r="F444" s="20">
        <v>0</v>
      </c>
      <c r="G444" s="19">
        <f>IFERROR(SUMIFS(Regiones[TMO],Regiones[Fecha],Tabla54[[#This Row],[Fecha]],Regiones[Intervalo],Tabla54[[#This Row],[Intervalo]],Regiones[Skill],'BUPA Seguros'!$L$3)/Tabla54[[#This Row],[Atendidas]],0)</f>
        <v>0</v>
      </c>
      <c r="H4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4" s="21">
        <f>IFERROR(Tabla54[[#This Row],[Atendidas]]/Tabla54[[#This Row],[Recibidas]],0)</f>
        <v>0</v>
      </c>
    </row>
    <row r="445" spans="2:9" x14ac:dyDescent="0.3">
      <c r="B445" s="25">
        <f t="shared" si="20"/>
        <v>46213</v>
      </c>
      <c r="C445" s="26">
        <v>0.14583333333333301</v>
      </c>
      <c r="D445" s="19">
        <f>+SUMIFS(Regiones[Ofrecidas],Regiones[Fecha],Tabla54[[#This Row],[Fecha]],Regiones[Intervalo],Tabla54[[#This Row],[Intervalo]],Regiones[Skill],'BUPA Seguros'!$L$3)</f>
        <v>0</v>
      </c>
      <c r="E445" s="19">
        <f>+SUMIFS(Regiones[Contestadas],Regiones[Fecha],Tabla54[[#This Row],[Fecha]],Regiones[Intervalo],Tabla54[[#This Row],[Intervalo]],Regiones[Skill],'BUPA Seguros'!$L$3)</f>
        <v>0</v>
      </c>
      <c r="F445" s="20">
        <v>0</v>
      </c>
      <c r="G445" s="19">
        <f>IFERROR(SUMIFS(Regiones[TMO],Regiones[Fecha],Tabla54[[#This Row],[Fecha]],Regiones[Intervalo],Tabla54[[#This Row],[Intervalo]],Regiones[Skill],'BUPA Seguros'!$L$3)/Tabla54[[#This Row],[Atendidas]],0)</f>
        <v>0</v>
      </c>
      <c r="H4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5" s="21">
        <f>IFERROR(Tabla54[[#This Row],[Atendidas]]/Tabla54[[#This Row],[Recibidas]],0)</f>
        <v>0</v>
      </c>
    </row>
    <row r="446" spans="2:9" x14ac:dyDescent="0.3">
      <c r="B446" s="27">
        <f t="shared" si="20"/>
        <v>46213</v>
      </c>
      <c r="C446" s="18">
        <v>0.16666666666666699</v>
      </c>
      <c r="D446" s="19">
        <f>+SUMIFS(Regiones[Ofrecidas],Regiones[Fecha],Tabla54[[#This Row],[Fecha]],Regiones[Intervalo],Tabla54[[#This Row],[Intervalo]],Regiones[Skill],'BUPA Seguros'!$L$3)</f>
        <v>0</v>
      </c>
      <c r="E446" s="19">
        <f>+SUMIFS(Regiones[Contestadas],Regiones[Fecha],Tabla54[[#This Row],[Fecha]],Regiones[Intervalo],Tabla54[[#This Row],[Intervalo]],Regiones[Skill],'BUPA Seguros'!$L$3)</f>
        <v>0</v>
      </c>
      <c r="F446" s="20">
        <v>0</v>
      </c>
      <c r="G446" s="19">
        <f>IFERROR(SUMIFS(Regiones[TMO],Regiones[Fecha],Tabla54[[#This Row],[Fecha]],Regiones[Intervalo],Tabla54[[#This Row],[Intervalo]],Regiones[Skill],'BUPA Seguros'!$L$3)/Tabla54[[#This Row],[Atendidas]],0)</f>
        <v>0</v>
      </c>
      <c r="H4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6" s="21">
        <f>IFERROR(Tabla54[[#This Row],[Atendidas]]/Tabla54[[#This Row],[Recibidas]],0)</f>
        <v>0</v>
      </c>
    </row>
    <row r="447" spans="2:9" x14ac:dyDescent="0.3">
      <c r="B447" s="25">
        <f t="shared" si="20"/>
        <v>46213</v>
      </c>
      <c r="C447" s="26">
        <v>0.1875</v>
      </c>
      <c r="D447" s="19">
        <f>+SUMIFS(Regiones[Ofrecidas],Regiones[Fecha],Tabla54[[#This Row],[Fecha]],Regiones[Intervalo],Tabla54[[#This Row],[Intervalo]],Regiones[Skill],'BUPA Seguros'!$L$3)</f>
        <v>0</v>
      </c>
      <c r="E447" s="19">
        <f>+SUMIFS(Regiones[Contestadas],Regiones[Fecha],Tabla54[[#This Row],[Fecha]],Regiones[Intervalo],Tabla54[[#This Row],[Intervalo]],Regiones[Skill],'BUPA Seguros'!$L$3)</f>
        <v>0</v>
      </c>
      <c r="F447" s="20">
        <v>0</v>
      </c>
      <c r="G447" s="19">
        <f>IFERROR(SUMIFS(Regiones[TMO],Regiones[Fecha],Tabla54[[#This Row],[Fecha]],Regiones[Intervalo],Tabla54[[#This Row],[Intervalo]],Regiones[Skill],'BUPA Seguros'!$L$3)/Tabla54[[#This Row],[Atendidas]],0)</f>
        <v>0</v>
      </c>
      <c r="H4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7" s="21">
        <f>IFERROR(Tabla54[[#This Row],[Atendidas]]/Tabla54[[#This Row],[Recibidas]],0)</f>
        <v>0</v>
      </c>
    </row>
    <row r="448" spans="2:9" x14ac:dyDescent="0.3">
      <c r="B448" s="27">
        <f t="shared" si="20"/>
        <v>46213</v>
      </c>
      <c r="C448" s="18">
        <v>0.20833333333333301</v>
      </c>
      <c r="D448" s="19">
        <f>+SUMIFS(Regiones[Ofrecidas],Regiones[Fecha],Tabla54[[#This Row],[Fecha]],Regiones[Intervalo],Tabla54[[#This Row],[Intervalo]],Regiones[Skill],'BUPA Seguros'!$L$3)</f>
        <v>0</v>
      </c>
      <c r="E448" s="19">
        <f>+SUMIFS(Regiones[Contestadas],Regiones[Fecha],Tabla54[[#This Row],[Fecha]],Regiones[Intervalo],Tabla54[[#This Row],[Intervalo]],Regiones[Skill],'BUPA Seguros'!$L$3)</f>
        <v>0</v>
      </c>
      <c r="F448" s="20">
        <v>0</v>
      </c>
      <c r="G448" s="19">
        <f>IFERROR(SUMIFS(Regiones[TMO],Regiones[Fecha],Tabla54[[#This Row],[Fecha]],Regiones[Intervalo],Tabla54[[#This Row],[Intervalo]],Regiones[Skill],'BUPA Seguros'!$L$3)/Tabla54[[#This Row],[Atendidas]],0)</f>
        <v>0</v>
      </c>
      <c r="H4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8" s="21">
        <f>IFERROR(Tabla54[[#This Row],[Atendidas]]/Tabla54[[#This Row],[Recibidas]],0)</f>
        <v>0</v>
      </c>
    </row>
    <row r="449" spans="2:9" x14ac:dyDescent="0.3">
      <c r="B449" s="25">
        <f t="shared" si="20"/>
        <v>46213</v>
      </c>
      <c r="C449" s="26">
        <v>0.22916666666666699</v>
      </c>
      <c r="D449" s="19">
        <f>+SUMIFS(Regiones[Ofrecidas],Regiones[Fecha],Tabla54[[#This Row],[Fecha]],Regiones[Intervalo],Tabla54[[#This Row],[Intervalo]],Regiones[Skill],'BUPA Seguros'!$L$3)</f>
        <v>0</v>
      </c>
      <c r="E449" s="19">
        <f>+SUMIFS(Regiones[Contestadas],Regiones[Fecha],Tabla54[[#This Row],[Fecha]],Regiones[Intervalo],Tabla54[[#This Row],[Intervalo]],Regiones[Skill],'BUPA Seguros'!$L$3)</f>
        <v>0</v>
      </c>
      <c r="F449" s="20">
        <v>0</v>
      </c>
      <c r="G449" s="19">
        <f>IFERROR(SUMIFS(Regiones[TMO],Regiones[Fecha],Tabla54[[#This Row],[Fecha]],Regiones[Intervalo],Tabla54[[#This Row],[Intervalo]],Regiones[Skill],'BUPA Seguros'!$L$3)/Tabla54[[#This Row],[Atendidas]],0)</f>
        <v>0</v>
      </c>
      <c r="H4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49" s="21">
        <f>IFERROR(Tabla54[[#This Row],[Atendidas]]/Tabla54[[#This Row],[Recibidas]],0)</f>
        <v>0</v>
      </c>
    </row>
    <row r="450" spans="2:9" x14ac:dyDescent="0.3">
      <c r="B450" s="27">
        <f t="shared" si="20"/>
        <v>46213</v>
      </c>
      <c r="C450" s="18">
        <v>0.25</v>
      </c>
      <c r="D450" s="19">
        <f>+SUMIFS(Regiones[Ofrecidas],Regiones[Fecha],Tabla54[[#This Row],[Fecha]],Regiones[Intervalo],Tabla54[[#This Row],[Intervalo]],Regiones[Skill],'BUPA Seguros'!$L$3)</f>
        <v>0</v>
      </c>
      <c r="E450" s="19">
        <f>+SUMIFS(Regiones[Contestadas],Regiones[Fecha],Tabla54[[#This Row],[Fecha]],Regiones[Intervalo],Tabla54[[#This Row],[Intervalo]],Regiones[Skill],'BUPA Seguros'!$L$3)</f>
        <v>0</v>
      </c>
      <c r="F450" s="20">
        <v>0</v>
      </c>
      <c r="G450" s="19">
        <f>IFERROR(SUMIFS(Regiones[TMO],Regiones[Fecha],Tabla54[[#This Row],[Fecha]],Regiones[Intervalo],Tabla54[[#This Row],[Intervalo]],Regiones[Skill],'BUPA Seguros'!$L$3)/Tabla54[[#This Row],[Atendidas]],0)</f>
        <v>0</v>
      </c>
      <c r="H4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0" s="21">
        <f>IFERROR(Tabla54[[#This Row],[Atendidas]]/Tabla54[[#This Row],[Recibidas]],0)</f>
        <v>0</v>
      </c>
    </row>
    <row r="451" spans="2:9" x14ac:dyDescent="0.3">
      <c r="B451" s="25">
        <f t="shared" si="20"/>
        <v>46213</v>
      </c>
      <c r="C451" s="26">
        <v>0.27083333333333298</v>
      </c>
      <c r="D451" s="19">
        <f>+SUMIFS(Regiones[Ofrecidas],Regiones[Fecha],Tabla54[[#This Row],[Fecha]],Regiones[Intervalo],Tabla54[[#This Row],[Intervalo]],Regiones[Skill],'BUPA Seguros'!$L$3)</f>
        <v>0</v>
      </c>
      <c r="E451" s="19">
        <f>+SUMIFS(Regiones[Contestadas],Regiones[Fecha],Tabla54[[#This Row],[Fecha]],Regiones[Intervalo],Tabla54[[#This Row],[Intervalo]],Regiones[Skill],'BUPA Seguros'!$L$3)</f>
        <v>0</v>
      </c>
      <c r="F451" s="20">
        <v>0</v>
      </c>
      <c r="G451" s="19">
        <f>IFERROR(SUMIFS(Regiones[TMO],Regiones[Fecha],Tabla54[[#This Row],[Fecha]],Regiones[Intervalo],Tabla54[[#This Row],[Intervalo]],Regiones[Skill],'BUPA Seguros'!$L$3)/Tabla54[[#This Row],[Atendidas]],0)</f>
        <v>0</v>
      </c>
      <c r="H4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1" s="21">
        <f>IFERROR(Tabla54[[#This Row],[Atendidas]]/Tabla54[[#This Row],[Recibidas]],0)</f>
        <v>0</v>
      </c>
    </row>
    <row r="452" spans="2:9" x14ac:dyDescent="0.3">
      <c r="B452" s="27">
        <f t="shared" si="20"/>
        <v>46213</v>
      </c>
      <c r="C452" s="18">
        <v>0.29166666666666702</v>
      </c>
      <c r="D452" s="19">
        <f>+SUMIFS(Regiones[Ofrecidas],Regiones[Fecha],Tabla54[[#This Row],[Fecha]],Regiones[Intervalo],Tabla54[[#This Row],[Intervalo]],Regiones[Skill],'BUPA Seguros'!$L$3)</f>
        <v>0</v>
      </c>
      <c r="E452" s="19">
        <f>+SUMIFS(Regiones[Contestadas],Regiones[Fecha],Tabla54[[#This Row],[Fecha]],Regiones[Intervalo],Tabla54[[#This Row],[Intervalo]],Regiones[Skill],'BUPA Seguros'!$L$3)</f>
        <v>0</v>
      </c>
      <c r="F452" s="20">
        <v>0</v>
      </c>
      <c r="G452" s="19">
        <f>IFERROR(SUMIFS(Regiones[TMO],Regiones[Fecha],Tabla54[[#This Row],[Fecha]],Regiones[Intervalo],Tabla54[[#This Row],[Intervalo]],Regiones[Skill],'BUPA Seguros'!$L$3)/Tabla54[[#This Row],[Atendidas]],0)</f>
        <v>0</v>
      </c>
      <c r="H4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2" s="21">
        <f>IFERROR(Tabla54[[#This Row],[Atendidas]]/Tabla54[[#This Row],[Recibidas]],0)</f>
        <v>0</v>
      </c>
    </row>
    <row r="453" spans="2:9" x14ac:dyDescent="0.3">
      <c r="B453" s="25">
        <f t="shared" si="20"/>
        <v>46213</v>
      </c>
      <c r="C453" s="26">
        <v>0.3125</v>
      </c>
      <c r="D453" s="19">
        <f>+SUMIFS(Regiones[Ofrecidas],Regiones[Fecha],Tabla54[[#This Row],[Fecha]],Regiones[Intervalo],Tabla54[[#This Row],[Intervalo]],Regiones[Skill],'BUPA Seguros'!$L$3)</f>
        <v>0</v>
      </c>
      <c r="E453" s="19">
        <f>+SUMIFS(Regiones[Contestadas],Regiones[Fecha],Tabla54[[#This Row],[Fecha]],Regiones[Intervalo],Tabla54[[#This Row],[Intervalo]],Regiones[Skill],'BUPA Seguros'!$L$3)</f>
        <v>0</v>
      </c>
      <c r="F453" s="20">
        <v>0</v>
      </c>
      <c r="G453" s="19">
        <f>IFERROR(SUMIFS(Regiones[TMO],Regiones[Fecha],Tabla54[[#This Row],[Fecha]],Regiones[Intervalo],Tabla54[[#This Row],[Intervalo]],Regiones[Skill],'BUPA Seguros'!$L$3)/Tabla54[[#This Row],[Atendidas]],0)</f>
        <v>0</v>
      </c>
      <c r="H4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3" s="21">
        <f>IFERROR(Tabla54[[#This Row],[Atendidas]]/Tabla54[[#This Row],[Recibidas]],0)</f>
        <v>0</v>
      </c>
    </row>
    <row r="454" spans="2:9" x14ac:dyDescent="0.3">
      <c r="B454" s="27">
        <f t="shared" si="20"/>
        <v>46213</v>
      </c>
      <c r="C454" s="18">
        <v>0.33333333333333298</v>
      </c>
      <c r="D454" s="19">
        <f>+SUMIFS(Regiones[Ofrecidas],Regiones[Fecha],Tabla54[[#This Row],[Fecha]],Regiones[Intervalo],Tabla54[[#This Row],[Intervalo]],Regiones[Skill],'BUPA Seguros'!$L$3)</f>
        <v>0</v>
      </c>
      <c r="E454" s="19">
        <f>+SUMIFS(Regiones[Contestadas],Regiones[Fecha],Tabla54[[#This Row],[Fecha]],Regiones[Intervalo],Tabla54[[#This Row],[Intervalo]],Regiones[Skill],'BUPA Seguros'!$L$3)</f>
        <v>0</v>
      </c>
      <c r="F454" s="20">
        <v>0</v>
      </c>
      <c r="G454" s="19">
        <f>IFERROR(SUMIFS(Regiones[TMO],Regiones[Fecha],Tabla54[[#This Row],[Fecha]],Regiones[Intervalo],Tabla54[[#This Row],[Intervalo]],Regiones[Skill],'BUPA Seguros'!$L$3)/Tabla54[[#This Row],[Atendidas]],0)</f>
        <v>0</v>
      </c>
      <c r="H4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4" s="21">
        <f>IFERROR(Tabla54[[#This Row],[Atendidas]]/Tabla54[[#This Row],[Recibidas]],0)</f>
        <v>0</v>
      </c>
    </row>
    <row r="455" spans="2:9" x14ac:dyDescent="0.3">
      <c r="B455" s="25">
        <f t="shared" si="20"/>
        <v>46213</v>
      </c>
      <c r="C455" s="26">
        <v>0.35416666666666702</v>
      </c>
      <c r="D455" s="19">
        <f>+SUMIFS(Regiones[Ofrecidas],Regiones[Fecha],Tabla54[[#This Row],[Fecha]],Regiones[Intervalo],Tabla54[[#This Row],[Intervalo]],Regiones[Skill],'BUPA Seguros'!$L$3)</f>
        <v>0</v>
      </c>
      <c r="E455" s="19">
        <f>+SUMIFS(Regiones[Contestadas],Regiones[Fecha],Tabla54[[#This Row],[Fecha]],Regiones[Intervalo],Tabla54[[#This Row],[Intervalo]],Regiones[Skill],'BUPA Seguros'!$L$3)</f>
        <v>0</v>
      </c>
      <c r="F455" s="20">
        <v>0</v>
      </c>
      <c r="G455" s="19">
        <f>IFERROR(SUMIFS(Regiones[TMO],Regiones[Fecha],Tabla54[[#This Row],[Fecha]],Regiones[Intervalo],Tabla54[[#This Row],[Intervalo]],Regiones[Skill],'BUPA Seguros'!$L$3)/Tabla54[[#This Row],[Atendidas]],0)</f>
        <v>0</v>
      </c>
      <c r="H4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5" s="21">
        <f>IFERROR(Tabla54[[#This Row],[Atendidas]]/Tabla54[[#This Row],[Recibidas]],0)</f>
        <v>0</v>
      </c>
    </row>
    <row r="456" spans="2:9" x14ac:dyDescent="0.3">
      <c r="B456" s="27">
        <f t="shared" si="20"/>
        <v>46213</v>
      </c>
      <c r="C456" s="18">
        <v>0.375</v>
      </c>
      <c r="D456" s="19">
        <f>+SUMIFS(Regiones[Ofrecidas],Regiones[Fecha],Tabla54[[#This Row],[Fecha]],Regiones[Intervalo],Tabla54[[#This Row],[Intervalo]],Regiones[Skill],'BUPA Seguros'!$L$3)</f>
        <v>0</v>
      </c>
      <c r="E456" s="19">
        <f>+SUMIFS(Regiones[Contestadas],Regiones[Fecha],Tabla54[[#This Row],[Fecha]],Regiones[Intervalo],Tabla54[[#This Row],[Intervalo]],Regiones[Skill],'BUPA Seguros'!$L$3)</f>
        <v>0</v>
      </c>
      <c r="F456" s="20">
        <v>25.868615834602206</v>
      </c>
      <c r="G456" s="19">
        <f>IFERROR(SUMIFS(Regiones[TMO],Regiones[Fecha],Tabla54[[#This Row],[Fecha]],Regiones[Intervalo],Tabla54[[#This Row],[Intervalo]],Regiones[Skill],'BUPA Seguros'!$L$3)/Tabla54[[#This Row],[Atendidas]],0)</f>
        <v>0</v>
      </c>
      <c r="H4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6" s="21">
        <f>IFERROR(Tabla54[[#This Row],[Atendidas]]/Tabla54[[#This Row],[Recibidas]],0)</f>
        <v>0</v>
      </c>
    </row>
    <row r="457" spans="2:9" x14ac:dyDescent="0.3">
      <c r="B457" s="25">
        <f t="shared" si="20"/>
        <v>46213</v>
      </c>
      <c r="C457" s="26">
        <v>0.39583333333333298</v>
      </c>
      <c r="D457" s="19">
        <f>+SUMIFS(Regiones[Ofrecidas],Regiones[Fecha],Tabla54[[#This Row],[Fecha]],Regiones[Intervalo],Tabla54[[#This Row],[Intervalo]],Regiones[Skill],'BUPA Seguros'!$L$3)</f>
        <v>0</v>
      </c>
      <c r="E457" s="19">
        <f>+SUMIFS(Regiones[Contestadas],Regiones[Fecha],Tabla54[[#This Row],[Fecha]],Regiones[Intervalo],Tabla54[[#This Row],[Intervalo]],Regiones[Skill],'BUPA Seguros'!$L$3)</f>
        <v>0</v>
      </c>
      <c r="F457" s="20">
        <v>26.880066453727647</v>
      </c>
      <c r="G457" s="19">
        <f>IFERROR(SUMIFS(Regiones[TMO],Regiones[Fecha],Tabla54[[#This Row],[Fecha]],Regiones[Intervalo],Tabla54[[#This Row],[Intervalo]],Regiones[Skill],'BUPA Seguros'!$L$3)/Tabla54[[#This Row],[Atendidas]],0)</f>
        <v>0</v>
      </c>
      <c r="H4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7" s="21">
        <f>IFERROR(Tabla54[[#This Row],[Atendidas]]/Tabla54[[#This Row],[Recibidas]],0)</f>
        <v>0</v>
      </c>
    </row>
    <row r="458" spans="2:9" x14ac:dyDescent="0.3">
      <c r="B458" s="27">
        <f t="shared" si="20"/>
        <v>46213</v>
      </c>
      <c r="C458" s="18">
        <v>0.41666666666666702</v>
      </c>
      <c r="D458" s="19">
        <f>+SUMIFS(Regiones[Ofrecidas],Regiones[Fecha],Tabla54[[#This Row],[Fecha]],Regiones[Intervalo],Tabla54[[#This Row],[Intervalo]],Regiones[Skill],'BUPA Seguros'!$L$3)</f>
        <v>0</v>
      </c>
      <c r="E458" s="19">
        <f>+SUMIFS(Regiones[Contestadas],Regiones[Fecha],Tabla54[[#This Row],[Fecha]],Regiones[Intervalo],Tabla54[[#This Row],[Intervalo]],Regiones[Skill],'BUPA Seguros'!$L$3)</f>
        <v>0</v>
      </c>
      <c r="F458" s="20">
        <v>28.351267354273741</v>
      </c>
      <c r="G458" s="19">
        <f>IFERROR(SUMIFS(Regiones[TMO],Regiones[Fecha],Tabla54[[#This Row],[Fecha]],Regiones[Intervalo],Tabla54[[#This Row],[Intervalo]],Regiones[Skill],'BUPA Seguros'!$L$3)/Tabla54[[#This Row],[Atendidas]],0)</f>
        <v>0</v>
      </c>
      <c r="H4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8" s="21">
        <f>IFERROR(Tabla54[[#This Row],[Atendidas]]/Tabla54[[#This Row],[Recibidas]],0)</f>
        <v>0</v>
      </c>
    </row>
    <row r="459" spans="2:9" x14ac:dyDescent="0.3">
      <c r="B459" s="25">
        <f t="shared" si="20"/>
        <v>46213</v>
      </c>
      <c r="C459" s="26">
        <v>0.4375</v>
      </c>
      <c r="D459" s="19">
        <f>+SUMIFS(Regiones[Ofrecidas],Regiones[Fecha],Tabla54[[#This Row],[Fecha]],Regiones[Intervalo],Tabla54[[#This Row],[Intervalo]],Regiones[Skill],'BUPA Seguros'!$L$3)</f>
        <v>0</v>
      </c>
      <c r="E459" s="19">
        <f>+SUMIFS(Regiones[Contestadas],Regiones[Fecha],Tabla54[[#This Row],[Fecha]],Regiones[Intervalo],Tabla54[[#This Row],[Intervalo]],Regiones[Skill],'BUPA Seguros'!$L$3)</f>
        <v>0</v>
      </c>
      <c r="F459" s="20">
        <v>28.300183989671446</v>
      </c>
      <c r="G459" s="19">
        <f>IFERROR(SUMIFS(Regiones[TMO],Regiones[Fecha],Tabla54[[#This Row],[Fecha]],Regiones[Intervalo],Tabla54[[#This Row],[Intervalo]],Regiones[Skill],'BUPA Seguros'!$L$3)/Tabla54[[#This Row],[Atendidas]],0)</f>
        <v>0</v>
      </c>
      <c r="H4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59" s="21">
        <f>IFERROR(Tabla54[[#This Row],[Atendidas]]/Tabla54[[#This Row],[Recibidas]],0)</f>
        <v>0</v>
      </c>
    </row>
    <row r="460" spans="2:9" x14ac:dyDescent="0.3">
      <c r="B460" s="27">
        <f t="shared" si="20"/>
        <v>46213</v>
      </c>
      <c r="C460" s="18">
        <v>0.45833333333333298</v>
      </c>
      <c r="D460" s="19">
        <f>+SUMIFS(Regiones[Ofrecidas],Regiones[Fecha],Tabla54[[#This Row],[Fecha]],Regiones[Intervalo],Tabla54[[#This Row],[Intervalo]],Regiones[Skill],'BUPA Seguros'!$L$3)</f>
        <v>0</v>
      </c>
      <c r="E460" s="19">
        <f>+SUMIFS(Regiones[Contestadas],Regiones[Fecha],Tabla54[[#This Row],[Fecha]],Regiones[Intervalo],Tabla54[[#This Row],[Intervalo]],Regiones[Skill],'BUPA Seguros'!$L$3)</f>
        <v>0</v>
      </c>
      <c r="F460" s="20">
        <v>28.102661646542572</v>
      </c>
      <c r="G460" s="19">
        <f>IFERROR(SUMIFS(Regiones[TMO],Regiones[Fecha],Tabla54[[#This Row],[Fecha]],Regiones[Intervalo],Tabla54[[#This Row],[Intervalo]],Regiones[Skill],'BUPA Seguros'!$L$3)/Tabla54[[#This Row],[Atendidas]],0)</f>
        <v>0</v>
      </c>
      <c r="H4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0" s="21">
        <f>IFERROR(Tabla54[[#This Row],[Atendidas]]/Tabla54[[#This Row],[Recibidas]],0)</f>
        <v>0</v>
      </c>
    </row>
    <row r="461" spans="2:9" x14ac:dyDescent="0.3">
      <c r="B461" s="25">
        <f t="shared" si="20"/>
        <v>46213</v>
      </c>
      <c r="C461" s="26">
        <v>0.47916666666666702</v>
      </c>
      <c r="D461" s="19">
        <f>+SUMIFS(Regiones[Ofrecidas],Regiones[Fecha],Tabla54[[#This Row],[Fecha]],Regiones[Intervalo],Tabla54[[#This Row],[Intervalo]],Regiones[Skill],'BUPA Seguros'!$L$3)</f>
        <v>0</v>
      </c>
      <c r="E461" s="19">
        <f>+SUMIFS(Regiones[Contestadas],Regiones[Fecha],Tabla54[[#This Row],[Fecha]],Regiones[Intervalo],Tabla54[[#This Row],[Intervalo]],Regiones[Skill],'BUPA Seguros'!$L$3)</f>
        <v>0</v>
      </c>
      <c r="F461" s="20">
        <v>27.394305657390746</v>
      </c>
      <c r="G461" s="19">
        <f>IFERROR(SUMIFS(Regiones[TMO],Regiones[Fecha],Tabla54[[#This Row],[Fecha]],Regiones[Intervalo],Tabla54[[#This Row],[Intervalo]],Regiones[Skill],'BUPA Seguros'!$L$3)/Tabla54[[#This Row],[Atendidas]],0)</f>
        <v>0</v>
      </c>
      <c r="H4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1" s="21">
        <f>IFERROR(Tabla54[[#This Row],[Atendidas]]/Tabla54[[#This Row],[Recibidas]],0)</f>
        <v>0</v>
      </c>
    </row>
    <row r="462" spans="2:9" x14ac:dyDescent="0.3">
      <c r="B462" s="27">
        <f t="shared" si="20"/>
        <v>46213</v>
      </c>
      <c r="C462" s="18">
        <v>0.5</v>
      </c>
      <c r="D462" s="19">
        <f>+SUMIFS(Regiones[Ofrecidas],Regiones[Fecha],Tabla54[[#This Row],[Fecha]],Regiones[Intervalo],Tabla54[[#This Row],[Intervalo]],Regiones[Skill],'BUPA Seguros'!$L$3)</f>
        <v>0</v>
      </c>
      <c r="E462" s="19">
        <f>+SUMIFS(Regiones[Contestadas],Regiones[Fecha],Tabla54[[#This Row],[Fecha]],Regiones[Intervalo],Tabla54[[#This Row],[Intervalo]],Regiones[Skill],'BUPA Seguros'!$L$3)</f>
        <v>0</v>
      </c>
      <c r="F462" s="20">
        <v>26.658705207117702</v>
      </c>
      <c r="G462" s="19">
        <f>IFERROR(SUMIFS(Regiones[TMO],Regiones[Fecha],Tabla54[[#This Row],[Fecha]],Regiones[Intervalo],Tabla54[[#This Row],[Intervalo]],Regiones[Skill],'BUPA Seguros'!$L$3)/Tabla54[[#This Row],[Atendidas]],0)</f>
        <v>0</v>
      </c>
      <c r="H4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2" s="21">
        <f>IFERROR(Tabla54[[#This Row],[Atendidas]]/Tabla54[[#This Row],[Recibidas]],0)</f>
        <v>0</v>
      </c>
    </row>
    <row r="463" spans="2:9" x14ac:dyDescent="0.3">
      <c r="B463" s="25">
        <f t="shared" si="20"/>
        <v>46213</v>
      </c>
      <c r="C463" s="26">
        <v>0.52083333333333304</v>
      </c>
      <c r="D463" s="19">
        <f>+SUMIFS(Regiones[Ofrecidas],Regiones[Fecha],Tabla54[[#This Row],[Fecha]],Regiones[Intervalo],Tabla54[[#This Row],[Intervalo]],Regiones[Skill],'BUPA Seguros'!$L$3)</f>
        <v>0</v>
      </c>
      <c r="E463" s="19">
        <f>+SUMIFS(Regiones[Contestadas],Regiones[Fecha],Tabla54[[#This Row],[Fecha]],Regiones[Intervalo],Tabla54[[#This Row],[Intervalo]],Regiones[Skill],'BUPA Seguros'!$L$3)</f>
        <v>0</v>
      </c>
      <c r="F463" s="20">
        <v>25.909482526284041</v>
      </c>
      <c r="G463" s="19">
        <f>IFERROR(SUMIFS(Regiones[TMO],Regiones[Fecha],Tabla54[[#This Row],[Fecha]],Regiones[Intervalo],Tabla54[[#This Row],[Intervalo]],Regiones[Skill],'BUPA Seguros'!$L$3)/Tabla54[[#This Row],[Atendidas]],0)</f>
        <v>0</v>
      </c>
      <c r="H4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3" s="21">
        <f>IFERROR(Tabla54[[#This Row],[Atendidas]]/Tabla54[[#This Row],[Recibidas]],0)</f>
        <v>0</v>
      </c>
    </row>
    <row r="464" spans="2:9" x14ac:dyDescent="0.3">
      <c r="B464" s="27">
        <f t="shared" si="20"/>
        <v>46213</v>
      </c>
      <c r="C464" s="18">
        <v>0.54166666666666696</v>
      </c>
      <c r="D464" s="19">
        <f>+SUMIFS(Regiones[Ofrecidas],Regiones[Fecha],Tabla54[[#This Row],[Fecha]],Regiones[Intervalo],Tabla54[[#This Row],[Intervalo]],Regiones[Skill],'BUPA Seguros'!$L$3)</f>
        <v>0</v>
      </c>
      <c r="E464" s="19">
        <f>+SUMIFS(Regiones[Contestadas],Regiones[Fecha],Tabla54[[#This Row],[Fecha]],Regiones[Intervalo],Tabla54[[#This Row],[Intervalo]],Regiones[Skill],'BUPA Seguros'!$L$3)</f>
        <v>0</v>
      </c>
      <c r="F464" s="20">
        <v>25.255615459374663</v>
      </c>
      <c r="G464" s="19">
        <f>IFERROR(SUMIFS(Regiones[TMO],Regiones[Fecha],Tabla54[[#This Row],[Fecha]],Regiones[Intervalo],Tabla54[[#This Row],[Intervalo]],Regiones[Skill],'BUPA Seguros'!$L$3)/Tabla54[[#This Row],[Atendidas]],0)</f>
        <v>0</v>
      </c>
      <c r="H4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4" s="21">
        <f>IFERROR(Tabla54[[#This Row],[Atendidas]]/Tabla54[[#This Row],[Recibidas]],0)</f>
        <v>0</v>
      </c>
    </row>
    <row r="465" spans="2:9" x14ac:dyDescent="0.3">
      <c r="B465" s="25">
        <f t="shared" si="20"/>
        <v>46213</v>
      </c>
      <c r="C465" s="26">
        <v>0.5625</v>
      </c>
      <c r="D465" s="19">
        <f>+SUMIFS(Regiones[Ofrecidas],Regiones[Fecha],Tabla54[[#This Row],[Fecha]],Regiones[Intervalo],Tabla54[[#This Row],[Intervalo]],Regiones[Skill],'BUPA Seguros'!$L$3)</f>
        <v>0</v>
      </c>
      <c r="E465" s="19">
        <f>+SUMIFS(Regiones[Contestadas],Regiones[Fecha],Tabla54[[#This Row],[Fecha]],Regiones[Intervalo],Tabla54[[#This Row],[Intervalo]],Regiones[Skill],'BUPA Seguros'!$L$3)</f>
        <v>0</v>
      </c>
      <c r="F465" s="20">
        <v>24.37017047293488</v>
      </c>
      <c r="G465" s="19">
        <f>IFERROR(SUMIFS(Regiones[TMO],Regiones[Fecha],Tabla54[[#This Row],[Fecha]],Regiones[Intervalo],Tabla54[[#This Row],[Intervalo]],Regiones[Skill],'BUPA Seguros'!$L$3)/Tabla54[[#This Row],[Atendidas]],0)</f>
        <v>0</v>
      </c>
      <c r="H4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5" s="21">
        <f>IFERROR(Tabla54[[#This Row],[Atendidas]]/Tabla54[[#This Row],[Recibidas]],0)</f>
        <v>0</v>
      </c>
    </row>
    <row r="466" spans="2:9" x14ac:dyDescent="0.3">
      <c r="B466" s="27">
        <f t="shared" si="20"/>
        <v>46213</v>
      </c>
      <c r="C466" s="18">
        <v>0.58333333333333304</v>
      </c>
      <c r="D466" s="19">
        <f>+SUMIFS(Regiones[Ofrecidas],Regiones[Fecha],Tabla54[[#This Row],[Fecha]],Regiones[Intervalo],Tabla54[[#This Row],[Intervalo]],Regiones[Skill],'BUPA Seguros'!$L$3)</f>
        <v>0</v>
      </c>
      <c r="E466" s="19">
        <f>+SUMIFS(Regiones[Contestadas],Regiones[Fecha],Tabla54[[#This Row],[Fecha]],Regiones[Intervalo],Tabla54[[#This Row],[Intervalo]],Regiones[Skill],'BUPA Seguros'!$L$3)</f>
        <v>0</v>
      </c>
      <c r="F466" s="20">
        <v>23.702681175464893</v>
      </c>
      <c r="G466" s="19">
        <f>IFERROR(SUMIFS(Regiones[TMO],Regiones[Fecha],Tabla54[[#This Row],[Fecha]],Regiones[Intervalo],Tabla54[[#This Row],[Intervalo]],Regiones[Skill],'BUPA Seguros'!$L$3)/Tabla54[[#This Row],[Atendidas]],0)</f>
        <v>0</v>
      </c>
      <c r="H4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6" s="21">
        <f>IFERROR(Tabla54[[#This Row],[Atendidas]]/Tabla54[[#This Row],[Recibidas]],0)</f>
        <v>0</v>
      </c>
    </row>
    <row r="467" spans="2:9" x14ac:dyDescent="0.3">
      <c r="B467" s="25">
        <f t="shared" si="20"/>
        <v>46213</v>
      </c>
      <c r="C467" s="26">
        <v>0.60416666666666696</v>
      </c>
      <c r="D467" s="19">
        <f>+SUMIFS(Regiones[Ofrecidas],Regiones[Fecha],Tabla54[[#This Row],[Fecha]],Regiones[Intervalo],Tabla54[[#This Row],[Intervalo]],Regiones[Skill],'BUPA Seguros'!$L$3)</f>
        <v>0</v>
      </c>
      <c r="E467" s="19">
        <f>+SUMIFS(Regiones[Contestadas],Regiones[Fecha],Tabla54[[#This Row],[Fecha]],Regiones[Intervalo],Tabla54[[#This Row],[Intervalo]],Regiones[Skill],'BUPA Seguros'!$L$3)</f>
        <v>0</v>
      </c>
      <c r="F467" s="20">
        <v>23.239525336404085</v>
      </c>
      <c r="G467" s="19">
        <f>IFERROR(SUMIFS(Regiones[TMO],Regiones[Fecha],Tabla54[[#This Row],[Fecha]],Regiones[Intervalo],Tabla54[[#This Row],[Intervalo]],Regiones[Skill],'BUPA Seguros'!$L$3)/Tabla54[[#This Row],[Atendidas]],0)</f>
        <v>0</v>
      </c>
      <c r="H4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7" s="21">
        <f>IFERROR(Tabla54[[#This Row],[Atendidas]]/Tabla54[[#This Row],[Recibidas]],0)</f>
        <v>0</v>
      </c>
    </row>
    <row r="468" spans="2:9" x14ac:dyDescent="0.3">
      <c r="B468" s="27">
        <f t="shared" si="20"/>
        <v>46213</v>
      </c>
      <c r="C468" s="18">
        <v>0.625</v>
      </c>
      <c r="D468" s="19">
        <f>+SUMIFS(Regiones[Ofrecidas],Regiones[Fecha],Tabla54[[#This Row],[Fecha]],Regiones[Intervalo],Tabla54[[#This Row],[Intervalo]],Regiones[Skill],'BUPA Seguros'!$L$3)</f>
        <v>0</v>
      </c>
      <c r="E468" s="19">
        <f>+SUMIFS(Regiones[Contestadas],Regiones[Fecha],Tabla54[[#This Row],[Fecha]],Regiones[Intervalo],Tabla54[[#This Row],[Intervalo]],Regiones[Skill],'BUPA Seguros'!$L$3)</f>
        <v>0</v>
      </c>
      <c r="F468" s="20">
        <v>23.144169722479802</v>
      </c>
      <c r="G468" s="19">
        <f>IFERROR(SUMIFS(Regiones[TMO],Regiones[Fecha],Tabla54[[#This Row],[Fecha]],Regiones[Intervalo],Tabla54[[#This Row],[Intervalo]],Regiones[Skill],'BUPA Seguros'!$L$3)/Tabla54[[#This Row],[Atendidas]],0)</f>
        <v>0</v>
      </c>
      <c r="H4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8" s="21">
        <f>IFERROR(Tabla54[[#This Row],[Atendidas]]/Tabla54[[#This Row],[Recibidas]],0)</f>
        <v>0</v>
      </c>
    </row>
    <row r="469" spans="2:9" x14ac:dyDescent="0.3">
      <c r="B469" s="25">
        <f t="shared" si="20"/>
        <v>46213</v>
      </c>
      <c r="C469" s="26">
        <v>0.64583333333333304</v>
      </c>
      <c r="D469" s="19">
        <f>+SUMIFS(Regiones[Ofrecidas],Regiones[Fecha],Tabla54[[#This Row],[Fecha]],Regiones[Intervalo],Tabla54[[#This Row],[Intervalo]],Regiones[Skill],'BUPA Seguros'!$L$3)</f>
        <v>0</v>
      </c>
      <c r="E469" s="19">
        <f>+SUMIFS(Regiones[Contestadas],Regiones[Fecha],Tabla54[[#This Row],[Fecha]],Regiones[Intervalo],Tabla54[[#This Row],[Intervalo]],Regiones[Skill],'BUPA Seguros'!$L$3)</f>
        <v>0</v>
      </c>
      <c r="F469" s="20">
        <v>22.912591802949397</v>
      </c>
      <c r="G469" s="19">
        <f>IFERROR(SUMIFS(Regiones[TMO],Regiones[Fecha],Tabla54[[#This Row],[Fecha]],Regiones[Intervalo],Tabla54[[#This Row],[Intervalo]],Regiones[Skill],'BUPA Seguros'!$L$3)/Tabla54[[#This Row],[Atendidas]],0)</f>
        <v>0</v>
      </c>
      <c r="H4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69" s="21">
        <f>IFERROR(Tabla54[[#This Row],[Atendidas]]/Tabla54[[#This Row],[Recibidas]],0)</f>
        <v>0</v>
      </c>
    </row>
    <row r="470" spans="2:9" x14ac:dyDescent="0.3">
      <c r="B470" s="27">
        <f t="shared" si="20"/>
        <v>46213</v>
      </c>
      <c r="C470" s="18">
        <v>0.66666666666666696</v>
      </c>
      <c r="D470" s="19">
        <f>+SUMIFS(Regiones[Ofrecidas],Regiones[Fecha],Tabla54[[#This Row],[Fecha]],Regiones[Intervalo],Tabla54[[#This Row],[Intervalo]],Regiones[Skill],'BUPA Seguros'!$L$3)</f>
        <v>0</v>
      </c>
      <c r="E470" s="19">
        <f>+SUMIFS(Regiones[Contestadas],Regiones[Fecha],Tabla54[[#This Row],[Fecha]],Regiones[Intervalo],Tabla54[[#This Row],[Intervalo]],Regiones[Skill],'BUPA Seguros'!$L$3)</f>
        <v>0</v>
      </c>
      <c r="F470" s="20">
        <v>21.91816897202472</v>
      </c>
      <c r="G470" s="19">
        <f>IFERROR(SUMIFS(Regiones[TMO],Regiones[Fecha],Tabla54[[#This Row],[Fecha]],Regiones[Intervalo],Tabla54[[#This Row],[Intervalo]],Regiones[Skill],'BUPA Seguros'!$L$3)/Tabla54[[#This Row],[Atendidas]],0)</f>
        <v>0</v>
      </c>
      <c r="H4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0" s="21">
        <f>IFERROR(Tabla54[[#This Row],[Atendidas]]/Tabla54[[#This Row],[Recibidas]],0)</f>
        <v>0</v>
      </c>
    </row>
    <row r="471" spans="2:9" x14ac:dyDescent="0.3">
      <c r="B471" s="25">
        <f t="shared" si="20"/>
        <v>46213</v>
      </c>
      <c r="C471" s="26">
        <v>0.6875</v>
      </c>
      <c r="D471" s="19">
        <f>+SUMIFS(Regiones[Ofrecidas],Regiones[Fecha],Tabla54[[#This Row],[Fecha]],Regiones[Intervalo],Tabla54[[#This Row],[Intervalo]],Regiones[Skill],'BUPA Seguros'!$L$3)</f>
        <v>0</v>
      </c>
      <c r="E471" s="19">
        <f>+SUMIFS(Regiones[Contestadas],Regiones[Fecha],Tabla54[[#This Row],[Fecha]],Regiones[Intervalo],Tabla54[[#This Row],[Intervalo]],Regiones[Skill],'BUPA Seguros'!$L$3)</f>
        <v>0</v>
      </c>
      <c r="F471" s="20">
        <v>20.120034538023937</v>
      </c>
      <c r="G471" s="19">
        <f>IFERROR(SUMIFS(Regiones[TMO],Regiones[Fecha],Tabla54[[#This Row],[Fecha]],Regiones[Intervalo],Tabla54[[#This Row],[Intervalo]],Regiones[Skill],'BUPA Seguros'!$L$3)/Tabla54[[#This Row],[Atendidas]],0)</f>
        <v>0</v>
      </c>
      <c r="H4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1" s="21">
        <f>IFERROR(Tabla54[[#This Row],[Atendidas]]/Tabla54[[#This Row],[Recibidas]],0)</f>
        <v>0</v>
      </c>
    </row>
    <row r="472" spans="2:9" x14ac:dyDescent="0.3">
      <c r="B472" s="27">
        <f t="shared" si="20"/>
        <v>46213</v>
      </c>
      <c r="C472" s="18">
        <v>0.70833333333333304</v>
      </c>
      <c r="D472" s="19">
        <f>+SUMIFS(Regiones[Ofrecidas],Regiones[Fecha],Tabla54[[#This Row],[Fecha]],Regiones[Intervalo],Tabla54[[#This Row],[Intervalo]],Regiones[Skill],'BUPA Seguros'!$L$3)</f>
        <v>0</v>
      </c>
      <c r="E472" s="19">
        <f>+SUMIFS(Regiones[Contestadas],Regiones[Fecha],Tabla54[[#This Row],[Fecha]],Regiones[Intervalo],Tabla54[[#This Row],[Intervalo]],Regiones[Skill],'BUPA Seguros'!$L$3)</f>
        <v>0</v>
      </c>
      <c r="F472" s="20">
        <v>17.450077348143985</v>
      </c>
      <c r="G472" s="19">
        <f>IFERROR(SUMIFS(Regiones[TMO],Regiones[Fecha],Tabla54[[#This Row],[Fecha]],Regiones[Intervalo],Tabla54[[#This Row],[Intervalo]],Regiones[Skill],'BUPA Seguros'!$L$3)/Tabla54[[#This Row],[Atendidas]],0)</f>
        <v>0</v>
      </c>
      <c r="H4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2" s="21">
        <f>IFERROR(Tabla54[[#This Row],[Atendidas]]/Tabla54[[#This Row],[Recibidas]],0)</f>
        <v>0</v>
      </c>
    </row>
    <row r="473" spans="2:9" x14ac:dyDescent="0.3">
      <c r="B473" s="25">
        <f t="shared" si="20"/>
        <v>46213</v>
      </c>
      <c r="C473" s="26">
        <v>0.72916666666666696</v>
      </c>
      <c r="D473" s="19">
        <f>+SUMIFS(Regiones[Ofrecidas],Regiones[Fecha],Tabla54[[#This Row],[Fecha]],Regiones[Intervalo],Tabla54[[#This Row],[Intervalo]],Regiones[Skill],'BUPA Seguros'!$L$3)</f>
        <v>0</v>
      </c>
      <c r="E473" s="19">
        <f>+SUMIFS(Regiones[Contestadas],Regiones[Fecha],Tabla54[[#This Row],[Fecha]],Regiones[Intervalo],Tabla54[[#This Row],[Intervalo]],Regiones[Skill],'BUPA Seguros'!$L$3)</f>
        <v>0</v>
      </c>
      <c r="F473" s="20">
        <v>15.141109268120246</v>
      </c>
      <c r="G473" s="19">
        <f>IFERROR(SUMIFS(Regiones[TMO],Regiones[Fecha],Tabla54[[#This Row],[Fecha]],Regiones[Intervalo],Tabla54[[#This Row],[Intervalo]],Regiones[Skill],'BUPA Seguros'!$L$3)/Tabla54[[#This Row],[Atendidas]],0)</f>
        <v>0</v>
      </c>
      <c r="H4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3" s="21">
        <f>IFERROR(Tabla54[[#This Row],[Atendidas]]/Tabla54[[#This Row],[Recibidas]],0)</f>
        <v>0</v>
      </c>
    </row>
    <row r="474" spans="2:9" x14ac:dyDescent="0.3">
      <c r="B474" s="27">
        <f t="shared" si="20"/>
        <v>46213</v>
      </c>
      <c r="C474" s="18">
        <v>0.75</v>
      </c>
      <c r="D474" s="19">
        <f>+SUMIFS(Regiones[Ofrecidas],Regiones[Fecha],Tabla54[[#This Row],[Fecha]],Regiones[Intervalo],Tabla54[[#This Row],[Intervalo]],Regiones[Skill],'BUPA Seguros'!$L$3)</f>
        <v>0</v>
      </c>
      <c r="E474" s="19">
        <f>+SUMIFS(Regiones[Contestadas],Regiones[Fecha],Tabla54[[#This Row],[Fecha]],Regiones[Intervalo],Tabla54[[#This Row],[Intervalo]],Regiones[Skill],'BUPA Seguros'!$L$3)</f>
        <v>0</v>
      </c>
      <c r="F474" s="20">
        <v>0</v>
      </c>
      <c r="G474" s="19">
        <f>IFERROR(SUMIFS(Regiones[TMO],Regiones[Fecha],Tabla54[[#This Row],[Fecha]],Regiones[Intervalo],Tabla54[[#This Row],[Intervalo]],Regiones[Skill],'BUPA Seguros'!$L$3)/Tabla54[[#This Row],[Atendidas]],0)</f>
        <v>0</v>
      </c>
      <c r="H4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4" s="21">
        <f>IFERROR(Tabla54[[#This Row],[Atendidas]]/Tabla54[[#This Row],[Recibidas]],0)</f>
        <v>0</v>
      </c>
    </row>
    <row r="475" spans="2:9" x14ac:dyDescent="0.3">
      <c r="B475" s="25">
        <f t="shared" si="20"/>
        <v>46213</v>
      </c>
      <c r="C475" s="26">
        <v>0.77083333333333304</v>
      </c>
      <c r="D475" s="19">
        <f>+SUMIFS(Regiones[Ofrecidas],Regiones[Fecha],Tabla54[[#This Row],[Fecha]],Regiones[Intervalo],Tabla54[[#This Row],[Intervalo]],Regiones[Skill],'BUPA Seguros'!$L$3)</f>
        <v>0</v>
      </c>
      <c r="E475" s="19">
        <f>+SUMIFS(Regiones[Contestadas],Regiones[Fecha],Tabla54[[#This Row],[Fecha]],Regiones[Intervalo],Tabla54[[#This Row],[Intervalo]],Regiones[Skill],'BUPA Seguros'!$L$3)</f>
        <v>0</v>
      </c>
      <c r="F475" s="20">
        <v>0</v>
      </c>
      <c r="G475" s="19">
        <f>IFERROR(SUMIFS(Regiones[TMO],Regiones[Fecha],Tabla54[[#This Row],[Fecha]],Regiones[Intervalo],Tabla54[[#This Row],[Intervalo]],Regiones[Skill],'BUPA Seguros'!$L$3)/Tabla54[[#This Row],[Atendidas]],0)</f>
        <v>0</v>
      </c>
      <c r="H4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5" s="21">
        <f>IFERROR(Tabla54[[#This Row],[Atendidas]]/Tabla54[[#This Row],[Recibidas]],0)</f>
        <v>0</v>
      </c>
    </row>
    <row r="476" spans="2:9" x14ac:dyDescent="0.3">
      <c r="B476" s="27">
        <f t="shared" si="20"/>
        <v>46213</v>
      </c>
      <c r="C476" s="18">
        <v>0.79166666666666696</v>
      </c>
      <c r="D476" s="19">
        <f>+SUMIFS(Regiones[Ofrecidas],Regiones[Fecha],Tabla54[[#This Row],[Fecha]],Regiones[Intervalo],Tabla54[[#This Row],[Intervalo]],Regiones[Skill],'BUPA Seguros'!$L$3)</f>
        <v>0</v>
      </c>
      <c r="E476" s="19">
        <f>+SUMIFS(Regiones[Contestadas],Regiones[Fecha],Tabla54[[#This Row],[Fecha]],Regiones[Intervalo],Tabla54[[#This Row],[Intervalo]],Regiones[Skill],'BUPA Seguros'!$L$3)</f>
        <v>0</v>
      </c>
      <c r="F476" s="20">
        <v>0</v>
      </c>
      <c r="G476" s="19">
        <f>IFERROR(SUMIFS(Regiones[TMO],Regiones[Fecha],Tabla54[[#This Row],[Fecha]],Regiones[Intervalo],Tabla54[[#This Row],[Intervalo]],Regiones[Skill],'BUPA Seguros'!$L$3)/Tabla54[[#This Row],[Atendidas]],0)</f>
        <v>0</v>
      </c>
      <c r="H4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6" s="21">
        <f>IFERROR(Tabla54[[#This Row],[Atendidas]]/Tabla54[[#This Row],[Recibidas]],0)</f>
        <v>0</v>
      </c>
    </row>
    <row r="477" spans="2:9" x14ac:dyDescent="0.3">
      <c r="B477" s="25">
        <f t="shared" si="20"/>
        <v>46213</v>
      </c>
      <c r="C477" s="26">
        <v>0.8125</v>
      </c>
      <c r="D477" s="19">
        <f>+SUMIFS(Regiones[Ofrecidas],Regiones[Fecha],Tabla54[[#This Row],[Fecha]],Regiones[Intervalo],Tabla54[[#This Row],[Intervalo]],Regiones[Skill],'BUPA Seguros'!$L$3)</f>
        <v>0</v>
      </c>
      <c r="E477" s="19">
        <f>+SUMIFS(Regiones[Contestadas],Regiones[Fecha],Tabla54[[#This Row],[Fecha]],Regiones[Intervalo],Tabla54[[#This Row],[Intervalo]],Regiones[Skill],'BUPA Seguros'!$L$3)</f>
        <v>0</v>
      </c>
      <c r="F477" s="20">
        <v>0</v>
      </c>
      <c r="G477" s="19">
        <f>IFERROR(SUMIFS(Regiones[TMO],Regiones[Fecha],Tabla54[[#This Row],[Fecha]],Regiones[Intervalo],Tabla54[[#This Row],[Intervalo]],Regiones[Skill],'BUPA Seguros'!$L$3)/Tabla54[[#This Row],[Atendidas]],0)</f>
        <v>0</v>
      </c>
      <c r="H4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7" s="21">
        <f>IFERROR(Tabla54[[#This Row],[Atendidas]]/Tabla54[[#This Row],[Recibidas]],0)</f>
        <v>0</v>
      </c>
    </row>
    <row r="478" spans="2:9" x14ac:dyDescent="0.3">
      <c r="B478" s="27">
        <f t="shared" si="20"/>
        <v>46213</v>
      </c>
      <c r="C478" s="18">
        <v>0.83333333333333304</v>
      </c>
      <c r="D478" s="19">
        <f>+SUMIFS(Regiones[Ofrecidas],Regiones[Fecha],Tabla54[[#This Row],[Fecha]],Regiones[Intervalo],Tabla54[[#This Row],[Intervalo]],Regiones[Skill],'BUPA Seguros'!$L$3)</f>
        <v>0</v>
      </c>
      <c r="E478" s="19">
        <f>+SUMIFS(Regiones[Contestadas],Regiones[Fecha],Tabla54[[#This Row],[Fecha]],Regiones[Intervalo],Tabla54[[#This Row],[Intervalo]],Regiones[Skill],'BUPA Seguros'!$L$3)</f>
        <v>0</v>
      </c>
      <c r="F478" s="20">
        <v>0</v>
      </c>
      <c r="G478" s="19">
        <f>IFERROR(SUMIFS(Regiones[TMO],Regiones[Fecha],Tabla54[[#This Row],[Fecha]],Regiones[Intervalo],Tabla54[[#This Row],[Intervalo]],Regiones[Skill],'BUPA Seguros'!$L$3)/Tabla54[[#This Row],[Atendidas]],0)</f>
        <v>0</v>
      </c>
      <c r="H4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8" s="21">
        <f>IFERROR(Tabla54[[#This Row],[Atendidas]]/Tabla54[[#This Row],[Recibidas]],0)</f>
        <v>0</v>
      </c>
    </row>
    <row r="479" spans="2:9" x14ac:dyDescent="0.3">
      <c r="B479" s="25">
        <f t="shared" si="20"/>
        <v>46213</v>
      </c>
      <c r="C479" s="26">
        <v>0.85416666666666696</v>
      </c>
      <c r="D479" s="19">
        <f>+SUMIFS(Regiones[Ofrecidas],Regiones[Fecha],Tabla54[[#This Row],[Fecha]],Regiones[Intervalo],Tabla54[[#This Row],[Intervalo]],Regiones[Skill],'BUPA Seguros'!$L$3)</f>
        <v>0</v>
      </c>
      <c r="E479" s="19">
        <f>+SUMIFS(Regiones[Contestadas],Regiones[Fecha],Tabla54[[#This Row],[Fecha]],Regiones[Intervalo],Tabla54[[#This Row],[Intervalo]],Regiones[Skill],'BUPA Seguros'!$L$3)</f>
        <v>0</v>
      </c>
      <c r="F479" s="20">
        <v>0</v>
      </c>
      <c r="G479" s="19">
        <f>IFERROR(SUMIFS(Regiones[TMO],Regiones[Fecha],Tabla54[[#This Row],[Fecha]],Regiones[Intervalo],Tabla54[[#This Row],[Intervalo]],Regiones[Skill],'BUPA Seguros'!$L$3)/Tabla54[[#This Row],[Atendidas]],0)</f>
        <v>0</v>
      </c>
      <c r="H4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79" s="21">
        <f>IFERROR(Tabla54[[#This Row],[Atendidas]]/Tabla54[[#This Row],[Recibidas]],0)</f>
        <v>0</v>
      </c>
    </row>
    <row r="480" spans="2:9" x14ac:dyDescent="0.3">
      <c r="B480" s="27">
        <f t="shared" si="20"/>
        <v>46213</v>
      </c>
      <c r="C480" s="18">
        <v>0.875</v>
      </c>
      <c r="D480" s="19">
        <f>+SUMIFS(Regiones[Ofrecidas],Regiones[Fecha],Tabla54[[#This Row],[Fecha]],Regiones[Intervalo],Tabla54[[#This Row],[Intervalo]],Regiones[Skill],'BUPA Seguros'!$L$3)</f>
        <v>0</v>
      </c>
      <c r="E480" s="19">
        <f>+SUMIFS(Regiones[Contestadas],Regiones[Fecha],Tabla54[[#This Row],[Fecha]],Regiones[Intervalo],Tabla54[[#This Row],[Intervalo]],Regiones[Skill],'BUPA Seguros'!$L$3)</f>
        <v>0</v>
      </c>
      <c r="F480" s="20">
        <v>0</v>
      </c>
      <c r="G480" s="19">
        <f>IFERROR(SUMIFS(Regiones[TMO],Regiones[Fecha],Tabla54[[#This Row],[Fecha]],Regiones[Intervalo],Tabla54[[#This Row],[Intervalo]],Regiones[Skill],'BUPA Seguros'!$L$3)/Tabla54[[#This Row],[Atendidas]],0)</f>
        <v>0</v>
      </c>
      <c r="H4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0" s="21">
        <f>IFERROR(Tabla54[[#This Row],[Atendidas]]/Tabla54[[#This Row],[Recibidas]],0)</f>
        <v>0</v>
      </c>
    </row>
    <row r="481" spans="2:9" x14ac:dyDescent="0.3">
      <c r="B481" s="25">
        <f t="shared" si="20"/>
        <v>46213</v>
      </c>
      <c r="C481" s="26">
        <v>0.89583333333333304</v>
      </c>
      <c r="D481" s="19">
        <f>+SUMIFS(Regiones[Ofrecidas],Regiones[Fecha],Tabla54[[#This Row],[Fecha]],Regiones[Intervalo],Tabla54[[#This Row],[Intervalo]],Regiones[Skill],'BUPA Seguros'!$L$3)</f>
        <v>0</v>
      </c>
      <c r="E481" s="19">
        <f>+SUMIFS(Regiones[Contestadas],Regiones[Fecha],Tabla54[[#This Row],[Fecha]],Regiones[Intervalo],Tabla54[[#This Row],[Intervalo]],Regiones[Skill],'BUPA Seguros'!$L$3)</f>
        <v>0</v>
      </c>
      <c r="F481" s="20">
        <v>0</v>
      </c>
      <c r="G481" s="19">
        <f>IFERROR(SUMIFS(Regiones[TMO],Regiones[Fecha],Tabla54[[#This Row],[Fecha]],Regiones[Intervalo],Tabla54[[#This Row],[Intervalo]],Regiones[Skill],'BUPA Seguros'!$L$3)/Tabla54[[#This Row],[Atendidas]],0)</f>
        <v>0</v>
      </c>
      <c r="H4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1" s="21">
        <f>IFERROR(Tabla54[[#This Row],[Atendidas]]/Tabla54[[#This Row],[Recibidas]],0)</f>
        <v>0</v>
      </c>
    </row>
    <row r="482" spans="2:9" x14ac:dyDescent="0.3">
      <c r="B482" s="27">
        <f t="shared" si="20"/>
        <v>46213</v>
      </c>
      <c r="C482" s="18">
        <v>0.91666666666666696</v>
      </c>
      <c r="D482" s="19">
        <f>+SUMIFS(Regiones[Ofrecidas],Regiones[Fecha],Tabla54[[#This Row],[Fecha]],Regiones[Intervalo],Tabla54[[#This Row],[Intervalo]],Regiones[Skill],'BUPA Seguros'!$L$3)</f>
        <v>0</v>
      </c>
      <c r="E482" s="19">
        <f>+SUMIFS(Regiones[Contestadas],Regiones[Fecha],Tabla54[[#This Row],[Fecha]],Regiones[Intervalo],Tabla54[[#This Row],[Intervalo]],Regiones[Skill],'BUPA Seguros'!$L$3)</f>
        <v>0</v>
      </c>
      <c r="F482" s="20">
        <v>0</v>
      </c>
      <c r="G482" s="19">
        <f>IFERROR(SUMIFS(Regiones[TMO],Regiones[Fecha],Tabla54[[#This Row],[Fecha]],Regiones[Intervalo],Tabla54[[#This Row],[Intervalo]],Regiones[Skill],'BUPA Seguros'!$L$3)/Tabla54[[#This Row],[Atendidas]],0)</f>
        <v>0</v>
      </c>
      <c r="H4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2" s="21">
        <f>IFERROR(Tabla54[[#This Row],[Atendidas]]/Tabla54[[#This Row],[Recibidas]],0)</f>
        <v>0</v>
      </c>
    </row>
    <row r="483" spans="2:9" x14ac:dyDescent="0.3">
      <c r="B483" s="25">
        <f t="shared" si="20"/>
        <v>46213</v>
      </c>
      <c r="C483" s="26">
        <v>0.9375</v>
      </c>
      <c r="D483" s="19">
        <f>+SUMIFS(Regiones[Ofrecidas],Regiones[Fecha],Tabla54[[#This Row],[Fecha]],Regiones[Intervalo],Tabla54[[#This Row],[Intervalo]],Regiones[Skill],'BUPA Seguros'!$L$3)</f>
        <v>0</v>
      </c>
      <c r="E483" s="19">
        <f>+SUMIFS(Regiones[Contestadas],Regiones[Fecha],Tabla54[[#This Row],[Fecha]],Regiones[Intervalo],Tabla54[[#This Row],[Intervalo]],Regiones[Skill],'BUPA Seguros'!$L$3)</f>
        <v>0</v>
      </c>
      <c r="F483" s="20">
        <v>0</v>
      </c>
      <c r="G483" s="19">
        <f>IFERROR(SUMIFS(Regiones[TMO],Regiones[Fecha],Tabla54[[#This Row],[Fecha]],Regiones[Intervalo],Tabla54[[#This Row],[Intervalo]],Regiones[Skill],'BUPA Seguros'!$L$3)/Tabla54[[#This Row],[Atendidas]],0)</f>
        <v>0</v>
      </c>
      <c r="H4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3" s="21">
        <f>IFERROR(Tabla54[[#This Row],[Atendidas]]/Tabla54[[#This Row],[Recibidas]],0)</f>
        <v>0</v>
      </c>
    </row>
    <row r="484" spans="2:9" x14ac:dyDescent="0.3">
      <c r="B484" s="27">
        <f t="shared" si="20"/>
        <v>46213</v>
      </c>
      <c r="C484" s="18">
        <v>0.95833333333333304</v>
      </c>
      <c r="D484" s="19">
        <f>+SUMIFS(Regiones[Ofrecidas],Regiones[Fecha],Tabla54[[#This Row],[Fecha]],Regiones[Intervalo],Tabla54[[#This Row],[Intervalo]],Regiones[Skill],'BUPA Seguros'!$L$3)</f>
        <v>0</v>
      </c>
      <c r="E484" s="19">
        <f>+SUMIFS(Regiones[Contestadas],Regiones[Fecha],Tabla54[[#This Row],[Fecha]],Regiones[Intervalo],Tabla54[[#This Row],[Intervalo]],Regiones[Skill],'BUPA Seguros'!$L$3)</f>
        <v>0</v>
      </c>
      <c r="F484" s="20">
        <v>0</v>
      </c>
      <c r="G484" s="19">
        <f>IFERROR(SUMIFS(Regiones[TMO],Regiones[Fecha],Tabla54[[#This Row],[Fecha]],Regiones[Intervalo],Tabla54[[#This Row],[Intervalo]],Regiones[Skill],'BUPA Seguros'!$L$3)/Tabla54[[#This Row],[Atendidas]],0)</f>
        <v>0</v>
      </c>
      <c r="H4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4" s="21">
        <f>IFERROR(Tabla54[[#This Row],[Atendidas]]/Tabla54[[#This Row],[Recibidas]],0)</f>
        <v>0</v>
      </c>
    </row>
    <row r="485" spans="2:9" x14ac:dyDescent="0.3">
      <c r="B485" s="25">
        <f t="shared" si="20"/>
        <v>46213</v>
      </c>
      <c r="C485" s="26">
        <v>0.97916666666666696</v>
      </c>
      <c r="D485" s="19">
        <f>+SUMIFS(Regiones[Ofrecidas],Regiones[Fecha],Tabla54[[#This Row],[Fecha]],Regiones[Intervalo],Tabla54[[#This Row],[Intervalo]],Regiones[Skill],'BUPA Seguros'!$L$3)</f>
        <v>0</v>
      </c>
      <c r="E485" s="19">
        <f>+SUMIFS(Regiones[Contestadas],Regiones[Fecha],Tabla54[[#This Row],[Fecha]],Regiones[Intervalo],Tabla54[[#This Row],[Intervalo]],Regiones[Skill],'BUPA Seguros'!$L$3)</f>
        <v>0</v>
      </c>
      <c r="F485" s="20">
        <v>0</v>
      </c>
      <c r="G485" s="19">
        <f>IFERROR(SUMIFS(Regiones[TMO],Regiones[Fecha],Tabla54[[#This Row],[Fecha]],Regiones[Intervalo],Tabla54[[#This Row],[Intervalo]],Regiones[Skill],'BUPA Seguros'!$L$3)/Tabla54[[#This Row],[Atendidas]],0)</f>
        <v>0</v>
      </c>
      <c r="H4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5" s="21">
        <f>IFERROR(Tabla54[[#This Row],[Atendidas]]/Tabla54[[#This Row],[Recibidas]],0)</f>
        <v>0</v>
      </c>
    </row>
    <row r="486" spans="2:9" x14ac:dyDescent="0.3">
      <c r="B486" s="27">
        <f>+B485+1</f>
        <v>46214</v>
      </c>
      <c r="C486" s="18">
        <v>0</v>
      </c>
      <c r="D486" s="19">
        <f>+SUMIFS(Regiones[Ofrecidas],Regiones[Fecha],Tabla54[[#This Row],[Fecha]],Regiones[Intervalo],Tabla54[[#This Row],[Intervalo]],Regiones[Skill],'BUPA Seguros'!$L$3)</f>
        <v>0</v>
      </c>
      <c r="E486" s="19">
        <f>+SUMIFS(Regiones[Contestadas],Regiones[Fecha],Tabla54[[#This Row],[Fecha]],Regiones[Intervalo],Tabla54[[#This Row],[Intervalo]],Regiones[Skill],'BUPA Seguros'!$L$3)</f>
        <v>0</v>
      </c>
      <c r="F486" s="20">
        <v>0</v>
      </c>
      <c r="G486" s="19">
        <f>IFERROR(SUMIFS(Regiones[TMO],Regiones[Fecha],Tabla54[[#This Row],[Fecha]],Regiones[Intervalo],Tabla54[[#This Row],[Intervalo]],Regiones[Skill],'BUPA Seguros'!$L$3)/Tabla54[[#This Row],[Atendidas]],0)</f>
        <v>0</v>
      </c>
      <c r="H4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6" s="21">
        <f>IFERROR(Tabla54[[#This Row],[Atendidas]]/Tabla54[[#This Row],[Recibidas]],0)</f>
        <v>0</v>
      </c>
    </row>
    <row r="487" spans="2:9" x14ac:dyDescent="0.3">
      <c r="B487" s="25">
        <f>+B486</f>
        <v>46214</v>
      </c>
      <c r="C487" s="26">
        <v>2.0833333333333332E-2</v>
      </c>
      <c r="D487" s="19">
        <f>+SUMIFS(Regiones[Ofrecidas],Regiones[Fecha],Tabla54[[#This Row],[Fecha]],Regiones[Intervalo],Tabla54[[#This Row],[Intervalo]],Regiones[Skill],'BUPA Seguros'!$L$3)</f>
        <v>0</v>
      </c>
      <c r="E487" s="19">
        <f>+SUMIFS(Regiones[Contestadas],Regiones[Fecha],Tabla54[[#This Row],[Fecha]],Regiones[Intervalo],Tabla54[[#This Row],[Intervalo]],Regiones[Skill],'BUPA Seguros'!$L$3)</f>
        <v>0</v>
      </c>
      <c r="F487" s="20">
        <v>0</v>
      </c>
      <c r="G487" s="19">
        <f>IFERROR(SUMIFS(Regiones[TMO],Regiones[Fecha],Tabla54[[#This Row],[Fecha]],Regiones[Intervalo],Tabla54[[#This Row],[Intervalo]],Regiones[Skill],'BUPA Seguros'!$L$3)/Tabla54[[#This Row],[Atendidas]],0)</f>
        <v>0</v>
      </c>
      <c r="H4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7" s="21">
        <f>IFERROR(Tabla54[[#This Row],[Atendidas]]/Tabla54[[#This Row],[Recibidas]],0)</f>
        <v>0</v>
      </c>
    </row>
    <row r="488" spans="2:9" x14ac:dyDescent="0.3">
      <c r="B488" s="27">
        <f t="shared" ref="B488:B533" si="21">+B487</f>
        <v>46214</v>
      </c>
      <c r="C488" s="18">
        <v>4.1666666666666699E-2</v>
      </c>
      <c r="D488" s="19">
        <f>+SUMIFS(Regiones[Ofrecidas],Regiones[Fecha],Tabla54[[#This Row],[Fecha]],Regiones[Intervalo],Tabla54[[#This Row],[Intervalo]],Regiones[Skill],'BUPA Seguros'!$L$3)</f>
        <v>0</v>
      </c>
      <c r="E488" s="19">
        <f>+SUMIFS(Regiones[Contestadas],Regiones[Fecha],Tabla54[[#This Row],[Fecha]],Regiones[Intervalo],Tabla54[[#This Row],[Intervalo]],Regiones[Skill],'BUPA Seguros'!$L$3)</f>
        <v>0</v>
      </c>
      <c r="F488" s="20">
        <v>0</v>
      </c>
      <c r="G488" s="19">
        <f>IFERROR(SUMIFS(Regiones[TMO],Regiones[Fecha],Tabla54[[#This Row],[Fecha]],Regiones[Intervalo],Tabla54[[#This Row],[Intervalo]],Regiones[Skill],'BUPA Seguros'!$L$3)/Tabla54[[#This Row],[Atendidas]],0)</f>
        <v>0</v>
      </c>
      <c r="H4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8" s="21">
        <f>IFERROR(Tabla54[[#This Row],[Atendidas]]/Tabla54[[#This Row],[Recibidas]],0)</f>
        <v>0</v>
      </c>
    </row>
    <row r="489" spans="2:9" x14ac:dyDescent="0.3">
      <c r="B489" s="25">
        <f t="shared" si="21"/>
        <v>46214</v>
      </c>
      <c r="C489" s="26">
        <v>6.25E-2</v>
      </c>
      <c r="D489" s="19">
        <f>+SUMIFS(Regiones[Ofrecidas],Regiones[Fecha],Tabla54[[#This Row],[Fecha]],Regiones[Intervalo],Tabla54[[#This Row],[Intervalo]],Regiones[Skill],'BUPA Seguros'!$L$3)</f>
        <v>0</v>
      </c>
      <c r="E489" s="19">
        <f>+SUMIFS(Regiones[Contestadas],Regiones[Fecha],Tabla54[[#This Row],[Fecha]],Regiones[Intervalo],Tabla54[[#This Row],[Intervalo]],Regiones[Skill],'BUPA Seguros'!$L$3)</f>
        <v>0</v>
      </c>
      <c r="F489" s="20">
        <v>0</v>
      </c>
      <c r="G489" s="19">
        <f>IFERROR(SUMIFS(Regiones[TMO],Regiones[Fecha],Tabla54[[#This Row],[Fecha]],Regiones[Intervalo],Tabla54[[#This Row],[Intervalo]],Regiones[Skill],'BUPA Seguros'!$L$3)/Tabla54[[#This Row],[Atendidas]],0)</f>
        <v>0</v>
      </c>
      <c r="H4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89" s="21">
        <f>IFERROR(Tabla54[[#This Row],[Atendidas]]/Tabla54[[#This Row],[Recibidas]],0)</f>
        <v>0</v>
      </c>
    </row>
    <row r="490" spans="2:9" x14ac:dyDescent="0.3">
      <c r="B490" s="27">
        <f t="shared" si="21"/>
        <v>46214</v>
      </c>
      <c r="C490" s="18">
        <v>8.3333333333333301E-2</v>
      </c>
      <c r="D490" s="19">
        <f>+SUMIFS(Regiones[Ofrecidas],Regiones[Fecha],Tabla54[[#This Row],[Fecha]],Regiones[Intervalo],Tabla54[[#This Row],[Intervalo]],Regiones[Skill],'BUPA Seguros'!$L$3)</f>
        <v>0</v>
      </c>
      <c r="E490" s="19">
        <f>+SUMIFS(Regiones[Contestadas],Regiones[Fecha],Tabla54[[#This Row],[Fecha]],Regiones[Intervalo],Tabla54[[#This Row],[Intervalo]],Regiones[Skill],'BUPA Seguros'!$L$3)</f>
        <v>0</v>
      </c>
      <c r="F490" s="20">
        <v>0</v>
      </c>
      <c r="G490" s="19">
        <f>IFERROR(SUMIFS(Regiones[TMO],Regiones[Fecha],Tabla54[[#This Row],[Fecha]],Regiones[Intervalo],Tabla54[[#This Row],[Intervalo]],Regiones[Skill],'BUPA Seguros'!$L$3)/Tabla54[[#This Row],[Atendidas]],0)</f>
        <v>0</v>
      </c>
      <c r="H4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0" s="21">
        <f>IFERROR(Tabla54[[#This Row],[Atendidas]]/Tabla54[[#This Row],[Recibidas]],0)</f>
        <v>0</v>
      </c>
    </row>
    <row r="491" spans="2:9" x14ac:dyDescent="0.3">
      <c r="B491" s="25">
        <f t="shared" si="21"/>
        <v>46214</v>
      </c>
      <c r="C491" s="26">
        <v>0.104166666666667</v>
      </c>
      <c r="D491" s="19">
        <f>+SUMIFS(Regiones[Ofrecidas],Regiones[Fecha],Tabla54[[#This Row],[Fecha]],Regiones[Intervalo],Tabla54[[#This Row],[Intervalo]],Regiones[Skill],'BUPA Seguros'!$L$3)</f>
        <v>0</v>
      </c>
      <c r="E491" s="19">
        <f>+SUMIFS(Regiones[Contestadas],Regiones[Fecha],Tabla54[[#This Row],[Fecha]],Regiones[Intervalo],Tabla54[[#This Row],[Intervalo]],Regiones[Skill],'BUPA Seguros'!$L$3)</f>
        <v>0</v>
      </c>
      <c r="F491" s="20">
        <v>0</v>
      </c>
      <c r="G491" s="19">
        <f>IFERROR(SUMIFS(Regiones[TMO],Regiones[Fecha],Tabla54[[#This Row],[Fecha]],Regiones[Intervalo],Tabla54[[#This Row],[Intervalo]],Regiones[Skill],'BUPA Seguros'!$L$3)/Tabla54[[#This Row],[Atendidas]],0)</f>
        <v>0</v>
      </c>
      <c r="H4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1" s="21">
        <f>IFERROR(Tabla54[[#This Row],[Atendidas]]/Tabla54[[#This Row],[Recibidas]],0)</f>
        <v>0</v>
      </c>
    </row>
    <row r="492" spans="2:9" x14ac:dyDescent="0.3">
      <c r="B492" s="27">
        <f t="shared" si="21"/>
        <v>46214</v>
      </c>
      <c r="C492" s="18">
        <v>0.125</v>
      </c>
      <c r="D492" s="19">
        <f>+SUMIFS(Regiones[Ofrecidas],Regiones[Fecha],Tabla54[[#This Row],[Fecha]],Regiones[Intervalo],Tabla54[[#This Row],[Intervalo]],Regiones[Skill],'BUPA Seguros'!$L$3)</f>
        <v>0</v>
      </c>
      <c r="E492" s="19">
        <f>+SUMIFS(Regiones[Contestadas],Regiones[Fecha],Tabla54[[#This Row],[Fecha]],Regiones[Intervalo],Tabla54[[#This Row],[Intervalo]],Regiones[Skill],'BUPA Seguros'!$L$3)</f>
        <v>0</v>
      </c>
      <c r="F492" s="20">
        <v>0</v>
      </c>
      <c r="G492" s="19">
        <f>IFERROR(SUMIFS(Regiones[TMO],Regiones[Fecha],Tabla54[[#This Row],[Fecha]],Regiones[Intervalo],Tabla54[[#This Row],[Intervalo]],Regiones[Skill],'BUPA Seguros'!$L$3)/Tabla54[[#This Row],[Atendidas]],0)</f>
        <v>0</v>
      </c>
      <c r="H4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2" s="21">
        <f>IFERROR(Tabla54[[#This Row],[Atendidas]]/Tabla54[[#This Row],[Recibidas]],0)</f>
        <v>0</v>
      </c>
    </row>
    <row r="493" spans="2:9" x14ac:dyDescent="0.3">
      <c r="B493" s="25">
        <f t="shared" si="21"/>
        <v>46214</v>
      </c>
      <c r="C493" s="26">
        <v>0.14583333333333301</v>
      </c>
      <c r="D493" s="19">
        <f>+SUMIFS(Regiones[Ofrecidas],Regiones[Fecha],Tabla54[[#This Row],[Fecha]],Regiones[Intervalo],Tabla54[[#This Row],[Intervalo]],Regiones[Skill],'BUPA Seguros'!$L$3)</f>
        <v>0</v>
      </c>
      <c r="E493" s="19">
        <f>+SUMIFS(Regiones[Contestadas],Regiones[Fecha],Tabla54[[#This Row],[Fecha]],Regiones[Intervalo],Tabla54[[#This Row],[Intervalo]],Regiones[Skill],'BUPA Seguros'!$L$3)</f>
        <v>0</v>
      </c>
      <c r="F493" s="20">
        <v>0</v>
      </c>
      <c r="G493" s="19">
        <f>IFERROR(SUMIFS(Regiones[TMO],Regiones[Fecha],Tabla54[[#This Row],[Fecha]],Regiones[Intervalo],Tabla54[[#This Row],[Intervalo]],Regiones[Skill],'BUPA Seguros'!$L$3)/Tabla54[[#This Row],[Atendidas]],0)</f>
        <v>0</v>
      </c>
      <c r="H4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3" s="21">
        <f>IFERROR(Tabla54[[#This Row],[Atendidas]]/Tabla54[[#This Row],[Recibidas]],0)</f>
        <v>0</v>
      </c>
    </row>
    <row r="494" spans="2:9" x14ac:dyDescent="0.3">
      <c r="B494" s="27">
        <f t="shared" si="21"/>
        <v>46214</v>
      </c>
      <c r="C494" s="18">
        <v>0.16666666666666699</v>
      </c>
      <c r="D494" s="19">
        <f>+SUMIFS(Regiones[Ofrecidas],Regiones[Fecha],Tabla54[[#This Row],[Fecha]],Regiones[Intervalo],Tabla54[[#This Row],[Intervalo]],Regiones[Skill],'BUPA Seguros'!$L$3)</f>
        <v>0</v>
      </c>
      <c r="E494" s="19">
        <f>+SUMIFS(Regiones[Contestadas],Regiones[Fecha],Tabla54[[#This Row],[Fecha]],Regiones[Intervalo],Tabla54[[#This Row],[Intervalo]],Regiones[Skill],'BUPA Seguros'!$L$3)</f>
        <v>0</v>
      </c>
      <c r="F494" s="20">
        <v>0</v>
      </c>
      <c r="G494" s="19">
        <f>IFERROR(SUMIFS(Regiones[TMO],Regiones[Fecha],Tabla54[[#This Row],[Fecha]],Regiones[Intervalo],Tabla54[[#This Row],[Intervalo]],Regiones[Skill],'BUPA Seguros'!$L$3)/Tabla54[[#This Row],[Atendidas]],0)</f>
        <v>0</v>
      </c>
      <c r="H4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4" s="21">
        <f>IFERROR(Tabla54[[#This Row],[Atendidas]]/Tabla54[[#This Row],[Recibidas]],0)</f>
        <v>0</v>
      </c>
    </row>
    <row r="495" spans="2:9" x14ac:dyDescent="0.3">
      <c r="B495" s="25">
        <f t="shared" si="21"/>
        <v>46214</v>
      </c>
      <c r="C495" s="26">
        <v>0.1875</v>
      </c>
      <c r="D495" s="19">
        <f>+SUMIFS(Regiones[Ofrecidas],Regiones[Fecha],Tabla54[[#This Row],[Fecha]],Regiones[Intervalo],Tabla54[[#This Row],[Intervalo]],Regiones[Skill],'BUPA Seguros'!$L$3)</f>
        <v>0</v>
      </c>
      <c r="E495" s="19">
        <f>+SUMIFS(Regiones[Contestadas],Regiones[Fecha],Tabla54[[#This Row],[Fecha]],Regiones[Intervalo],Tabla54[[#This Row],[Intervalo]],Regiones[Skill],'BUPA Seguros'!$L$3)</f>
        <v>0</v>
      </c>
      <c r="F495" s="20">
        <v>0</v>
      </c>
      <c r="G495" s="19">
        <f>IFERROR(SUMIFS(Regiones[TMO],Regiones[Fecha],Tabla54[[#This Row],[Fecha]],Regiones[Intervalo],Tabla54[[#This Row],[Intervalo]],Regiones[Skill],'BUPA Seguros'!$L$3)/Tabla54[[#This Row],[Atendidas]],0)</f>
        <v>0</v>
      </c>
      <c r="H4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5" s="21">
        <f>IFERROR(Tabla54[[#This Row],[Atendidas]]/Tabla54[[#This Row],[Recibidas]],0)</f>
        <v>0</v>
      </c>
    </row>
    <row r="496" spans="2:9" x14ac:dyDescent="0.3">
      <c r="B496" s="27">
        <f t="shared" si="21"/>
        <v>46214</v>
      </c>
      <c r="C496" s="18">
        <v>0.20833333333333301</v>
      </c>
      <c r="D496" s="19">
        <f>+SUMIFS(Regiones[Ofrecidas],Regiones[Fecha],Tabla54[[#This Row],[Fecha]],Regiones[Intervalo],Tabla54[[#This Row],[Intervalo]],Regiones[Skill],'BUPA Seguros'!$L$3)</f>
        <v>0</v>
      </c>
      <c r="E496" s="19">
        <f>+SUMIFS(Regiones[Contestadas],Regiones[Fecha],Tabla54[[#This Row],[Fecha]],Regiones[Intervalo],Tabla54[[#This Row],[Intervalo]],Regiones[Skill],'BUPA Seguros'!$L$3)</f>
        <v>0</v>
      </c>
      <c r="F496" s="20">
        <v>0</v>
      </c>
      <c r="G496" s="19">
        <f>IFERROR(SUMIFS(Regiones[TMO],Regiones[Fecha],Tabla54[[#This Row],[Fecha]],Regiones[Intervalo],Tabla54[[#This Row],[Intervalo]],Regiones[Skill],'BUPA Seguros'!$L$3)/Tabla54[[#This Row],[Atendidas]],0)</f>
        <v>0</v>
      </c>
      <c r="H4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6" s="21">
        <f>IFERROR(Tabla54[[#This Row],[Atendidas]]/Tabla54[[#This Row],[Recibidas]],0)</f>
        <v>0</v>
      </c>
    </row>
    <row r="497" spans="2:9" x14ac:dyDescent="0.3">
      <c r="B497" s="25">
        <f t="shared" si="21"/>
        <v>46214</v>
      </c>
      <c r="C497" s="26">
        <v>0.22916666666666699</v>
      </c>
      <c r="D497" s="19">
        <f>+SUMIFS(Regiones[Ofrecidas],Regiones[Fecha],Tabla54[[#This Row],[Fecha]],Regiones[Intervalo],Tabla54[[#This Row],[Intervalo]],Regiones[Skill],'BUPA Seguros'!$L$3)</f>
        <v>0</v>
      </c>
      <c r="E497" s="19">
        <f>+SUMIFS(Regiones[Contestadas],Regiones[Fecha],Tabla54[[#This Row],[Fecha]],Regiones[Intervalo],Tabla54[[#This Row],[Intervalo]],Regiones[Skill],'BUPA Seguros'!$L$3)</f>
        <v>0</v>
      </c>
      <c r="F497" s="20">
        <v>0</v>
      </c>
      <c r="G497" s="19">
        <f>IFERROR(SUMIFS(Regiones[TMO],Regiones[Fecha],Tabla54[[#This Row],[Fecha]],Regiones[Intervalo],Tabla54[[#This Row],[Intervalo]],Regiones[Skill],'BUPA Seguros'!$L$3)/Tabla54[[#This Row],[Atendidas]],0)</f>
        <v>0</v>
      </c>
      <c r="H4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7" s="21">
        <f>IFERROR(Tabla54[[#This Row],[Atendidas]]/Tabla54[[#This Row],[Recibidas]],0)</f>
        <v>0</v>
      </c>
    </row>
    <row r="498" spans="2:9" x14ac:dyDescent="0.3">
      <c r="B498" s="27">
        <f t="shared" si="21"/>
        <v>46214</v>
      </c>
      <c r="C498" s="18">
        <v>0.25</v>
      </c>
      <c r="D498" s="19">
        <f>+SUMIFS(Regiones[Ofrecidas],Regiones[Fecha],Tabla54[[#This Row],[Fecha]],Regiones[Intervalo],Tabla54[[#This Row],[Intervalo]],Regiones[Skill],'BUPA Seguros'!$L$3)</f>
        <v>0</v>
      </c>
      <c r="E498" s="19">
        <f>+SUMIFS(Regiones[Contestadas],Regiones[Fecha],Tabla54[[#This Row],[Fecha]],Regiones[Intervalo],Tabla54[[#This Row],[Intervalo]],Regiones[Skill],'BUPA Seguros'!$L$3)</f>
        <v>0</v>
      </c>
      <c r="F498" s="20">
        <v>0</v>
      </c>
      <c r="G498" s="19">
        <f>IFERROR(SUMIFS(Regiones[TMO],Regiones[Fecha],Tabla54[[#This Row],[Fecha]],Regiones[Intervalo],Tabla54[[#This Row],[Intervalo]],Regiones[Skill],'BUPA Seguros'!$L$3)/Tabla54[[#This Row],[Atendidas]],0)</f>
        <v>0</v>
      </c>
      <c r="H4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8" s="21">
        <f>IFERROR(Tabla54[[#This Row],[Atendidas]]/Tabla54[[#This Row],[Recibidas]],0)</f>
        <v>0</v>
      </c>
    </row>
    <row r="499" spans="2:9" x14ac:dyDescent="0.3">
      <c r="B499" s="25">
        <f t="shared" si="21"/>
        <v>46214</v>
      </c>
      <c r="C499" s="26">
        <v>0.27083333333333298</v>
      </c>
      <c r="D499" s="19">
        <f>+SUMIFS(Regiones[Ofrecidas],Regiones[Fecha],Tabla54[[#This Row],[Fecha]],Regiones[Intervalo],Tabla54[[#This Row],[Intervalo]],Regiones[Skill],'BUPA Seguros'!$L$3)</f>
        <v>0</v>
      </c>
      <c r="E499" s="19">
        <f>+SUMIFS(Regiones[Contestadas],Regiones[Fecha],Tabla54[[#This Row],[Fecha]],Regiones[Intervalo],Tabla54[[#This Row],[Intervalo]],Regiones[Skill],'BUPA Seguros'!$L$3)</f>
        <v>0</v>
      </c>
      <c r="F499" s="20">
        <v>0</v>
      </c>
      <c r="G499" s="19">
        <f>IFERROR(SUMIFS(Regiones[TMO],Regiones[Fecha],Tabla54[[#This Row],[Fecha]],Regiones[Intervalo],Tabla54[[#This Row],[Intervalo]],Regiones[Skill],'BUPA Seguros'!$L$3)/Tabla54[[#This Row],[Atendidas]],0)</f>
        <v>0</v>
      </c>
      <c r="H4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499" s="21">
        <f>IFERROR(Tabla54[[#This Row],[Atendidas]]/Tabla54[[#This Row],[Recibidas]],0)</f>
        <v>0</v>
      </c>
    </row>
    <row r="500" spans="2:9" x14ac:dyDescent="0.3">
      <c r="B500" s="27">
        <f t="shared" si="21"/>
        <v>46214</v>
      </c>
      <c r="C500" s="18">
        <v>0.29166666666666702</v>
      </c>
      <c r="D500" s="19">
        <f>+SUMIFS(Regiones[Ofrecidas],Regiones[Fecha],Tabla54[[#This Row],[Fecha]],Regiones[Intervalo],Tabla54[[#This Row],[Intervalo]],Regiones[Skill],'BUPA Seguros'!$L$3)</f>
        <v>0</v>
      </c>
      <c r="E500" s="19">
        <f>+SUMIFS(Regiones[Contestadas],Regiones[Fecha],Tabla54[[#This Row],[Fecha]],Regiones[Intervalo],Tabla54[[#This Row],[Intervalo]],Regiones[Skill],'BUPA Seguros'!$L$3)</f>
        <v>0</v>
      </c>
      <c r="F500" s="20">
        <v>0</v>
      </c>
      <c r="G500" s="19">
        <f>IFERROR(SUMIFS(Regiones[TMO],Regiones[Fecha],Tabla54[[#This Row],[Fecha]],Regiones[Intervalo],Tabla54[[#This Row],[Intervalo]],Regiones[Skill],'BUPA Seguros'!$L$3)/Tabla54[[#This Row],[Atendidas]],0)</f>
        <v>0</v>
      </c>
      <c r="H5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0" s="21">
        <f>IFERROR(Tabla54[[#This Row],[Atendidas]]/Tabla54[[#This Row],[Recibidas]],0)</f>
        <v>0</v>
      </c>
    </row>
    <row r="501" spans="2:9" x14ac:dyDescent="0.3">
      <c r="B501" s="25">
        <f t="shared" si="21"/>
        <v>46214</v>
      </c>
      <c r="C501" s="26">
        <v>0.3125</v>
      </c>
      <c r="D501" s="19">
        <f>+SUMIFS(Regiones[Ofrecidas],Regiones[Fecha],Tabla54[[#This Row],[Fecha]],Regiones[Intervalo],Tabla54[[#This Row],[Intervalo]],Regiones[Skill],'BUPA Seguros'!$L$3)</f>
        <v>0</v>
      </c>
      <c r="E501" s="19">
        <f>+SUMIFS(Regiones[Contestadas],Regiones[Fecha],Tabla54[[#This Row],[Fecha]],Regiones[Intervalo],Tabla54[[#This Row],[Intervalo]],Regiones[Skill],'BUPA Seguros'!$L$3)</f>
        <v>0</v>
      </c>
      <c r="F501" s="20">
        <v>0</v>
      </c>
      <c r="G501" s="19">
        <f>IFERROR(SUMIFS(Regiones[TMO],Regiones[Fecha],Tabla54[[#This Row],[Fecha]],Regiones[Intervalo],Tabla54[[#This Row],[Intervalo]],Regiones[Skill],'BUPA Seguros'!$L$3)/Tabla54[[#This Row],[Atendidas]],0)</f>
        <v>0</v>
      </c>
      <c r="H5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1" s="21">
        <f>IFERROR(Tabla54[[#This Row],[Atendidas]]/Tabla54[[#This Row],[Recibidas]],0)</f>
        <v>0</v>
      </c>
    </row>
    <row r="502" spans="2:9" x14ac:dyDescent="0.3">
      <c r="B502" s="27">
        <f t="shared" si="21"/>
        <v>46214</v>
      </c>
      <c r="C502" s="18">
        <v>0.33333333333333298</v>
      </c>
      <c r="D502" s="19">
        <f>+SUMIFS(Regiones[Ofrecidas],Regiones[Fecha],Tabla54[[#This Row],[Fecha]],Regiones[Intervalo],Tabla54[[#This Row],[Intervalo]],Regiones[Skill],'BUPA Seguros'!$L$3)</f>
        <v>0</v>
      </c>
      <c r="E502" s="19">
        <f>+SUMIFS(Regiones[Contestadas],Regiones[Fecha],Tabla54[[#This Row],[Fecha]],Regiones[Intervalo],Tabla54[[#This Row],[Intervalo]],Regiones[Skill],'BUPA Seguros'!$L$3)</f>
        <v>0</v>
      </c>
      <c r="F502" s="20">
        <v>0</v>
      </c>
      <c r="G502" s="19">
        <f>IFERROR(SUMIFS(Regiones[TMO],Regiones[Fecha],Tabla54[[#This Row],[Fecha]],Regiones[Intervalo],Tabla54[[#This Row],[Intervalo]],Regiones[Skill],'BUPA Seguros'!$L$3)/Tabla54[[#This Row],[Atendidas]],0)</f>
        <v>0</v>
      </c>
      <c r="H5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2" s="21">
        <f>IFERROR(Tabla54[[#This Row],[Atendidas]]/Tabla54[[#This Row],[Recibidas]],0)</f>
        <v>0</v>
      </c>
    </row>
    <row r="503" spans="2:9" x14ac:dyDescent="0.3">
      <c r="B503" s="25">
        <f t="shared" si="21"/>
        <v>46214</v>
      </c>
      <c r="C503" s="26">
        <v>0.35416666666666702</v>
      </c>
      <c r="D503" s="19">
        <f>+SUMIFS(Regiones[Ofrecidas],Regiones[Fecha],Tabla54[[#This Row],[Fecha]],Regiones[Intervalo],Tabla54[[#This Row],[Intervalo]],Regiones[Skill],'BUPA Seguros'!$L$3)</f>
        <v>0</v>
      </c>
      <c r="E503" s="19">
        <f>+SUMIFS(Regiones[Contestadas],Regiones[Fecha],Tabla54[[#This Row],[Fecha]],Regiones[Intervalo],Tabla54[[#This Row],[Intervalo]],Regiones[Skill],'BUPA Seguros'!$L$3)</f>
        <v>0</v>
      </c>
      <c r="F503" s="20">
        <v>0</v>
      </c>
      <c r="G503" s="19">
        <f>IFERROR(SUMIFS(Regiones[TMO],Regiones[Fecha],Tabla54[[#This Row],[Fecha]],Regiones[Intervalo],Tabla54[[#This Row],[Intervalo]],Regiones[Skill],'BUPA Seguros'!$L$3)/Tabla54[[#This Row],[Atendidas]],0)</f>
        <v>0</v>
      </c>
      <c r="H5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3" s="21">
        <f>IFERROR(Tabla54[[#This Row],[Atendidas]]/Tabla54[[#This Row],[Recibidas]],0)</f>
        <v>0</v>
      </c>
    </row>
    <row r="504" spans="2:9" x14ac:dyDescent="0.3">
      <c r="B504" s="27">
        <f t="shared" si="21"/>
        <v>46214</v>
      </c>
      <c r="C504" s="18">
        <v>0.375</v>
      </c>
      <c r="D504" s="19">
        <f>+SUMIFS(Regiones[Ofrecidas],Regiones[Fecha],Tabla54[[#This Row],[Fecha]],Regiones[Intervalo],Tabla54[[#This Row],[Intervalo]],Regiones[Skill],'BUPA Seguros'!$L$3)</f>
        <v>0</v>
      </c>
      <c r="E504" s="19">
        <f>+SUMIFS(Regiones[Contestadas],Regiones[Fecha],Tabla54[[#This Row],[Fecha]],Regiones[Intervalo],Tabla54[[#This Row],[Intervalo]],Regiones[Skill],'BUPA Seguros'!$L$3)</f>
        <v>0</v>
      </c>
      <c r="F504" s="20">
        <v>0</v>
      </c>
      <c r="G504" s="19">
        <f>IFERROR(SUMIFS(Regiones[TMO],Regiones[Fecha],Tabla54[[#This Row],[Fecha]],Regiones[Intervalo],Tabla54[[#This Row],[Intervalo]],Regiones[Skill],'BUPA Seguros'!$L$3)/Tabla54[[#This Row],[Atendidas]],0)</f>
        <v>0</v>
      </c>
      <c r="H5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4" s="21">
        <f>IFERROR(Tabla54[[#This Row],[Atendidas]]/Tabla54[[#This Row],[Recibidas]],0)</f>
        <v>0</v>
      </c>
    </row>
    <row r="505" spans="2:9" x14ac:dyDescent="0.3">
      <c r="B505" s="25">
        <f t="shared" si="21"/>
        <v>46214</v>
      </c>
      <c r="C505" s="26">
        <v>0.39583333333333298</v>
      </c>
      <c r="D505" s="19">
        <f>+SUMIFS(Regiones[Ofrecidas],Regiones[Fecha],Tabla54[[#This Row],[Fecha]],Regiones[Intervalo],Tabla54[[#This Row],[Intervalo]],Regiones[Skill],'BUPA Seguros'!$L$3)</f>
        <v>0</v>
      </c>
      <c r="E505" s="19">
        <f>+SUMIFS(Regiones[Contestadas],Regiones[Fecha],Tabla54[[#This Row],[Fecha]],Regiones[Intervalo],Tabla54[[#This Row],[Intervalo]],Regiones[Skill],'BUPA Seguros'!$L$3)</f>
        <v>0</v>
      </c>
      <c r="F505" s="20">
        <v>0</v>
      </c>
      <c r="G505" s="19">
        <f>IFERROR(SUMIFS(Regiones[TMO],Regiones[Fecha],Tabla54[[#This Row],[Fecha]],Regiones[Intervalo],Tabla54[[#This Row],[Intervalo]],Regiones[Skill],'BUPA Seguros'!$L$3)/Tabla54[[#This Row],[Atendidas]],0)</f>
        <v>0</v>
      </c>
      <c r="H5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5" s="21">
        <f>IFERROR(Tabla54[[#This Row],[Atendidas]]/Tabla54[[#This Row],[Recibidas]],0)</f>
        <v>0</v>
      </c>
    </row>
    <row r="506" spans="2:9" x14ac:dyDescent="0.3">
      <c r="B506" s="27">
        <f t="shared" si="21"/>
        <v>46214</v>
      </c>
      <c r="C506" s="18">
        <v>0.41666666666666702</v>
      </c>
      <c r="D506" s="19">
        <f>+SUMIFS(Regiones[Ofrecidas],Regiones[Fecha],Tabla54[[#This Row],[Fecha]],Regiones[Intervalo],Tabla54[[#This Row],[Intervalo]],Regiones[Skill],'BUPA Seguros'!$L$3)</f>
        <v>0</v>
      </c>
      <c r="E506" s="19">
        <f>+SUMIFS(Regiones[Contestadas],Regiones[Fecha],Tabla54[[#This Row],[Fecha]],Regiones[Intervalo],Tabla54[[#This Row],[Intervalo]],Regiones[Skill],'BUPA Seguros'!$L$3)</f>
        <v>0</v>
      </c>
      <c r="F506" s="20">
        <v>0</v>
      </c>
      <c r="G506" s="19">
        <f>IFERROR(SUMIFS(Regiones[TMO],Regiones[Fecha],Tabla54[[#This Row],[Fecha]],Regiones[Intervalo],Tabla54[[#This Row],[Intervalo]],Regiones[Skill],'BUPA Seguros'!$L$3)/Tabla54[[#This Row],[Atendidas]],0)</f>
        <v>0</v>
      </c>
      <c r="H5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6" s="21">
        <f>IFERROR(Tabla54[[#This Row],[Atendidas]]/Tabla54[[#This Row],[Recibidas]],0)</f>
        <v>0</v>
      </c>
    </row>
    <row r="507" spans="2:9" x14ac:dyDescent="0.3">
      <c r="B507" s="25">
        <f t="shared" si="21"/>
        <v>46214</v>
      </c>
      <c r="C507" s="26">
        <v>0.4375</v>
      </c>
      <c r="D507" s="19">
        <f>+SUMIFS(Regiones[Ofrecidas],Regiones[Fecha],Tabla54[[#This Row],[Fecha]],Regiones[Intervalo],Tabla54[[#This Row],[Intervalo]],Regiones[Skill],'BUPA Seguros'!$L$3)</f>
        <v>0</v>
      </c>
      <c r="E507" s="19">
        <f>+SUMIFS(Regiones[Contestadas],Regiones[Fecha],Tabla54[[#This Row],[Fecha]],Regiones[Intervalo],Tabla54[[#This Row],[Intervalo]],Regiones[Skill],'BUPA Seguros'!$L$3)</f>
        <v>0</v>
      </c>
      <c r="F507" s="20">
        <v>0</v>
      </c>
      <c r="G507" s="19">
        <f>IFERROR(SUMIFS(Regiones[TMO],Regiones[Fecha],Tabla54[[#This Row],[Fecha]],Regiones[Intervalo],Tabla54[[#This Row],[Intervalo]],Regiones[Skill],'BUPA Seguros'!$L$3)/Tabla54[[#This Row],[Atendidas]],0)</f>
        <v>0</v>
      </c>
      <c r="H5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7" s="21">
        <f>IFERROR(Tabla54[[#This Row],[Atendidas]]/Tabla54[[#This Row],[Recibidas]],0)</f>
        <v>0</v>
      </c>
    </row>
    <row r="508" spans="2:9" x14ac:dyDescent="0.3">
      <c r="B508" s="27">
        <f t="shared" si="21"/>
        <v>46214</v>
      </c>
      <c r="C508" s="18">
        <v>0.45833333333333298</v>
      </c>
      <c r="D508" s="19">
        <f>+SUMIFS(Regiones[Ofrecidas],Regiones[Fecha],Tabla54[[#This Row],[Fecha]],Regiones[Intervalo],Tabla54[[#This Row],[Intervalo]],Regiones[Skill],'BUPA Seguros'!$L$3)</f>
        <v>0</v>
      </c>
      <c r="E508" s="19">
        <f>+SUMIFS(Regiones[Contestadas],Regiones[Fecha],Tabla54[[#This Row],[Fecha]],Regiones[Intervalo],Tabla54[[#This Row],[Intervalo]],Regiones[Skill],'BUPA Seguros'!$L$3)</f>
        <v>0</v>
      </c>
      <c r="F508" s="20">
        <v>0</v>
      </c>
      <c r="G508" s="19">
        <f>IFERROR(SUMIFS(Regiones[TMO],Regiones[Fecha],Tabla54[[#This Row],[Fecha]],Regiones[Intervalo],Tabla54[[#This Row],[Intervalo]],Regiones[Skill],'BUPA Seguros'!$L$3)/Tabla54[[#This Row],[Atendidas]],0)</f>
        <v>0</v>
      </c>
      <c r="H5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8" s="21">
        <f>IFERROR(Tabla54[[#This Row],[Atendidas]]/Tabla54[[#This Row],[Recibidas]],0)</f>
        <v>0</v>
      </c>
    </row>
    <row r="509" spans="2:9" x14ac:dyDescent="0.3">
      <c r="B509" s="25">
        <f t="shared" si="21"/>
        <v>46214</v>
      </c>
      <c r="C509" s="26">
        <v>0.47916666666666702</v>
      </c>
      <c r="D509" s="19">
        <f>+SUMIFS(Regiones[Ofrecidas],Regiones[Fecha],Tabla54[[#This Row],[Fecha]],Regiones[Intervalo],Tabla54[[#This Row],[Intervalo]],Regiones[Skill],'BUPA Seguros'!$L$3)</f>
        <v>0</v>
      </c>
      <c r="E509" s="19">
        <f>+SUMIFS(Regiones[Contestadas],Regiones[Fecha],Tabla54[[#This Row],[Fecha]],Regiones[Intervalo],Tabla54[[#This Row],[Intervalo]],Regiones[Skill],'BUPA Seguros'!$L$3)</f>
        <v>0</v>
      </c>
      <c r="F509" s="20">
        <v>0</v>
      </c>
      <c r="G509" s="19">
        <f>IFERROR(SUMIFS(Regiones[TMO],Regiones[Fecha],Tabla54[[#This Row],[Fecha]],Regiones[Intervalo],Tabla54[[#This Row],[Intervalo]],Regiones[Skill],'BUPA Seguros'!$L$3)/Tabla54[[#This Row],[Atendidas]],0)</f>
        <v>0</v>
      </c>
      <c r="H5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09" s="21">
        <f>IFERROR(Tabla54[[#This Row],[Atendidas]]/Tabla54[[#This Row],[Recibidas]],0)</f>
        <v>0</v>
      </c>
    </row>
    <row r="510" spans="2:9" x14ac:dyDescent="0.3">
      <c r="B510" s="27">
        <f t="shared" si="21"/>
        <v>46214</v>
      </c>
      <c r="C510" s="18">
        <v>0.5</v>
      </c>
      <c r="D510" s="19">
        <f>+SUMIFS(Regiones[Ofrecidas],Regiones[Fecha],Tabla54[[#This Row],[Fecha]],Regiones[Intervalo],Tabla54[[#This Row],[Intervalo]],Regiones[Skill],'BUPA Seguros'!$L$3)</f>
        <v>0</v>
      </c>
      <c r="E510" s="19">
        <f>+SUMIFS(Regiones[Contestadas],Regiones[Fecha],Tabla54[[#This Row],[Fecha]],Regiones[Intervalo],Tabla54[[#This Row],[Intervalo]],Regiones[Skill],'BUPA Seguros'!$L$3)</f>
        <v>0</v>
      </c>
      <c r="F510" s="20">
        <v>0</v>
      </c>
      <c r="G510" s="19">
        <f>IFERROR(SUMIFS(Regiones[TMO],Regiones[Fecha],Tabla54[[#This Row],[Fecha]],Regiones[Intervalo],Tabla54[[#This Row],[Intervalo]],Regiones[Skill],'BUPA Seguros'!$L$3)/Tabla54[[#This Row],[Atendidas]],0)</f>
        <v>0</v>
      </c>
      <c r="H5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0" s="21">
        <f>IFERROR(Tabla54[[#This Row],[Atendidas]]/Tabla54[[#This Row],[Recibidas]],0)</f>
        <v>0</v>
      </c>
    </row>
    <row r="511" spans="2:9" x14ac:dyDescent="0.3">
      <c r="B511" s="25">
        <f t="shared" si="21"/>
        <v>46214</v>
      </c>
      <c r="C511" s="26">
        <v>0.52083333333333304</v>
      </c>
      <c r="D511" s="19">
        <f>+SUMIFS(Regiones[Ofrecidas],Regiones[Fecha],Tabla54[[#This Row],[Fecha]],Regiones[Intervalo],Tabla54[[#This Row],[Intervalo]],Regiones[Skill],'BUPA Seguros'!$L$3)</f>
        <v>0</v>
      </c>
      <c r="E511" s="19">
        <f>+SUMIFS(Regiones[Contestadas],Regiones[Fecha],Tabla54[[#This Row],[Fecha]],Regiones[Intervalo],Tabla54[[#This Row],[Intervalo]],Regiones[Skill],'BUPA Seguros'!$L$3)</f>
        <v>0</v>
      </c>
      <c r="F511" s="20">
        <v>0</v>
      </c>
      <c r="G511" s="19">
        <f>IFERROR(SUMIFS(Regiones[TMO],Regiones[Fecha],Tabla54[[#This Row],[Fecha]],Regiones[Intervalo],Tabla54[[#This Row],[Intervalo]],Regiones[Skill],'BUPA Seguros'!$L$3)/Tabla54[[#This Row],[Atendidas]],0)</f>
        <v>0</v>
      </c>
      <c r="H5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1" s="21">
        <f>IFERROR(Tabla54[[#This Row],[Atendidas]]/Tabla54[[#This Row],[Recibidas]],0)</f>
        <v>0</v>
      </c>
    </row>
    <row r="512" spans="2:9" x14ac:dyDescent="0.3">
      <c r="B512" s="27">
        <f t="shared" si="21"/>
        <v>46214</v>
      </c>
      <c r="C512" s="18">
        <v>0.54166666666666696</v>
      </c>
      <c r="D512" s="19">
        <f>+SUMIFS(Regiones[Ofrecidas],Regiones[Fecha],Tabla54[[#This Row],[Fecha]],Regiones[Intervalo],Tabla54[[#This Row],[Intervalo]],Regiones[Skill],'BUPA Seguros'!$L$3)</f>
        <v>0</v>
      </c>
      <c r="E512" s="19">
        <f>+SUMIFS(Regiones[Contestadas],Regiones[Fecha],Tabla54[[#This Row],[Fecha]],Regiones[Intervalo],Tabla54[[#This Row],[Intervalo]],Regiones[Skill],'BUPA Seguros'!$L$3)</f>
        <v>0</v>
      </c>
      <c r="F512" s="20">
        <v>0</v>
      </c>
      <c r="G512" s="19">
        <f>IFERROR(SUMIFS(Regiones[TMO],Regiones[Fecha],Tabla54[[#This Row],[Fecha]],Regiones[Intervalo],Tabla54[[#This Row],[Intervalo]],Regiones[Skill],'BUPA Seguros'!$L$3)/Tabla54[[#This Row],[Atendidas]],0)</f>
        <v>0</v>
      </c>
      <c r="H5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2" s="21">
        <f>IFERROR(Tabla54[[#This Row],[Atendidas]]/Tabla54[[#This Row],[Recibidas]],0)</f>
        <v>0</v>
      </c>
    </row>
    <row r="513" spans="2:9" x14ac:dyDescent="0.3">
      <c r="B513" s="25">
        <f t="shared" si="21"/>
        <v>46214</v>
      </c>
      <c r="C513" s="26">
        <v>0.5625</v>
      </c>
      <c r="D513" s="19">
        <f>+SUMIFS(Regiones[Ofrecidas],Regiones[Fecha],Tabla54[[#This Row],[Fecha]],Regiones[Intervalo],Tabla54[[#This Row],[Intervalo]],Regiones[Skill],'BUPA Seguros'!$L$3)</f>
        <v>0</v>
      </c>
      <c r="E513" s="19">
        <f>+SUMIFS(Regiones[Contestadas],Regiones[Fecha],Tabla54[[#This Row],[Fecha]],Regiones[Intervalo],Tabla54[[#This Row],[Intervalo]],Regiones[Skill],'BUPA Seguros'!$L$3)</f>
        <v>0</v>
      </c>
      <c r="F513" s="20">
        <v>0</v>
      </c>
      <c r="G513" s="19">
        <f>IFERROR(SUMIFS(Regiones[TMO],Regiones[Fecha],Tabla54[[#This Row],[Fecha]],Regiones[Intervalo],Tabla54[[#This Row],[Intervalo]],Regiones[Skill],'BUPA Seguros'!$L$3)/Tabla54[[#This Row],[Atendidas]],0)</f>
        <v>0</v>
      </c>
      <c r="H5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3" s="21">
        <f>IFERROR(Tabla54[[#This Row],[Atendidas]]/Tabla54[[#This Row],[Recibidas]],0)</f>
        <v>0</v>
      </c>
    </row>
    <row r="514" spans="2:9" x14ac:dyDescent="0.3">
      <c r="B514" s="27">
        <f t="shared" si="21"/>
        <v>46214</v>
      </c>
      <c r="C514" s="18">
        <v>0.58333333333333304</v>
      </c>
      <c r="D514" s="19">
        <f>+SUMIFS(Regiones[Ofrecidas],Regiones[Fecha],Tabla54[[#This Row],[Fecha]],Regiones[Intervalo],Tabla54[[#This Row],[Intervalo]],Regiones[Skill],'BUPA Seguros'!$L$3)</f>
        <v>0</v>
      </c>
      <c r="E514" s="19">
        <f>+SUMIFS(Regiones[Contestadas],Regiones[Fecha],Tabla54[[#This Row],[Fecha]],Regiones[Intervalo],Tabla54[[#This Row],[Intervalo]],Regiones[Skill],'BUPA Seguros'!$L$3)</f>
        <v>0</v>
      </c>
      <c r="F514" s="20">
        <v>0</v>
      </c>
      <c r="G514" s="19">
        <f>IFERROR(SUMIFS(Regiones[TMO],Regiones[Fecha],Tabla54[[#This Row],[Fecha]],Regiones[Intervalo],Tabla54[[#This Row],[Intervalo]],Regiones[Skill],'BUPA Seguros'!$L$3)/Tabla54[[#This Row],[Atendidas]],0)</f>
        <v>0</v>
      </c>
      <c r="H5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4" s="21">
        <f>IFERROR(Tabla54[[#This Row],[Atendidas]]/Tabla54[[#This Row],[Recibidas]],0)</f>
        <v>0</v>
      </c>
    </row>
    <row r="515" spans="2:9" x14ac:dyDescent="0.3">
      <c r="B515" s="25">
        <f t="shared" si="21"/>
        <v>46214</v>
      </c>
      <c r="C515" s="26">
        <v>0.60416666666666696</v>
      </c>
      <c r="D515" s="19">
        <f>+SUMIFS(Regiones[Ofrecidas],Regiones[Fecha],Tabla54[[#This Row],[Fecha]],Regiones[Intervalo],Tabla54[[#This Row],[Intervalo]],Regiones[Skill],'BUPA Seguros'!$L$3)</f>
        <v>0</v>
      </c>
      <c r="E515" s="19">
        <f>+SUMIFS(Regiones[Contestadas],Regiones[Fecha],Tabla54[[#This Row],[Fecha]],Regiones[Intervalo],Tabla54[[#This Row],[Intervalo]],Regiones[Skill],'BUPA Seguros'!$L$3)</f>
        <v>0</v>
      </c>
      <c r="F515" s="20">
        <v>0</v>
      </c>
      <c r="G515" s="19">
        <f>IFERROR(SUMIFS(Regiones[TMO],Regiones[Fecha],Tabla54[[#This Row],[Fecha]],Regiones[Intervalo],Tabla54[[#This Row],[Intervalo]],Regiones[Skill],'BUPA Seguros'!$L$3)/Tabla54[[#This Row],[Atendidas]],0)</f>
        <v>0</v>
      </c>
      <c r="H5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5" s="21">
        <f>IFERROR(Tabla54[[#This Row],[Atendidas]]/Tabla54[[#This Row],[Recibidas]],0)</f>
        <v>0</v>
      </c>
    </row>
    <row r="516" spans="2:9" x14ac:dyDescent="0.3">
      <c r="B516" s="27">
        <f t="shared" si="21"/>
        <v>46214</v>
      </c>
      <c r="C516" s="18">
        <v>0.625</v>
      </c>
      <c r="D516" s="19">
        <f>+SUMIFS(Regiones[Ofrecidas],Regiones[Fecha],Tabla54[[#This Row],[Fecha]],Regiones[Intervalo],Tabla54[[#This Row],[Intervalo]],Regiones[Skill],'BUPA Seguros'!$L$3)</f>
        <v>0</v>
      </c>
      <c r="E516" s="19">
        <f>+SUMIFS(Regiones[Contestadas],Regiones[Fecha],Tabla54[[#This Row],[Fecha]],Regiones[Intervalo],Tabla54[[#This Row],[Intervalo]],Regiones[Skill],'BUPA Seguros'!$L$3)</f>
        <v>0</v>
      </c>
      <c r="F516" s="20">
        <v>0</v>
      </c>
      <c r="G516" s="19">
        <f>IFERROR(SUMIFS(Regiones[TMO],Regiones[Fecha],Tabla54[[#This Row],[Fecha]],Regiones[Intervalo],Tabla54[[#This Row],[Intervalo]],Regiones[Skill],'BUPA Seguros'!$L$3)/Tabla54[[#This Row],[Atendidas]],0)</f>
        <v>0</v>
      </c>
      <c r="H5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6" s="21">
        <f>IFERROR(Tabla54[[#This Row],[Atendidas]]/Tabla54[[#This Row],[Recibidas]],0)</f>
        <v>0</v>
      </c>
    </row>
    <row r="517" spans="2:9" x14ac:dyDescent="0.3">
      <c r="B517" s="25">
        <f t="shared" si="21"/>
        <v>46214</v>
      </c>
      <c r="C517" s="26">
        <v>0.64583333333333304</v>
      </c>
      <c r="D517" s="19">
        <f>+SUMIFS(Regiones[Ofrecidas],Regiones[Fecha],Tabla54[[#This Row],[Fecha]],Regiones[Intervalo],Tabla54[[#This Row],[Intervalo]],Regiones[Skill],'BUPA Seguros'!$L$3)</f>
        <v>0</v>
      </c>
      <c r="E517" s="19">
        <f>+SUMIFS(Regiones[Contestadas],Regiones[Fecha],Tabla54[[#This Row],[Fecha]],Regiones[Intervalo],Tabla54[[#This Row],[Intervalo]],Regiones[Skill],'BUPA Seguros'!$L$3)</f>
        <v>0</v>
      </c>
      <c r="F517" s="20">
        <v>0</v>
      </c>
      <c r="G517" s="19">
        <f>IFERROR(SUMIFS(Regiones[TMO],Regiones[Fecha],Tabla54[[#This Row],[Fecha]],Regiones[Intervalo],Tabla54[[#This Row],[Intervalo]],Regiones[Skill],'BUPA Seguros'!$L$3)/Tabla54[[#This Row],[Atendidas]],0)</f>
        <v>0</v>
      </c>
      <c r="H5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7" s="21">
        <f>IFERROR(Tabla54[[#This Row],[Atendidas]]/Tabla54[[#This Row],[Recibidas]],0)</f>
        <v>0</v>
      </c>
    </row>
    <row r="518" spans="2:9" x14ac:dyDescent="0.3">
      <c r="B518" s="27">
        <f t="shared" si="21"/>
        <v>46214</v>
      </c>
      <c r="C518" s="18">
        <v>0.66666666666666696</v>
      </c>
      <c r="D518" s="19">
        <f>+SUMIFS(Regiones[Ofrecidas],Regiones[Fecha],Tabla54[[#This Row],[Fecha]],Regiones[Intervalo],Tabla54[[#This Row],[Intervalo]],Regiones[Skill],'BUPA Seguros'!$L$3)</f>
        <v>0</v>
      </c>
      <c r="E518" s="19">
        <f>+SUMIFS(Regiones[Contestadas],Regiones[Fecha],Tabla54[[#This Row],[Fecha]],Regiones[Intervalo],Tabla54[[#This Row],[Intervalo]],Regiones[Skill],'BUPA Seguros'!$L$3)</f>
        <v>0</v>
      </c>
      <c r="F518" s="20">
        <v>0</v>
      </c>
      <c r="G518" s="19">
        <f>IFERROR(SUMIFS(Regiones[TMO],Regiones[Fecha],Tabla54[[#This Row],[Fecha]],Regiones[Intervalo],Tabla54[[#This Row],[Intervalo]],Regiones[Skill],'BUPA Seguros'!$L$3)/Tabla54[[#This Row],[Atendidas]],0)</f>
        <v>0</v>
      </c>
      <c r="H5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8" s="21">
        <f>IFERROR(Tabla54[[#This Row],[Atendidas]]/Tabla54[[#This Row],[Recibidas]],0)</f>
        <v>0</v>
      </c>
    </row>
    <row r="519" spans="2:9" x14ac:dyDescent="0.3">
      <c r="B519" s="25">
        <f t="shared" si="21"/>
        <v>46214</v>
      </c>
      <c r="C519" s="26">
        <v>0.6875</v>
      </c>
      <c r="D519" s="19">
        <f>+SUMIFS(Regiones[Ofrecidas],Regiones[Fecha],Tabla54[[#This Row],[Fecha]],Regiones[Intervalo],Tabla54[[#This Row],[Intervalo]],Regiones[Skill],'BUPA Seguros'!$L$3)</f>
        <v>0</v>
      </c>
      <c r="E519" s="19">
        <f>+SUMIFS(Regiones[Contestadas],Regiones[Fecha],Tabla54[[#This Row],[Fecha]],Regiones[Intervalo],Tabla54[[#This Row],[Intervalo]],Regiones[Skill],'BUPA Seguros'!$L$3)</f>
        <v>0</v>
      </c>
      <c r="F519" s="20">
        <v>0</v>
      </c>
      <c r="G519" s="19">
        <f>IFERROR(SUMIFS(Regiones[TMO],Regiones[Fecha],Tabla54[[#This Row],[Fecha]],Regiones[Intervalo],Tabla54[[#This Row],[Intervalo]],Regiones[Skill],'BUPA Seguros'!$L$3)/Tabla54[[#This Row],[Atendidas]],0)</f>
        <v>0</v>
      </c>
      <c r="H5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19" s="21">
        <f>IFERROR(Tabla54[[#This Row],[Atendidas]]/Tabla54[[#This Row],[Recibidas]],0)</f>
        <v>0</v>
      </c>
    </row>
    <row r="520" spans="2:9" x14ac:dyDescent="0.3">
      <c r="B520" s="27">
        <f t="shared" si="21"/>
        <v>46214</v>
      </c>
      <c r="C520" s="18">
        <v>0.70833333333333304</v>
      </c>
      <c r="D520" s="19">
        <f>+SUMIFS(Regiones[Ofrecidas],Regiones[Fecha],Tabla54[[#This Row],[Fecha]],Regiones[Intervalo],Tabla54[[#This Row],[Intervalo]],Regiones[Skill],'BUPA Seguros'!$L$3)</f>
        <v>0</v>
      </c>
      <c r="E520" s="19">
        <f>+SUMIFS(Regiones[Contestadas],Regiones[Fecha],Tabla54[[#This Row],[Fecha]],Regiones[Intervalo],Tabla54[[#This Row],[Intervalo]],Regiones[Skill],'BUPA Seguros'!$L$3)</f>
        <v>0</v>
      </c>
      <c r="F520" s="20">
        <v>0</v>
      </c>
      <c r="G520" s="19">
        <f>IFERROR(SUMIFS(Regiones[TMO],Regiones[Fecha],Tabla54[[#This Row],[Fecha]],Regiones[Intervalo],Tabla54[[#This Row],[Intervalo]],Regiones[Skill],'BUPA Seguros'!$L$3)/Tabla54[[#This Row],[Atendidas]],0)</f>
        <v>0</v>
      </c>
      <c r="H5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0" s="21">
        <f>IFERROR(Tabla54[[#This Row],[Atendidas]]/Tabla54[[#This Row],[Recibidas]],0)</f>
        <v>0</v>
      </c>
    </row>
    <row r="521" spans="2:9" x14ac:dyDescent="0.3">
      <c r="B521" s="25">
        <f t="shared" si="21"/>
        <v>46214</v>
      </c>
      <c r="C521" s="26">
        <v>0.72916666666666696</v>
      </c>
      <c r="D521" s="19">
        <f>+SUMIFS(Regiones[Ofrecidas],Regiones[Fecha],Tabla54[[#This Row],[Fecha]],Regiones[Intervalo],Tabla54[[#This Row],[Intervalo]],Regiones[Skill],'BUPA Seguros'!$L$3)</f>
        <v>0</v>
      </c>
      <c r="E521" s="19">
        <f>+SUMIFS(Regiones[Contestadas],Regiones[Fecha],Tabla54[[#This Row],[Fecha]],Regiones[Intervalo],Tabla54[[#This Row],[Intervalo]],Regiones[Skill],'BUPA Seguros'!$L$3)</f>
        <v>0</v>
      </c>
      <c r="F521" s="20">
        <v>0</v>
      </c>
      <c r="G521" s="19">
        <f>IFERROR(SUMIFS(Regiones[TMO],Regiones[Fecha],Tabla54[[#This Row],[Fecha]],Regiones[Intervalo],Tabla54[[#This Row],[Intervalo]],Regiones[Skill],'BUPA Seguros'!$L$3)/Tabla54[[#This Row],[Atendidas]],0)</f>
        <v>0</v>
      </c>
      <c r="H5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1" s="21">
        <f>IFERROR(Tabla54[[#This Row],[Atendidas]]/Tabla54[[#This Row],[Recibidas]],0)</f>
        <v>0</v>
      </c>
    </row>
    <row r="522" spans="2:9" x14ac:dyDescent="0.3">
      <c r="B522" s="27">
        <f t="shared" si="21"/>
        <v>46214</v>
      </c>
      <c r="C522" s="18">
        <v>0.75</v>
      </c>
      <c r="D522" s="19">
        <f>+SUMIFS(Regiones[Ofrecidas],Regiones[Fecha],Tabla54[[#This Row],[Fecha]],Regiones[Intervalo],Tabla54[[#This Row],[Intervalo]],Regiones[Skill],'BUPA Seguros'!$L$3)</f>
        <v>0</v>
      </c>
      <c r="E522" s="19">
        <f>+SUMIFS(Regiones[Contestadas],Regiones[Fecha],Tabla54[[#This Row],[Fecha]],Regiones[Intervalo],Tabla54[[#This Row],[Intervalo]],Regiones[Skill],'BUPA Seguros'!$L$3)</f>
        <v>0</v>
      </c>
      <c r="F522" s="20">
        <v>0</v>
      </c>
      <c r="G522" s="19">
        <f>IFERROR(SUMIFS(Regiones[TMO],Regiones[Fecha],Tabla54[[#This Row],[Fecha]],Regiones[Intervalo],Tabla54[[#This Row],[Intervalo]],Regiones[Skill],'BUPA Seguros'!$L$3)/Tabla54[[#This Row],[Atendidas]],0)</f>
        <v>0</v>
      </c>
      <c r="H5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2" s="21">
        <f>IFERROR(Tabla54[[#This Row],[Atendidas]]/Tabla54[[#This Row],[Recibidas]],0)</f>
        <v>0</v>
      </c>
    </row>
    <row r="523" spans="2:9" x14ac:dyDescent="0.3">
      <c r="B523" s="25">
        <f t="shared" si="21"/>
        <v>46214</v>
      </c>
      <c r="C523" s="26">
        <v>0.77083333333333304</v>
      </c>
      <c r="D523" s="19">
        <f>+SUMIFS(Regiones[Ofrecidas],Regiones[Fecha],Tabla54[[#This Row],[Fecha]],Regiones[Intervalo],Tabla54[[#This Row],[Intervalo]],Regiones[Skill],'BUPA Seguros'!$L$3)</f>
        <v>0</v>
      </c>
      <c r="E523" s="19">
        <f>+SUMIFS(Regiones[Contestadas],Regiones[Fecha],Tabla54[[#This Row],[Fecha]],Regiones[Intervalo],Tabla54[[#This Row],[Intervalo]],Regiones[Skill],'BUPA Seguros'!$L$3)</f>
        <v>0</v>
      </c>
      <c r="F523" s="20">
        <v>0</v>
      </c>
      <c r="G523" s="19">
        <f>IFERROR(SUMIFS(Regiones[TMO],Regiones[Fecha],Tabla54[[#This Row],[Fecha]],Regiones[Intervalo],Tabla54[[#This Row],[Intervalo]],Regiones[Skill],'BUPA Seguros'!$L$3)/Tabla54[[#This Row],[Atendidas]],0)</f>
        <v>0</v>
      </c>
      <c r="H5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3" s="21">
        <f>IFERROR(Tabla54[[#This Row],[Atendidas]]/Tabla54[[#This Row],[Recibidas]],0)</f>
        <v>0</v>
      </c>
    </row>
    <row r="524" spans="2:9" x14ac:dyDescent="0.3">
      <c r="B524" s="27">
        <f t="shared" si="21"/>
        <v>46214</v>
      </c>
      <c r="C524" s="18">
        <v>0.79166666666666696</v>
      </c>
      <c r="D524" s="19">
        <f>+SUMIFS(Regiones[Ofrecidas],Regiones[Fecha],Tabla54[[#This Row],[Fecha]],Regiones[Intervalo],Tabla54[[#This Row],[Intervalo]],Regiones[Skill],'BUPA Seguros'!$L$3)</f>
        <v>0</v>
      </c>
      <c r="E524" s="19">
        <f>+SUMIFS(Regiones[Contestadas],Regiones[Fecha],Tabla54[[#This Row],[Fecha]],Regiones[Intervalo],Tabla54[[#This Row],[Intervalo]],Regiones[Skill],'BUPA Seguros'!$L$3)</f>
        <v>0</v>
      </c>
      <c r="F524" s="20">
        <v>0</v>
      </c>
      <c r="G524" s="19">
        <f>IFERROR(SUMIFS(Regiones[TMO],Regiones[Fecha],Tabla54[[#This Row],[Fecha]],Regiones[Intervalo],Tabla54[[#This Row],[Intervalo]],Regiones[Skill],'BUPA Seguros'!$L$3)/Tabla54[[#This Row],[Atendidas]],0)</f>
        <v>0</v>
      </c>
      <c r="H5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4" s="21">
        <f>IFERROR(Tabla54[[#This Row],[Atendidas]]/Tabla54[[#This Row],[Recibidas]],0)</f>
        <v>0</v>
      </c>
    </row>
    <row r="525" spans="2:9" x14ac:dyDescent="0.3">
      <c r="B525" s="25">
        <f t="shared" si="21"/>
        <v>46214</v>
      </c>
      <c r="C525" s="26">
        <v>0.8125</v>
      </c>
      <c r="D525" s="19">
        <f>+SUMIFS(Regiones[Ofrecidas],Regiones[Fecha],Tabla54[[#This Row],[Fecha]],Regiones[Intervalo],Tabla54[[#This Row],[Intervalo]],Regiones[Skill],'BUPA Seguros'!$L$3)</f>
        <v>0</v>
      </c>
      <c r="E525" s="19">
        <f>+SUMIFS(Regiones[Contestadas],Regiones[Fecha],Tabla54[[#This Row],[Fecha]],Regiones[Intervalo],Tabla54[[#This Row],[Intervalo]],Regiones[Skill],'BUPA Seguros'!$L$3)</f>
        <v>0</v>
      </c>
      <c r="F525" s="20">
        <v>0</v>
      </c>
      <c r="G525" s="19">
        <f>IFERROR(SUMIFS(Regiones[TMO],Regiones[Fecha],Tabla54[[#This Row],[Fecha]],Regiones[Intervalo],Tabla54[[#This Row],[Intervalo]],Regiones[Skill],'BUPA Seguros'!$L$3)/Tabla54[[#This Row],[Atendidas]],0)</f>
        <v>0</v>
      </c>
      <c r="H5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5" s="21">
        <f>IFERROR(Tabla54[[#This Row],[Atendidas]]/Tabla54[[#This Row],[Recibidas]],0)</f>
        <v>0</v>
      </c>
    </row>
    <row r="526" spans="2:9" x14ac:dyDescent="0.3">
      <c r="B526" s="27">
        <f t="shared" si="21"/>
        <v>46214</v>
      </c>
      <c r="C526" s="18">
        <v>0.83333333333333304</v>
      </c>
      <c r="D526" s="19">
        <f>+SUMIFS(Regiones[Ofrecidas],Regiones[Fecha],Tabla54[[#This Row],[Fecha]],Regiones[Intervalo],Tabla54[[#This Row],[Intervalo]],Regiones[Skill],'BUPA Seguros'!$L$3)</f>
        <v>0</v>
      </c>
      <c r="E526" s="19">
        <f>+SUMIFS(Regiones[Contestadas],Regiones[Fecha],Tabla54[[#This Row],[Fecha]],Regiones[Intervalo],Tabla54[[#This Row],[Intervalo]],Regiones[Skill],'BUPA Seguros'!$L$3)</f>
        <v>0</v>
      </c>
      <c r="F526" s="20">
        <v>0</v>
      </c>
      <c r="G526" s="19">
        <f>IFERROR(SUMIFS(Regiones[TMO],Regiones[Fecha],Tabla54[[#This Row],[Fecha]],Regiones[Intervalo],Tabla54[[#This Row],[Intervalo]],Regiones[Skill],'BUPA Seguros'!$L$3)/Tabla54[[#This Row],[Atendidas]],0)</f>
        <v>0</v>
      </c>
      <c r="H5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6" s="21">
        <f>IFERROR(Tabla54[[#This Row],[Atendidas]]/Tabla54[[#This Row],[Recibidas]],0)</f>
        <v>0</v>
      </c>
    </row>
    <row r="527" spans="2:9" x14ac:dyDescent="0.3">
      <c r="B527" s="25">
        <f t="shared" si="21"/>
        <v>46214</v>
      </c>
      <c r="C527" s="26">
        <v>0.85416666666666696</v>
      </c>
      <c r="D527" s="19">
        <f>+SUMIFS(Regiones[Ofrecidas],Regiones[Fecha],Tabla54[[#This Row],[Fecha]],Regiones[Intervalo],Tabla54[[#This Row],[Intervalo]],Regiones[Skill],'BUPA Seguros'!$L$3)</f>
        <v>0</v>
      </c>
      <c r="E527" s="19">
        <f>+SUMIFS(Regiones[Contestadas],Regiones[Fecha],Tabla54[[#This Row],[Fecha]],Regiones[Intervalo],Tabla54[[#This Row],[Intervalo]],Regiones[Skill],'BUPA Seguros'!$L$3)</f>
        <v>0</v>
      </c>
      <c r="F527" s="20">
        <v>0</v>
      </c>
      <c r="G527" s="19">
        <f>IFERROR(SUMIFS(Regiones[TMO],Regiones[Fecha],Tabla54[[#This Row],[Fecha]],Regiones[Intervalo],Tabla54[[#This Row],[Intervalo]],Regiones[Skill],'BUPA Seguros'!$L$3)/Tabla54[[#This Row],[Atendidas]],0)</f>
        <v>0</v>
      </c>
      <c r="H5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7" s="21">
        <f>IFERROR(Tabla54[[#This Row],[Atendidas]]/Tabla54[[#This Row],[Recibidas]],0)</f>
        <v>0</v>
      </c>
    </row>
    <row r="528" spans="2:9" x14ac:dyDescent="0.3">
      <c r="B528" s="27">
        <f t="shared" si="21"/>
        <v>46214</v>
      </c>
      <c r="C528" s="18">
        <v>0.875</v>
      </c>
      <c r="D528" s="19">
        <f>+SUMIFS(Regiones[Ofrecidas],Regiones[Fecha],Tabla54[[#This Row],[Fecha]],Regiones[Intervalo],Tabla54[[#This Row],[Intervalo]],Regiones[Skill],'BUPA Seguros'!$L$3)</f>
        <v>0</v>
      </c>
      <c r="E528" s="19">
        <f>+SUMIFS(Regiones[Contestadas],Regiones[Fecha],Tabla54[[#This Row],[Fecha]],Regiones[Intervalo],Tabla54[[#This Row],[Intervalo]],Regiones[Skill],'BUPA Seguros'!$L$3)</f>
        <v>0</v>
      </c>
      <c r="F528" s="20">
        <v>0</v>
      </c>
      <c r="G528" s="19">
        <f>IFERROR(SUMIFS(Regiones[TMO],Regiones[Fecha],Tabla54[[#This Row],[Fecha]],Regiones[Intervalo],Tabla54[[#This Row],[Intervalo]],Regiones[Skill],'BUPA Seguros'!$L$3)/Tabla54[[#This Row],[Atendidas]],0)</f>
        <v>0</v>
      </c>
      <c r="H5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8" s="21">
        <f>IFERROR(Tabla54[[#This Row],[Atendidas]]/Tabla54[[#This Row],[Recibidas]],0)</f>
        <v>0</v>
      </c>
    </row>
    <row r="529" spans="2:9" x14ac:dyDescent="0.3">
      <c r="B529" s="25">
        <f t="shared" si="21"/>
        <v>46214</v>
      </c>
      <c r="C529" s="26">
        <v>0.89583333333333304</v>
      </c>
      <c r="D529" s="19">
        <f>+SUMIFS(Regiones[Ofrecidas],Regiones[Fecha],Tabla54[[#This Row],[Fecha]],Regiones[Intervalo],Tabla54[[#This Row],[Intervalo]],Regiones[Skill],'BUPA Seguros'!$L$3)</f>
        <v>0</v>
      </c>
      <c r="E529" s="19">
        <f>+SUMIFS(Regiones[Contestadas],Regiones[Fecha],Tabla54[[#This Row],[Fecha]],Regiones[Intervalo],Tabla54[[#This Row],[Intervalo]],Regiones[Skill],'BUPA Seguros'!$L$3)</f>
        <v>0</v>
      </c>
      <c r="F529" s="20">
        <v>0</v>
      </c>
      <c r="G529" s="19">
        <f>IFERROR(SUMIFS(Regiones[TMO],Regiones[Fecha],Tabla54[[#This Row],[Fecha]],Regiones[Intervalo],Tabla54[[#This Row],[Intervalo]],Regiones[Skill],'BUPA Seguros'!$L$3)/Tabla54[[#This Row],[Atendidas]],0)</f>
        <v>0</v>
      </c>
      <c r="H5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29" s="21">
        <f>IFERROR(Tabla54[[#This Row],[Atendidas]]/Tabla54[[#This Row],[Recibidas]],0)</f>
        <v>0</v>
      </c>
    </row>
    <row r="530" spans="2:9" x14ac:dyDescent="0.3">
      <c r="B530" s="27">
        <f t="shared" si="21"/>
        <v>46214</v>
      </c>
      <c r="C530" s="18">
        <v>0.91666666666666696</v>
      </c>
      <c r="D530" s="19">
        <f>+SUMIFS(Regiones[Ofrecidas],Regiones[Fecha],Tabla54[[#This Row],[Fecha]],Regiones[Intervalo],Tabla54[[#This Row],[Intervalo]],Regiones[Skill],'BUPA Seguros'!$L$3)</f>
        <v>0</v>
      </c>
      <c r="E530" s="19">
        <f>+SUMIFS(Regiones[Contestadas],Regiones[Fecha],Tabla54[[#This Row],[Fecha]],Regiones[Intervalo],Tabla54[[#This Row],[Intervalo]],Regiones[Skill],'BUPA Seguros'!$L$3)</f>
        <v>0</v>
      </c>
      <c r="F530" s="20">
        <v>0</v>
      </c>
      <c r="G530" s="19">
        <f>IFERROR(SUMIFS(Regiones[TMO],Regiones[Fecha],Tabla54[[#This Row],[Fecha]],Regiones[Intervalo],Tabla54[[#This Row],[Intervalo]],Regiones[Skill],'BUPA Seguros'!$L$3)/Tabla54[[#This Row],[Atendidas]],0)</f>
        <v>0</v>
      </c>
      <c r="H5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0" s="21">
        <f>IFERROR(Tabla54[[#This Row],[Atendidas]]/Tabla54[[#This Row],[Recibidas]],0)</f>
        <v>0</v>
      </c>
    </row>
    <row r="531" spans="2:9" x14ac:dyDescent="0.3">
      <c r="B531" s="25">
        <f t="shared" si="21"/>
        <v>46214</v>
      </c>
      <c r="C531" s="26">
        <v>0.9375</v>
      </c>
      <c r="D531" s="19">
        <f>+SUMIFS(Regiones[Ofrecidas],Regiones[Fecha],Tabla54[[#This Row],[Fecha]],Regiones[Intervalo],Tabla54[[#This Row],[Intervalo]],Regiones[Skill],'BUPA Seguros'!$L$3)</f>
        <v>0</v>
      </c>
      <c r="E531" s="19">
        <f>+SUMIFS(Regiones[Contestadas],Regiones[Fecha],Tabla54[[#This Row],[Fecha]],Regiones[Intervalo],Tabla54[[#This Row],[Intervalo]],Regiones[Skill],'BUPA Seguros'!$L$3)</f>
        <v>0</v>
      </c>
      <c r="F531" s="20">
        <v>0</v>
      </c>
      <c r="G531" s="19">
        <f>IFERROR(SUMIFS(Regiones[TMO],Regiones[Fecha],Tabla54[[#This Row],[Fecha]],Regiones[Intervalo],Tabla54[[#This Row],[Intervalo]],Regiones[Skill],'BUPA Seguros'!$L$3)/Tabla54[[#This Row],[Atendidas]],0)</f>
        <v>0</v>
      </c>
      <c r="H5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1" s="21">
        <f>IFERROR(Tabla54[[#This Row],[Atendidas]]/Tabla54[[#This Row],[Recibidas]],0)</f>
        <v>0</v>
      </c>
    </row>
    <row r="532" spans="2:9" x14ac:dyDescent="0.3">
      <c r="B532" s="27">
        <f t="shared" si="21"/>
        <v>46214</v>
      </c>
      <c r="C532" s="18">
        <v>0.95833333333333304</v>
      </c>
      <c r="D532" s="19">
        <f>+SUMIFS(Regiones[Ofrecidas],Regiones[Fecha],Tabla54[[#This Row],[Fecha]],Regiones[Intervalo],Tabla54[[#This Row],[Intervalo]],Regiones[Skill],'BUPA Seguros'!$L$3)</f>
        <v>0</v>
      </c>
      <c r="E532" s="19">
        <f>+SUMIFS(Regiones[Contestadas],Regiones[Fecha],Tabla54[[#This Row],[Fecha]],Regiones[Intervalo],Tabla54[[#This Row],[Intervalo]],Regiones[Skill],'BUPA Seguros'!$L$3)</f>
        <v>0</v>
      </c>
      <c r="F532" s="20">
        <v>0</v>
      </c>
      <c r="G532" s="19">
        <f>IFERROR(SUMIFS(Regiones[TMO],Regiones[Fecha],Tabla54[[#This Row],[Fecha]],Regiones[Intervalo],Tabla54[[#This Row],[Intervalo]],Regiones[Skill],'BUPA Seguros'!$L$3)/Tabla54[[#This Row],[Atendidas]],0)</f>
        <v>0</v>
      </c>
      <c r="H5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2" s="21">
        <f>IFERROR(Tabla54[[#This Row],[Atendidas]]/Tabla54[[#This Row],[Recibidas]],0)</f>
        <v>0</v>
      </c>
    </row>
    <row r="533" spans="2:9" x14ac:dyDescent="0.3">
      <c r="B533" s="25">
        <f t="shared" si="21"/>
        <v>46214</v>
      </c>
      <c r="C533" s="26">
        <v>0.97916666666666696</v>
      </c>
      <c r="D533" s="19">
        <f>+SUMIFS(Regiones[Ofrecidas],Regiones[Fecha],Tabla54[[#This Row],[Fecha]],Regiones[Intervalo],Tabla54[[#This Row],[Intervalo]],Regiones[Skill],'BUPA Seguros'!$L$3)</f>
        <v>0</v>
      </c>
      <c r="E533" s="19">
        <f>+SUMIFS(Regiones[Contestadas],Regiones[Fecha],Tabla54[[#This Row],[Fecha]],Regiones[Intervalo],Tabla54[[#This Row],[Intervalo]],Regiones[Skill],'BUPA Seguros'!$L$3)</f>
        <v>0</v>
      </c>
      <c r="F533" s="20">
        <v>0</v>
      </c>
      <c r="G533" s="19">
        <f>IFERROR(SUMIFS(Regiones[TMO],Regiones[Fecha],Tabla54[[#This Row],[Fecha]],Regiones[Intervalo],Tabla54[[#This Row],[Intervalo]],Regiones[Skill],'BUPA Seguros'!$L$3)/Tabla54[[#This Row],[Atendidas]],0)</f>
        <v>0</v>
      </c>
      <c r="H5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3" s="21">
        <f>IFERROR(Tabla54[[#This Row],[Atendidas]]/Tabla54[[#This Row],[Recibidas]],0)</f>
        <v>0</v>
      </c>
    </row>
    <row r="534" spans="2:9" x14ac:dyDescent="0.3">
      <c r="B534" s="27">
        <f>+B533+1</f>
        <v>46215</v>
      </c>
      <c r="C534" s="18">
        <v>0</v>
      </c>
      <c r="D534" s="19">
        <f>+SUMIFS(Regiones[Ofrecidas],Regiones[Fecha],Tabla54[[#This Row],[Fecha]],Regiones[Intervalo],Tabla54[[#This Row],[Intervalo]],Regiones[Skill],'BUPA Seguros'!$L$3)</f>
        <v>0</v>
      </c>
      <c r="E534" s="19">
        <f>+SUMIFS(Regiones[Contestadas],Regiones[Fecha],Tabla54[[#This Row],[Fecha]],Regiones[Intervalo],Tabla54[[#This Row],[Intervalo]],Regiones[Skill],'BUPA Seguros'!$L$3)</f>
        <v>0</v>
      </c>
      <c r="F534" s="20">
        <v>0</v>
      </c>
      <c r="G534" s="19">
        <f>IFERROR(SUMIFS(Regiones[TMO],Regiones[Fecha],Tabla54[[#This Row],[Fecha]],Regiones[Intervalo],Tabla54[[#This Row],[Intervalo]],Regiones[Skill],'BUPA Seguros'!$L$3)/Tabla54[[#This Row],[Atendidas]],0)</f>
        <v>0</v>
      </c>
      <c r="H5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4" s="21">
        <f>IFERROR(Tabla54[[#This Row],[Atendidas]]/Tabla54[[#This Row],[Recibidas]],0)</f>
        <v>0</v>
      </c>
    </row>
    <row r="535" spans="2:9" x14ac:dyDescent="0.3">
      <c r="B535" s="25">
        <f>+B534</f>
        <v>46215</v>
      </c>
      <c r="C535" s="26">
        <v>2.0833333333333332E-2</v>
      </c>
      <c r="D535" s="19">
        <f>+SUMIFS(Regiones[Ofrecidas],Regiones[Fecha],Tabla54[[#This Row],[Fecha]],Regiones[Intervalo],Tabla54[[#This Row],[Intervalo]],Regiones[Skill],'BUPA Seguros'!$L$3)</f>
        <v>0</v>
      </c>
      <c r="E535" s="19">
        <f>+SUMIFS(Regiones[Contestadas],Regiones[Fecha],Tabla54[[#This Row],[Fecha]],Regiones[Intervalo],Tabla54[[#This Row],[Intervalo]],Regiones[Skill],'BUPA Seguros'!$L$3)</f>
        <v>0</v>
      </c>
      <c r="F535" s="20">
        <v>0</v>
      </c>
      <c r="G535" s="19">
        <f>IFERROR(SUMIFS(Regiones[TMO],Regiones[Fecha],Tabla54[[#This Row],[Fecha]],Regiones[Intervalo],Tabla54[[#This Row],[Intervalo]],Regiones[Skill],'BUPA Seguros'!$L$3)/Tabla54[[#This Row],[Atendidas]],0)</f>
        <v>0</v>
      </c>
      <c r="H5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5" s="21">
        <f>IFERROR(Tabla54[[#This Row],[Atendidas]]/Tabla54[[#This Row],[Recibidas]],0)</f>
        <v>0</v>
      </c>
    </row>
    <row r="536" spans="2:9" x14ac:dyDescent="0.3">
      <c r="B536" s="27">
        <f t="shared" ref="B536:B581" si="22">+B535</f>
        <v>46215</v>
      </c>
      <c r="C536" s="18">
        <v>4.1666666666666699E-2</v>
      </c>
      <c r="D536" s="19">
        <f>+SUMIFS(Regiones[Ofrecidas],Regiones[Fecha],Tabla54[[#This Row],[Fecha]],Regiones[Intervalo],Tabla54[[#This Row],[Intervalo]],Regiones[Skill],'BUPA Seguros'!$L$3)</f>
        <v>0</v>
      </c>
      <c r="E536" s="19">
        <f>+SUMIFS(Regiones[Contestadas],Regiones[Fecha],Tabla54[[#This Row],[Fecha]],Regiones[Intervalo],Tabla54[[#This Row],[Intervalo]],Regiones[Skill],'BUPA Seguros'!$L$3)</f>
        <v>0</v>
      </c>
      <c r="F536" s="20">
        <v>0</v>
      </c>
      <c r="G536" s="19">
        <f>IFERROR(SUMIFS(Regiones[TMO],Regiones[Fecha],Tabla54[[#This Row],[Fecha]],Regiones[Intervalo],Tabla54[[#This Row],[Intervalo]],Regiones[Skill],'BUPA Seguros'!$L$3)/Tabla54[[#This Row],[Atendidas]],0)</f>
        <v>0</v>
      </c>
      <c r="H5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6" s="21">
        <f>IFERROR(Tabla54[[#This Row],[Atendidas]]/Tabla54[[#This Row],[Recibidas]],0)</f>
        <v>0</v>
      </c>
    </row>
    <row r="537" spans="2:9" x14ac:dyDescent="0.3">
      <c r="B537" s="25">
        <f t="shared" si="22"/>
        <v>46215</v>
      </c>
      <c r="C537" s="26">
        <v>6.25E-2</v>
      </c>
      <c r="D537" s="19">
        <f>+SUMIFS(Regiones[Ofrecidas],Regiones[Fecha],Tabla54[[#This Row],[Fecha]],Regiones[Intervalo],Tabla54[[#This Row],[Intervalo]],Regiones[Skill],'BUPA Seguros'!$L$3)</f>
        <v>0</v>
      </c>
      <c r="E537" s="19">
        <f>+SUMIFS(Regiones[Contestadas],Regiones[Fecha],Tabla54[[#This Row],[Fecha]],Regiones[Intervalo],Tabla54[[#This Row],[Intervalo]],Regiones[Skill],'BUPA Seguros'!$L$3)</f>
        <v>0</v>
      </c>
      <c r="F537" s="20">
        <v>0</v>
      </c>
      <c r="G537" s="19">
        <f>IFERROR(SUMIFS(Regiones[TMO],Regiones[Fecha],Tabla54[[#This Row],[Fecha]],Regiones[Intervalo],Tabla54[[#This Row],[Intervalo]],Regiones[Skill],'BUPA Seguros'!$L$3)/Tabla54[[#This Row],[Atendidas]],0)</f>
        <v>0</v>
      </c>
      <c r="H5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7" s="21">
        <f>IFERROR(Tabla54[[#This Row],[Atendidas]]/Tabla54[[#This Row],[Recibidas]],0)</f>
        <v>0</v>
      </c>
    </row>
    <row r="538" spans="2:9" x14ac:dyDescent="0.3">
      <c r="B538" s="27">
        <f t="shared" si="22"/>
        <v>46215</v>
      </c>
      <c r="C538" s="18">
        <v>8.3333333333333301E-2</v>
      </c>
      <c r="D538" s="19">
        <f>+SUMIFS(Regiones[Ofrecidas],Regiones[Fecha],Tabla54[[#This Row],[Fecha]],Regiones[Intervalo],Tabla54[[#This Row],[Intervalo]],Regiones[Skill],'BUPA Seguros'!$L$3)</f>
        <v>0</v>
      </c>
      <c r="E538" s="19">
        <f>+SUMIFS(Regiones[Contestadas],Regiones[Fecha],Tabla54[[#This Row],[Fecha]],Regiones[Intervalo],Tabla54[[#This Row],[Intervalo]],Regiones[Skill],'BUPA Seguros'!$L$3)</f>
        <v>0</v>
      </c>
      <c r="F538" s="20">
        <v>0</v>
      </c>
      <c r="G538" s="19">
        <f>IFERROR(SUMIFS(Regiones[TMO],Regiones[Fecha],Tabla54[[#This Row],[Fecha]],Regiones[Intervalo],Tabla54[[#This Row],[Intervalo]],Regiones[Skill],'BUPA Seguros'!$L$3)/Tabla54[[#This Row],[Atendidas]],0)</f>
        <v>0</v>
      </c>
      <c r="H5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8" s="21">
        <f>IFERROR(Tabla54[[#This Row],[Atendidas]]/Tabla54[[#This Row],[Recibidas]],0)</f>
        <v>0</v>
      </c>
    </row>
    <row r="539" spans="2:9" x14ac:dyDescent="0.3">
      <c r="B539" s="25">
        <f t="shared" si="22"/>
        <v>46215</v>
      </c>
      <c r="C539" s="26">
        <v>0.104166666666667</v>
      </c>
      <c r="D539" s="19">
        <f>+SUMIFS(Regiones[Ofrecidas],Regiones[Fecha],Tabla54[[#This Row],[Fecha]],Regiones[Intervalo],Tabla54[[#This Row],[Intervalo]],Regiones[Skill],'BUPA Seguros'!$L$3)</f>
        <v>0</v>
      </c>
      <c r="E539" s="19">
        <f>+SUMIFS(Regiones[Contestadas],Regiones[Fecha],Tabla54[[#This Row],[Fecha]],Regiones[Intervalo],Tabla54[[#This Row],[Intervalo]],Regiones[Skill],'BUPA Seguros'!$L$3)</f>
        <v>0</v>
      </c>
      <c r="F539" s="20">
        <v>0</v>
      </c>
      <c r="G539" s="19">
        <f>IFERROR(SUMIFS(Regiones[TMO],Regiones[Fecha],Tabla54[[#This Row],[Fecha]],Regiones[Intervalo],Tabla54[[#This Row],[Intervalo]],Regiones[Skill],'BUPA Seguros'!$L$3)/Tabla54[[#This Row],[Atendidas]],0)</f>
        <v>0</v>
      </c>
      <c r="H5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39" s="21">
        <f>IFERROR(Tabla54[[#This Row],[Atendidas]]/Tabla54[[#This Row],[Recibidas]],0)</f>
        <v>0</v>
      </c>
    </row>
    <row r="540" spans="2:9" x14ac:dyDescent="0.3">
      <c r="B540" s="27">
        <f t="shared" si="22"/>
        <v>46215</v>
      </c>
      <c r="C540" s="18">
        <v>0.125</v>
      </c>
      <c r="D540" s="19">
        <f>+SUMIFS(Regiones[Ofrecidas],Regiones[Fecha],Tabla54[[#This Row],[Fecha]],Regiones[Intervalo],Tabla54[[#This Row],[Intervalo]],Regiones[Skill],'BUPA Seguros'!$L$3)</f>
        <v>0</v>
      </c>
      <c r="E540" s="19">
        <f>+SUMIFS(Regiones[Contestadas],Regiones[Fecha],Tabla54[[#This Row],[Fecha]],Regiones[Intervalo],Tabla54[[#This Row],[Intervalo]],Regiones[Skill],'BUPA Seguros'!$L$3)</f>
        <v>0</v>
      </c>
      <c r="F540" s="20">
        <v>0</v>
      </c>
      <c r="G540" s="19">
        <f>IFERROR(SUMIFS(Regiones[TMO],Regiones[Fecha],Tabla54[[#This Row],[Fecha]],Regiones[Intervalo],Tabla54[[#This Row],[Intervalo]],Regiones[Skill],'BUPA Seguros'!$L$3)/Tabla54[[#This Row],[Atendidas]],0)</f>
        <v>0</v>
      </c>
      <c r="H5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0" s="21">
        <f>IFERROR(Tabla54[[#This Row],[Atendidas]]/Tabla54[[#This Row],[Recibidas]],0)</f>
        <v>0</v>
      </c>
    </row>
    <row r="541" spans="2:9" x14ac:dyDescent="0.3">
      <c r="B541" s="25">
        <f t="shared" si="22"/>
        <v>46215</v>
      </c>
      <c r="C541" s="26">
        <v>0.14583333333333301</v>
      </c>
      <c r="D541" s="19">
        <f>+SUMIFS(Regiones[Ofrecidas],Regiones[Fecha],Tabla54[[#This Row],[Fecha]],Regiones[Intervalo],Tabla54[[#This Row],[Intervalo]],Regiones[Skill],'BUPA Seguros'!$L$3)</f>
        <v>0</v>
      </c>
      <c r="E541" s="19">
        <f>+SUMIFS(Regiones[Contestadas],Regiones[Fecha],Tabla54[[#This Row],[Fecha]],Regiones[Intervalo],Tabla54[[#This Row],[Intervalo]],Regiones[Skill],'BUPA Seguros'!$L$3)</f>
        <v>0</v>
      </c>
      <c r="F541" s="20">
        <v>0</v>
      </c>
      <c r="G541" s="19">
        <f>IFERROR(SUMIFS(Regiones[TMO],Regiones[Fecha],Tabla54[[#This Row],[Fecha]],Regiones[Intervalo],Tabla54[[#This Row],[Intervalo]],Regiones[Skill],'BUPA Seguros'!$L$3)/Tabla54[[#This Row],[Atendidas]],0)</f>
        <v>0</v>
      </c>
      <c r="H5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1" s="21">
        <f>IFERROR(Tabla54[[#This Row],[Atendidas]]/Tabla54[[#This Row],[Recibidas]],0)</f>
        <v>0</v>
      </c>
    </row>
    <row r="542" spans="2:9" x14ac:dyDescent="0.3">
      <c r="B542" s="27">
        <f t="shared" si="22"/>
        <v>46215</v>
      </c>
      <c r="C542" s="18">
        <v>0.16666666666666699</v>
      </c>
      <c r="D542" s="19">
        <f>+SUMIFS(Regiones[Ofrecidas],Regiones[Fecha],Tabla54[[#This Row],[Fecha]],Regiones[Intervalo],Tabla54[[#This Row],[Intervalo]],Regiones[Skill],'BUPA Seguros'!$L$3)</f>
        <v>0</v>
      </c>
      <c r="E542" s="19">
        <f>+SUMIFS(Regiones[Contestadas],Regiones[Fecha],Tabla54[[#This Row],[Fecha]],Regiones[Intervalo],Tabla54[[#This Row],[Intervalo]],Regiones[Skill],'BUPA Seguros'!$L$3)</f>
        <v>0</v>
      </c>
      <c r="F542" s="20">
        <v>0</v>
      </c>
      <c r="G542" s="19">
        <f>IFERROR(SUMIFS(Regiones[TMO],Regiones[Fecha],Tabla54[[#This Row],[Fecha]],Regiones[Intervalo],Tabla54[[#This Row],[Intervalo]],Regiones[Skill],'BUPA Seguros'!$L$3)/Tabla54[[#This Row],[Atendidas]],0)</f>
        <v>0</v>
      </c>
      <c r="H5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2" s="21">
        <f>IFERROR(Tabla54[[#This Row],[Atendidas]]/Tabla54[[#This Row],[Recibidas]],0)</f>
        <v>0</v>
      </c>
    </row>
    <row r="543" spans="2:9" x14ac:dyDescent="0.3">
      <c r="B543" s="25">
        <f t="shared" si="22"/>
        <v>46215</v>
      </c>
      <c r="C543" s="26">
        <v>0.1875</v>
      </c>
      <c r="D543" s="19">
        <f>+SUMIFS(Regiones[Ofrecidas],Regiones[Fecha],Tabla54[[#This Row],[Fecha]],Regiones[Intervalo],Tabla54[[#This Row],[Intervalo]],Regiones[Skill],'BUPA Seguros'!$L$3)</f>
        <v>0</v>
      </c>
      <c r="E543" s="19">
        <f>+SUMIFS(Regiones[Contestadas],Regiones[Fecha],Tabla54[[#This Row],[Fecha]],Regiones[Intervalo],Tabla54[[#This Row],[Intervalo]],Regiones[Skill],'BUPA Seguros'!$L$3)</f>
        <v>0</v>
      </c>
      <c r="F543" s="20">
        <v>0</v>
      </c>
      <c r="G543" s="19">
        <f>IFERROR(SUMIFS(Regiones[TMO],Regiones[Fecha],Tabla54[[#This Row],[Fecha]],Regiones[Intervalo],Tabla54[[#This Row],[Intervalo]],Regiones[Skill],'BUPA Seguros'!$L$3)/Tabla54[[#This Row],[Atendidas]],0)</f>
        <v>0</v>
      </c>
      <c r="H5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3" s="21">
        <f>IFERROR(Tabla54[[#This Row],[Atendidas]]/Tabla54[[#This Row],[Recibidas]],0)</f>
        <v>0</v>
      </c>
    </row>
    <row r="544" spans="2:9" x14ac:dyDescent="0.3">
      <c r="B544" s="27">
        <f t="shared" si="22"/>
        <v>46215</v>
      </c>
      <c r="C544" s="18">
        <v>0.20833333333333301</v>
      </c>
      <c r="D544" s="19">
        <f>+SUMIFS(Regiones[Ofrecidas],Regiones[Fecha],Tabla54[[#This Row],[Fecha]],Regiones[Intervalo],Tabla54[[#This Row],[Intervalo]],Regiones[Skill],'BUPA Seguros'!$L$3)</f>
        <v>0</v>
      </c>
      <c r="E544" s="19">
        <f>+SUMIFS(Regiones[Contestadas],Regiones[Fecha],Tabla54[[#This Row],[Fecha]],Regiones[Intervalo],Tabla54[[#This Row],[Intervalo]],Regiones[Skill],'BUPA Seguros'!$L$3)</f>
        <v>0</v>
      </c>
      <c r="F544" s="20">
        <v>0</v>
      </c>
      <c r="G544" s="19">
        <f>IFERROR(SUMIFS(Regiones[TMO],Regiones[Fecha],Tabla54[[#This Row],[Fecha]],Regiones[Intervalo],Tabla54[[#This Row],[Intervalo]],Regiones[Skill],'BUPA Seguros'!$L$3)/Tabla54[[#This Row],[Atendidas]],0)</f>
        <v>0</v>
      </c>
      <c r="H5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4" s="21">
        <f>IFERROR(Tabla54[[#This Row],[Atendidas]]/Tabla54[[#This Row],[Recibidas]],0)</f>
        <v>0</v>
      </c>
    </row>
    <row r="545" spans="2:9" x14ac:dyDescent="0.3">
      <c r="B545" s="25">
        <f t="shared" si="22"/>
        <v>46215</v>
      </c>
      <c r="C545" s="26">
        <v>0.22916666666666699</v>
      </c>
      <c r="D545" s="19">
        <f>+SUMIFS(Regiones[Ofrecidas],Regiones[Fecha],Tabla54[[#This Row],[Fecha]],Regiones[Intervalo],Tabla54[[#This Row],[Intervalo]],Regiones[Skill],'BUPA Seguros'!$L$3)</f>
        <v>0</v>
      </c>
      <c r="E545" s="19">
        <f>+SUMIFS(Regiones[Contestadas],Regiones[Fecha],Tabla54[[#This Row],[Fecha]],Regiones[Intervalo],Tabla54[[#This Row],[Intervalo]],Regiones[Skill],'BUPA Seguros'!$L$3)</f>
        <v>0</v>
      </c>
      <c r="F545" s="20">
        <v>0</v>
      </c>
      <c r="G545" s="19">
        <f>IFERROR(SUMIFS(Regiones[TMO],Regiones[Fecha],Tabla54[[#This Row],[Fecha]],Regiones[Intervalo],Tabla54[[#This Row],[Intervalo]],Regiones[Skill],'BUPA Seguros'!$L$3)/Tabla54[[#This Row],[Atendidas]],0)</f>
        <v>0</v>
      </c>
      <c r="H5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5" s="21">
        <f>IFERROR(Tabla54[[#This Row],[Atendidas]]/Tabla54[[#This Row],[Recibidas]],0)</f>
        <v>0</v>
      </c>
    </row>
    <row r="546" spans="2:9" x14ac:dyDescent="0.3">
      <c r="B546" s="27">
        <f t="shared" si="22"/>
        <v>46215</v>
      </c>
      <c r="C546" s="18">
        <v>0.25</v>
      </c>
      <c r="D546" s="19">
        <f>+SUMIFS(Regiones[Ofrecidas],Regiones[Fecha],Tabla54[[#This Row],[Fecha]],Regiones[Intervalo],Tabla54[[#This Row],[Intervalo]],Regiones[Skill],'BUPA Seguros'!$L$3)</f>
        <v>0</v>
      </c>
      <c r="E546" s="19">
        <f>+SUMIFS(Regiones[Contestadas],Regiones[Fecha],Tabla54[[#This Row],[Fecha]],Regiones[Intervalo],Tabla54[[#This Row],[Intervalo]],Regiones[Skill],'BUPA Seguros'!$L$3)</f>
        <v>0</v>
      </c>
      <c r="F546" s="20">
        <v>0</v>
      </c>
      <c r="G546" s="19">
        <f>IFERROR(SUMIFS(Regiones[TMO],Regiones[Fecha],Tabla54[[#This Row],[Fecha]],Regiones[Intervalo],Tabla54[[#This Row],[Intervalo]],Regiones[Skill],'BUPA Seguros'!$L$3)/Tabla54[[#This Row],[Atendidas]],0)</f>
        <v>0</v>
      </c>
      <c r="H5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6" s="21">
        <f>IFERROR(Tabla54[[#This Row],[Atendidas]]/Tabla54[[#This Row],[Recibidas]],0)</f>
        <v>0</v>
      </c>
    </row>
    <row r="547" spans="2:9" x14ac:dyDescent="0.3">
      <c r="B547" s="25">
        <f t="shared" si="22"/>
        <v>46215</v>
      </c>
      <c r="C547" s="26">
        <v>0.27083333333333298</v>
      </c>
      <c r="D547" s="19">
        <f>+SUMIFS(Regiones[Ofrecidas],Regiones[Fecha],Tabla54[[#This Row],[Fecha]],Regiones[Intervalo],Tabla54[[#This Row],[Intervalo]],Regiones[Skill],'BUPA Seguros'!$L$3)</f>
        <v>0</v>
      </c>
      <c r="E547" s="19">
        <f>+SUMIFS(Regiones[Contestadas],Regiones[Fecha],Tabla54[[#This Row],[Fecha]],Regiones[Intervalo],Tabla54[[#This Row],[Intervalo]],Regiones[Skill],'BUPA Seguros'!$L$3)</f>
        <v>0</v>
      </c>
      <c r="F547" s="20">
        <v>0</v>
      </c>
      <c r="G547" s="19">
        <f>IFERROR(SUMIFS(Regiones[TMO],Regiones[Fecha],Tabla54[[#This Row],[Fecha]],Regiones[Intervalo],Tabla54[[#This Row],[Intervalo]],Regiones[Skill],'BUPA Seguros'!$L$3)/Tabla54[[#This Row],[Atendidas]],0)</f>
        <v>0</v>
      </c>
      <c r="H5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7" s="21">
        <f>IFERROR(Tabla54[[#This Row],[Atendidas]]/Tabla54[[#This Row],[Recibidas]],0)</f>
        <v>0</v>
      </c>
    </row>
    <row r="548" spans="2:9" x14ac:dyDescent="0.3">
      <c r="B548" s="27">
        <f t="shared" si="22"/>
        <v>46215</v>
      </c>
      <c r="C548" s="18">
        <v>0.29166666666666702</v>
      </c>
      <c r="D548" s="19">
        <f>+SUMIFS(Regiones[Ofrecidas],Regiones[Fecha],Tabla54[[#This Row],[Fecha]],Regiones[Intervalo],Tabla54[[#This Row],[Intervalo]],Regiones[Skill],'BUPA Seguros'!$L$3)</f>
        <v>0</v>
      </c>
      <c r="E548" s="19">
        <f>+SUMIFS(Regiones[Contestadas],Regiones[Fecha],Tabla54[[#This Row],[Fecha]],Regiones[Intervalo],Tabla54[[#This Row],[Intervalo]],Regiones[Skill],'BUPA Seguros'!$L$3)</f>
        <v>0</v>
      </c>
      <c r="F548" s="20">
        <v>0</v>
      </c>
      <c r="G548" s="19">
        <f>IFERROR(SUMIFS(Regiones[TMO],Regiones[Fecha],Tabla54[[#This Row],[Fecha]],Regiones[Intervalo],Tabla54[[#This Row],[Intervalo]],Regiones[Skill],'BUPA Seguros'!$L$3)/Tabla54[[#This Row],[Atendidas]],0)</f>
        <v>0</v>
      </c>
      <c r="H5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8" s="21">
        <f>IFERROR(Tabla54[[#This Row],[Atendidas]]/Tabla54[[#This Row],[Recibidas]],0)</f>
        <v>0</v>
      </c>
    </row>
    <row r="549" spans="2:9" x14ac:dyDescent="0.3">
      <c r="B549" s="25">
        <f t="shared" si="22"/>
        <v>46215</v>
      </c>
      <c r="C549" s="26">
        <v>0.3125</v>
      </c>
      <c r="D549" s="19">
        <f>+SUMIFS(Regiones[Ofrecidas],Regiones[Fecha],Tabla54[[#This Row],[Fecha]],Regiones[Intervalo],Tabla54[[#This Row],[Intervalo]],Regiones[Skill],'BUPA Seguros'!$L$3)</f>
        <v>0</v>
      </c>
      <c r="E549" s="19">
        <f>+SUMIFS(Regiones[Contestadas],Regiones[Fecha],Tabla54[[#This Row],[Fecha]],Regiones[Intervalo],Tabla54[[#This Row],[Intervalo]],Regiones[Skill],'BUPA Seguros'!$L$3)</f>
        <v>0</v>
      </c>
      <c r="F549" s="20">
        <v>0</v>
      </c>
      <c r="G549" s="19">
        <f>IFERROR(SUMIFS(Regiones[TMO],Regiones[Fecha],Tabla54[[#This Row],[Fecha]],Regiones[Intervalo],Tabla54[[#This Row],[Intervalo]],Regiones[Skill],'BUPA Seguros'!$L$3)/Tabla54[[#This Row],[Atendidas]],0)</f>
        <v>0</v>
      </c>
      <c r="H5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49" s="21">
        <f>IFERROR(Tabla54[[#This Row],[Atendidas]]/Tabla54[[#This Row],[Recibidas]],0)</f>
        <v>0</v>
      </c>
    </row>
    <row r="550" spans="2:9" x14ac:dyDescent="0.3">
      <c r="B550" s="27">
        <f t="shared" si="22"/>
        <v>46215</v>
      </c>
      <c r="C550" s="18">
        <v>0.33333333333333298</v>
      </c>
      <c r="D550" s="19">
        <f>+SUMIFS(Regiones[Ofrecidas],Regiones[Fecha],Tabla54[[#This Row],[Fecha]],Regiones[Intervalo],Tabla54[[#This Row],[Intervalo]],Regiones[Skill],'BUPA Seguros'!$L$3)</f>
        <v>0</v>
      </c>
      <c r="E550" s="19">
        <f>+SUMIFS(Regiones[Contestadas],Regiones[Fecha],Tabla54[[#This Row],[Fecha]],Regiones[Intervalo],Tabla54[[#This Row],[Intervalo]],Regiones[Skill],'BUPA Seguros'!$L$3)</f>
        <v>0</v>
      </c>
      <c r="F550" s="20">
        <v>0</v>
      </c>
      <c r="G550" s="19">
        <f>IFERROR(SUMIFS(Regiones[TMO],Regiones[Fecha],Tabla54[[#This Row],[Fecha]],Regiones[Intervalo],Tabla54[[#This Row],[Intervalo]],Regiones[Skill],'BUPA Seguros'!$L$3)/Tabla54[[#This Row],[Atendidas]],0)</f>
        <v>0</v>
      </c>
      <c r="H5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0" s="21">
        <f>IFERROR(Tabla54[[#This Row],[Atendidas]]/Tabla54[[#This Row],[Recibidas]],0)</f>
        <v>0</v>
      </c>
    </row>
    <row r="551" spans="2:9" x14ac:dyDescent="0.3">
      <c r="B551" s="25">
        <f t="shared" si="22"/>
        <v>46215</v>
      </c>
      <c r="C551" s="26">
        <v>0.35416666666666702</v>
      </c>
      <c r="D551" s="19">
        <f>+SUMIFS(Regiones[Ofrecidas],Regiones[Fecha],Tabla54[[#This Row],[Fecha]],Regiones[Intervalo],Tabla54[[#This Row],[Intervalo]],Regiones[Skill],'BUPA Seguros'!$L$3)</f>
        <v>0</v>
      </c>
      <c r="E551" s="19">
        <f>+SUMIFS(Regiones[Contestadas],Regiones[Fecha],Tabla54[[#This Row],[Fecha]],Regiones[Intervalo],Tabla54[[#This Row],[Intervalo]],Regiones[Skill],'BUPA Seguros'!$L$3)</f>
        <v>0</v>
      </c>
      <c r="F551" s="20">
        <v>0</v>
      </c>
      <c r="G551" s="19">
        <f>IFERROR(SUMIFS(Regiones[TMO],Regiones[Fecha],Tabla54[[#This Row],[Fecha]],Regiones[Intervalo],Tabla54[[#This Row],[Intervalo]],Regiones[Skill],'BUPA Seguros'!$L$3)/Tabla54[[#This Row],[Atendidas]],0)</f>
        <v>0</v>
      </c>
      <c r="H5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1" s="21">
        <f>IFERROR(Tabla54[[#This Row],[Atendidas]]/Tabla54[[#This Row],[Recibidas]],0)</f>
        <v>0</v>
      </c>
    </row>
    <row r="552" spans="2:9" x14ac:dyDescent="0.3">
      <c r="B552" s="27">
        <f t="shared" si="22"/>
        <v>46215</v>
      </c>
      <c r="C552" s="18">
        <v>0.375</v>
      </c>
      <c r="D552" s="19">
        <f>+SUMIFS(Regiones[Ofrecidas],Regiones[Fecha],Tabla54[[#This Row],[Fecha]],Regiones[Intervalo],Tabla54[[#This Row],[Intervalo]],Regiones[Skill],'BUPA Seguros'!$L$3)</f>
        <v>0</v>
      </c>
      <c r="E552" s="19">
        <f>+SUMIFS(Regiones[Contestadas],Regiones[Fecha],Tabla54[[#This Row],[Fecha]],Regiones[Intervalo],Tabla54[[#This Row],[Intervalo]],Regiones[Skill],'BUPA Seguros'!$L$3)</f>
        <v>0</v>
      </c>
      <c r="F552" s="20">
        <v>0</v>
      </c>
      <c r="G552" s="19">
        <f>IFERROR(SUMIFS(Regiones[TMO],Regiones[Fecha],Tabla54[[#This Row],[Fecha]],Regiones[Intervalo],Tabla54[[#This Row],[Intervalo]],Regiones[Skill],'BUPA Seguros'!$L$3)/Tabla54[[#This Row],[Atendidas]],0)</f>
        <v>0</v>
      </c>
      <c r="H5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2" s="21">
        <f>IFERROR(Tabla54[[#This Row],[Atendidas]]/Tabla54[[#This Row],[Recibidas]],0)</f>
        <v>0</v>
      </c>
    </row>
    <row r="553" spans="2:9" x14ac:dyDescent="0.3">
      <c r="B553" s="25">
        <f t="shared" si="22"/>
        <v>46215</v>
      </c>
      <c r="C553" s="26">
        <v>0.39583333333333298</v>
      </c>
      <c r="D553" s="19">
        <f>+SUMIFS(Regiones[Ofrecidas],Regiones[Fecha],Tabla54[[#This Row],[Fecha]],Regiones[Intervalo],Tabla54[[#This Row],[Intervalo]],Regiones[Skill],'BUPA Seguros'!$L$3)</f>
        <v>0</v>
      </c>
      <c r="E553" s="19">
        <f>+SUMIFS(Regiones[Contestadas],Regiones[Fecha],Tabla54[[#This Row],[Fecha]],Regiones[Intervalo],Tabla54[[#This Row],[Intervalo]],Regiones[Skill],'BUPA Seguros'!$L$3)</f>
        <v>0</v>
      </c>
      <c r="F553" s="20">
        <v>0</v>
      </c>
      <c r="G553" s="19">
        <f>IFERROR(SUMIFS(Regiones[TMO],Regiones[Fecha],Tabla54[[#This Row],[Fecha]],Regiones[Intervalo],Tabla54[[#This Row],[Intervalo]],Regiones[Skill],'BUPA Seguros'!$L$3)/Tabla54[[#This Row],[Atendidas]],0)</f>
        <v>0</v>
      </c>
      <c r="H5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3" s="21">
        <f>IFERROR(Tabla54[[#This Row],[Atendidas]]/Tabla54[[#This Row],[Recibidas]],0)</f>
        <v>0</v>
      </c>
    </row>
    <row r="554" spans="2:9" x14ac:dyDescent="0.3">
      <c r="B554" s="27">
        <f t="shared" si="22"/>
        <v>46215</v>
      </c>
      <c r="C554" s="18">
        <v>0.41666666666666702</v>
      </c>
      <c r="D554" s="19">
        <f>+SUMIFS(Regiones[Ofrecidas],Regiones[Fecha],Tabla54[[#This Row],[Fecha]],Regiones[Intervalo],Tabla54[[#This Row],[Intervalo]],Regiones[Skill],'BUPA Seguros'!$L$3)</f>
        <v>0</v>
      </c>
      <c r="E554" s="19">
        <f>+SUMIFS(Regiones[Contestadas],Regiones[Fecha],Tabla54[[#This Row],[Fecha]],Regiones[Intervalo],Tabla54[[#This Row],[Intervalo]],Regiones[Skill],'BUPA Seguros'!$L$3)</f>
        <v>0</v>
      </c>
      <c r="F554" s="20">
        <v>0</v>
      </c>
      <c r="G554" s="19">
        <f>IFERROR(SUMIFS(Regiones[TMO],Regiones[Fecha],Tabla54[[#This Row],[Fecha]],Regiones[Intervalo],Tabla54[[#This Row],[Intervalo]],Regiones[Skill],'BUPA Seguros'!$L$3)/Tabla54[[#This Row],[Atendidas]],0)</f>
        <v>0</v>
      </c>
      <c r="H5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4" s="21">
        <f>IFERROR(Tabla54[[#This Row],[Atendidas]]/Tabla54[[#This Row],[Recibidas]],0)</f>
        <v>0</v>
      </c>
    </row>
    <row r="555" spans="2:9" x14ac:dyDescent="0.3">
      <c r="B555" s="25">
        <f t="shared" si="22"/>
        <v>46215</v>
      </c>
      <c r="C555" s="26">
        <v>0.4375</v>
      </c>
      <c r="D555" s="19">
        <f>+SUMIFS(Regiones[Ofrecidas],Regiones[Fecha],Tabla54[[#This Row],[Fecha]],Regiones[Intervalo],Tabla54[[#This Row],[Intervalo]],Regiones[Skill],'BUPA Seguros'!$L$3)</f>
        <v>0</v>
      </c>
      <c r="E555" s="19">
        <f>+SUMIFS(Regiones[Contestadas],Regiones[Fecha],Tabla54[[#This Row],[Fecha]],Regiones[Intervalo],Tabla54[[#This Row],[Intervalo]],Regiones[Skill],'BUPA Seguros'!$L$3)</f>
        <v>0</v>
      </c>
      <c r="F555" s="20">
        <v>0</v>
      </c>
      <c r="G555" s="19">
        <f>IFERROR(SUMIFS(Regiones[TMO],Regiones[Fecha],Tabla54[[#This Row],[Fecha]],Regiones[Intervalo],Tabla54[[#This Row],[Intervalo]],Regiones[Skill],'BUPA Seguros'!$L$3)/Tabla54[[#This Row],[Atendidas]],0)</f>
        <v>0</v>
      </c>
      <c r="H5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5" s="21">
        <f>IFERROR(Tabla54[[#This Row],[Atendidas]]/Tabla54[[#This Row],[Recibidas]],0)</f>
        <v>0</v>
      </c>
    </row>
    <row r="556" spans="2:9" x14ac:dyDescent="0.3">
      <c r="B556" s="27">
        <f t="shared" si="22"/>
        <v>46215</v>
      </c>
      <c r="C556" s="18">
        <v>0.45833333333333298</v>
      </c>
      <c r="D556" s="19">
        <f>+SUMIFS(Regiones[Ofrecidas],Regiones[Fecha],Tabla54[[#This Row],[Fecha]],Regiones[Intervalo],Tabla54[[#This Row],[Intervalo]],Regiones[Skill],'BUPA Seguros'!$L$3)</f>
        <v>0</v>
      </c>
      <c r="E556" s="19">
        <f>+SUMIFS(Regiones[Contestadas],Regiones[Fecha],Tabla54[[#This Row],[Fecha]],Regiones[Intervalo],Tabla54[[#This Row],[Intervalo]],Regiones[Skill],'BUPA Seguros'!$L$3)</f>
        <v>0</v>
      </c>
      <c r="F556" s="20">
        <v>0</v>
      </c>
      <c r="G556" s="19">
        <f>IFERROR(SUMIFS(Regiones[TMO],Regiones[Fecha],Tabla54[[#This Row],[Fecha]],Regiones[Intervalo],Tabla54[[#This Row],[Intervalo]],Regiones[Skill],'BUPA Seguros'!$L$3)/Tabla54[[#This Row],[Atendidas]],0)</f>
        <v>0</v>
      </c>
      <c r="H5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6" s="21">
        <f>IFERROR(Tabla54[[#This Row],[Atendidas]]/Tabla54[[#This Row],[Recibidas]],0)</f>
        <v>0</v>
      </c>
    </row>
    <row r="557" spans="2:9" x14ac:dyDescent="0.3">
      <c r="B557" s="25">
        <f t="shared" si="22"/>
        <v>46215</v>
      </c>
      <c r="C557" s="26">
        <v>0.47916666666666702</v>
      </c>
      <c r="D557" s="19">
        <f>+SUMIFS(Regiones[Ofrecidas],Regiones[Fecha],Tabla54[[#This Row],[Fecha]],Regiones[Intervalo],Tabla54[[#This Row],[Intervalo]],Regiones[Skill],'BUPA Seguros'!$L$3)</f>
        <v>0</v>
      </c>
      <c r="E557" s="19">
        <f>+SUMIFS(Regiones[Contestadas],Regiones[Fecha],Tabla54[[#This Row],[Fecha]],Regiones[Intervalo],Tabla54[[#This Row],[Intervalo]],Regiones[Skill],'BUPA Seguros'!$L$3)</f>
        <v>0</v>
      </c>
      <c r="F557" s="20">
        <v>0</v>
      </c>
      <c r="G557" s="19">
        <f>IFERROR(SUMIFS(Regiones[TMO],Regiones[Fecha],Tabla54[[#This Row],[Fecha]],Regiones[Intervalo],Tabla54[[#This Row],[Intervalo]],Regiones[Skill],'BUPA Seguros'!$L$3)/Tabla54[[#This Row],[Atendidas]],0)</f>
        <v>0</v>
      </c>
      <c r="H5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7" s="21">
        <f>IFERROR(Tabla54[[#This Row],[Atendidas]]/Tabla54[[#This Row],[Recibidas]],0)</f>
        <v>0</v>
      </c>
    </row>
    <row r="558" spans="2:9" x14ac:dyDescent="0.3">
      <c r="B558" s="27">
        <f t="shared" si="22"/>
        <v>46215</v>
      </c>
      <c r="C558" s="18">
        <v>0.5</v>
      </c>
      <c r="D558" s="19">
        <f>+SUMIFS(Regiones[Ofrecidas],Regiones[Fecha],Tabla54[[#This Row],[Fecha]],Regiones[Intervalo],Tabla54[[#This Row],[Intervalo]],Regiones[Skill],'BUPA Seguros'!$L$3)</f>
        <v>0</v>
      </c>
      <c r="E558" s="19">
        <f>+SUMIFS(Regiones[Contestadas],Regiones[Fecha],Tabla54[[#This Row],[Fecha]],Regiones[Intervalo],Tabla54[[#This Row],[Intervalo]],Regiones[Skill],'BUPA Seguros'!$L$3)</f>
        <v>0</v>
      </c>
      <c r="F558" s="20">
        <v>0</v>
      </c>
      <c r="G558" s="19">
        <f>IFERROR(SUMIFS(Regiones[TMO],Regiones[Fecha],Tabla54[[#This Row],[Fecha]],Regiones[Intervalo],Tabla54[[#This Row],[Intervalo]],Regiones[Skill],'BUPA Seguros'!$L$3)/Tabla54[[#This Row],[Atendidas]],0)</f>
        <v>0</v>
      </c>
      <c r="H5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8" s="21">
        <f>IFERROR(Tabla54[[#This Row],[Atendidas]]/Tabla54[[#This Row],[Recibidas]],0)</f>
        <v>0</v>
      </c>
    </row>
    <row r="559" spans="2:9" x14ac:dyDescent="0.3">
      <c r="B559" s="25">
        <f t="shared" si="22"/>
        <v>46215</v>
      </c>
      <c r="C559" s="26">
        <v>0.52083333333333304</v>
      </c>
      <c r="D559" s="19">
        <f>+SUMIFS(Regiones[Ofrecidas],Regiones[Fecha],Tabla54[[#This Row],[Fecha]],Regiones[Intervalo],Tabla54[[#This Row],[Intervalo]],Regiones[Skill],'BUPA Seguros'!$L$3)</f>
        <v>0</v>
      </c>
      <c r="E559" s="19">
        <f>+SUMIFS(Regiones[Contestadas],Regiones[Fecha],Tabla54[[#This Row],[Fecha]],Regiones[Intervalo],Tabla54[[#This Row],[Intervalo]],Regiones[Skill],'BUPA Seguros'!$L$3)</f>
        <v>0</v>
      </c>
      <c r="F559" s="20">
        <v>0</v>
      </c>
      <c r="G559" s="19">
        <f>IFERROR(SUMIFS(Regiones[TMO],Regiones[Fecha],Tabla54[[#This Row],[Fecha]],Regiones[Intervalo],Tabla54[[#This Row],[Intervalo]],Regiones[Skill],'BUPA Seguros'!$L$3)/Tabla54[[#This Row],[Atendidas]],0)</f>
        <v>0</v>
      </c>
      <c r="H5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59" s="21">
        <f>IFERROR(Tabla54[[#This Row],[Atendidas]]/Tabla54[[#This Row],[Recibidas]],0)</f>
        <v>0</v>
      </c>
    </row>
    <row r="560" spans="2:9" x14ac:dyDescent="0.3">
      <c r="B560" s="27">
        <f t="shared" si="22"/>
        <v>46215</v>
      </c>
      <c r="C560" s="18">
        <v>0.54166666666666696</v>
      </c>
      <c r="D560" s="19">
        <f>+SUMIFS(Regiones[Ofrecidas],Regiones[Fecha],Tabla54[[#This Row],[Fecha]],Regiones[Intervalo],Tabla54[[#This Row],[Intervalo]],Regiones[Skill],'BUPA Seguros'!$L$3)</f>
        <v>0</v>
      </c>
      <c r="E560" s="19">
        <f>+SUMIFS(Regiones[Contestadas],Regiones[Fecha],Tabla54[[#This Row],[Fecha]],Regiones[Intervalo],Tabla54[[#This Row],[Intervalo]],Regiones[Skill],'BUPA Seguros'!$L$3)</f>
        <v>0</v>
      </c>
      <c r="F560" s="20">
        <v>0</v>
      </c>
      <c r="G560" s="19">
        <f>IFERROR(SUMIFS(Regiones[TMO],Regiones[Fecha],Tabla54[[#This Row],[Fecha]],Regiones[Intervalo],Tabla54[[#This Row],[Intervalo]],Regiones[Skill],'BUPA Seguros'!$L$3)/Tabla54[[#This Row],[Atendidas]],0)</f>
        <v>0</v>
      </c>
      <c r="H5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0" s="21">
        <f>IFERROR(Tabla54[[#This Row],[Atendidas]]/Tabla54[[#This Row],[Recibidas]],0)</f>
        <v>0</v>
      </c>
    </row>
    <row r="561" spans="2:9" x14ac:dyDescent="0.3">
      <c r="B561" s="25">
        <f t="shared" si="22"/>
        <v>46215</v>
      </c>
      <c r="C561" s="26">
        <v>0.5625</v>
      </c>
      <c r="D561" s="19">
        <f>+SUMIFS(Regiones[Ofrecidas],Regiones[Fecha],Tabla54[[#This Row],[Fecha]],Regiones[Intervalo],Tabla54[[#This Row],[Intervalo]],Regiones[Skill],'BUPA Seguros'!$L$3)</f>
        <v>0</v>
      </c>
      <c r="E561" s="19">
        <f>+SUMIFS(Regiones[Contestadas],Regiones[Fecha],Tabla54[[#This Row],[Fecha]],Regiones[Intervalo],Tabla54[[#This Row],[Intervalo]],Regiones[Skill],'BUPA Seguros'!$L$3)</f>
        <v>0</v>
      </c>
      <c r="F561" s="20">
        <v>0</v>
      </c>
      <c r="G561" s="19">
        <f>IFERROR(SUMIFS(Regiones[TMO],Regiones[Fecha],Tabla54[[#This Row],[Fecha]],Regiones[Intervalo],Tabla54[[#This Row],[Intervalo]],Regiones[Skill],'BUPA Seguros'!$L$3)/Tabla54[[#This Row],[Atendidas]],0)</f>
        <v>0</v>
      </c>
      <c r="H5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1" s="21">
        <f>IFERROR(Tabla54[[#This Row],[Atendidas]]/Tabla54[[#This Row],[Recibidas]],0)</f>
        <v>0</v>
      </c>
    </row>
    <row r="562" spans="2:9" x14ac:dyDescent="0.3">
      <c r="B562" s="27">
        <f t="shared" si="22"/>
        <v>46215</v>
      </c>
      <c r="C562" s="18">
        <v>0.58333333333333304</v>
      </c>
      <c r="D562" s="19">
        <f>+SUMIFS(Regiones[Ofrecidas],Regiones[Fecha],Tabla54[[#This Row],[Fecha]],Regiones[Intervalo],Tabla54[[#This Row],[Intervalo]],Regiones[Skill],'BUPA Seguros'!$L$3)</f>
        <v>0</v>
      </c>
      <c r="E562" s="19">
        <f>+SUMIFS(Regiones[Contestadas],Regiones[Fecha],Tabla54[[#This Row],[Fecha]],Regiones[Intervalo],Tabla54[[#This Row],[Intervalo]],Regiones[Skill],'BUPA Seguros'!$L$3)</f>
        <v>0</v>
      </c>
      <c r="F562" s="20">
        <v>0</v>
      </c>
      <c r="G562" s="19">
        <f>IFERROR(SUMIFS(Regiones[TMO],Regiones[Fecha],Tabla54[[#This Row],[Fecha]],Regiones[Intervalo],Tabla54[[#This Row],[Intervalo]],Regiones[Skill],'BUPA Seguros'!$L$3)/Tabla54[[#This Row],[Atendidas]],0)</f>
        <v>0</v>
      </c>
      <c r="H5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2" s="21">
        <f>IFERROR(Tabla54[[#This Row],[Atendidas]]/Tabla54[[#This Row],[Recibidas]],0)</f>
        <v>0</v>
      </c>
    </row>
    <row r="563" spans="2:9" x14ac:dyDescent="0.3">
      <c r="B563" s="25">
        <f t="shared" si="22"/>
        <v>46215</v>
      </c>
      <c r="C563" s="26">
        <v>0.60416666666666696</v>
      </c>
      <c r="D563" s="19">
        <f>+SUMIFS(Regiones[Ofrecidas],Regiones[Fecha],Tabla54[[#This Row],[Fecha]],Regiones[Intervalo],Tabla54[[#This Row],[Intervalo]],Regiones[Skill],'BUPA Seguros'!$L$3)</f>
        <v>0</v>
      </c>
      <c r="E563" s="19">
        <f>+SUMIFS(Regiones[Contestadas],Regiones[Fecha],Tabla54[[#This Row],[Fecha]],Regiones[Intervalo],Tabla54[[#This Row],[Intervalo]],Regiones[Skill],'BUPA Seguros'!$L$3)</f>
        <v>0</v>
      </c>
      <c r="F563" s="20">
        <v>0</v>
      </c>
      <c r="G563" s="19">
        <f>IFERROR(SUMIFS(Regiones[TMO],Regiones[Fecha],Tabla54[[#This Row],[Fecha]],Regiones[Intervalo],Tabla54[[#This Row],[Intervalo]],Regiones[Skill],'BUPA Seguros'!$L$3)/Tabla54[[#This Row],[Atendidas]],0)</f>
        <v>0</v>
      </c>
      <c r="H5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3" s="21">
        <f>IFERROR(Tabla54[[#This Row],[Atendidas]]/Tabla54[[#This Row],[Recibidas]],0)</f>
        <v>0</v>
      </c>
    </row>
    <row r="564" spans="2:9" x14ac:dyDescent="0.3">
      <c r="B564" s="27">
        <f t="shared" si="22"/>
        <v>46215</v>
      </c>
      <c r="C564" s="18">
        <v>0.625</v>
      </c>
      <c r="D564" s="19">
        <f>+SUMIFS(Regiones[Ofrecidas],Regiones[Fecha],Tabla54[[#This Row],[Fecha]],Regiones[Intervalo],Tabla54[[#This Row],[Intervalo]],Regiones[Skill],'BUPA Seguros'!$L$3)</f>
        <v>0</v>
      </c>
      <c r="E564" s="19">
        <f>+SUMIFS(Regiones[Contestadas],Regiones[Fecha],Tabla54[[#This Row],[Fecha]],Regiones[Intervalo],Tabla54[[#This Row],[Intervalo]],Regiones[Skill],'BUPA Seguros'!$L$3)</f>
        <v>0</v>
      </c>
      <c r="F564" s="20">
        <v>0</v>
      </c>
      <c r="G564" s="19">
        <f>IFERROR(SUMIFS(Regiones[TMO],Regiones[Fecha],Tabla54[[#This Row],[Fecha]],Regiones[Intervalo],Tabla54[[#This Row],[Intervalo]],Regiones[Skill],'BUPA Seguros'!$L$3)/Tabla54[[#This Row],[Atendidas]],0)</f>
        <v>0</v>
      </c>
      <c r="H5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4" s="21">
        <f>IFERROR(Tabla54[[#This Row],[Atendidas]]/Tabla54[[#This Row],[Recibidas]],0)</f>
        <v>0</v>
      </c>
    </row>
    <row r="565" spans="2:9" x14ac:dyDescent="0.3">
      <c r="B565" s="25">
        <f t="shared" si="22"/>
        <v>46215</v>
      </c>
      <c r="C565" s="26">
        <v>0.64583333333333304</v>
      </c>
      <c r="D565" s="19">
        <f>+SUMIFS(Regiones[Ofrecidas],Regiones[Fecha],Tabla54[[#This Row],[Fecha]],Regiones[Intervalo],Tabla54[[#This Row],[Intervalo]],Regiones[Skill],'BUPA Seguros'!$L$3)</f>
        <v>0</v>
      </c>
      <c r="E565" s="19">
        <f>+SUMIFS(Regiones[Contestadas],Regiones[Fecha],Tabla54[[#This Row],[Fecha]],Regiones[Intervalo],Tabla54[[#This Row],[Intervalo]],Regiones[Skill],'BUPA Seguros'!$L$3)</f>
        <v>0</v>
      </c>
      <c r="F565" s="20">
        <v>0</v>
      </c>
      <c r="G565" s="19">
        <f>IFERROR(SUMIFS(Regiones[TMO],Regiones[Fecha],Tabla54[[#This Row],[Fecha]],Regiones[Intervalo],Tabla54[[#This Row],[Intervalo]],Regiones[Skill],'BUPA Seguros'!$L$3)/Tabla54[[#This Row],[Atendidas]],0)</f>
        <v>0</v>
      </c>
      <c r="H5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5" s="21">
        <f>IFERROR(Tabla54[[#This Row],[Atendidas]]/Tabla54[[#This Row],[Recibidas]],0)</f>
        <v>0</v>
      </c>
    </row>
    <row r="566" spans="2:9" x14ac:dyDescent="0.3">
      <c r="B566" s="27">
        <f t="shared" si="22"/>
        <v>46215</v>
      </c>
      <c r="C566" s="18">
        <v>0.66666666666666696</v>
      </c>
      <c r="D566" s="19">
        <f>+SUMIFS(Regiones[Ofrecidas],Regiones[Fecha],Tabla54[[#This Row],[Fecha]],Regiones[Intervalo],Tabla54[[#This Row],[Intervalo]],Regiones[Skill],'BUPA Seguros'!$L$3)</f>
        <v>0</v>
      </c>
      <c r="E566" s="19">
        <f>+SUMIFS(Regiones[Contestadas],Regiones[Fecha],Tabla54[[#This Row],[Fecha]],Regiones[Intervalo],Tabla54[[#This Row],[Intervalo]],Regiones[Skill],'BUPA Seguros'!$L$3)</f>
        <v>0</v>
      </c>
      <c r="F566" s="20">
        <v>0</v>
      </c>
      <c r="G566" s="19">
        <f>IFERROR(SUMIFS(Regiones[TMO],Regiones[Fecha],Tabla54[[#This Row],[Fecha]],Regiones[Intervalo],Tabla54[[#This Row],[Intervalo]],Regiones[Skill],'BUPA Seguros'!$L$3)/Tabla54[[#This Row],[Atendidas]],0)</f>
        <v>0</v>
      </c>
      <c r="H5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6" s="21">
        <f>IFERROR(Tabla54[[#This Row],[Atendidas]]/Tabla54[[#This Row],[Recibidas]],0)</f>
        <v>0</v>
      </c>
    </row>
    <row r="567" spans="2:9" x14ac:dyDescent="0.3">
      <c r="B567" s="25">
        <f t="shared" si="22"/>
        <v>46215</v>
      </c>
      <c r="C567" s="26">
        <v>0.6875</v>
      </c>
      <c r="D567" s="19">
        <f>+SUMIFS(Regiones[Ofrecidas],Regiones[Fecha],Tabla54[[#This Row],[Fecha]],Regiones[Intervalo],Tabla54[[#This Row],[Intervalo]],Regiones[Skill],'BUPA Seguros'!$L$3)</f>
        <v>0</v>
      </c>
      <c r="E567" s="19">
        <f>+SUMIFS(Regiones[Contestadas],Regiones[Fecha],Tabla54[[#This Row],[Fecha]],Regiones[Intervalo],Tabla54[[#This Row],[Intervalo]],Regiones[Skill],'BUPA Seguros'!$L$3)</f>
        <v>0</v>
      </c>
      <c r="F567" s="20">
        <v>0</v>
      </c>
      <c r="G567" s="19">
        <f>IFERROR(SUMIFS(Regiones[TMO],Regiones[Fecha],Tabla54[[#This Row],[Fecha]],Regiones[Intervalo],Tabla54[[#This Row],[Intervalo]],Regiones[Skill],'BUPA Seguros'!$L$3)/Tabla54[[#This Row],[Atendidas]],0)</f>
        <v>0</v>
      </c>
      <c r="H5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7" s="21">
        <f>IFERROR(Tabla54[[#This Row],[Atendidas]]/Tabla54[[#This Row],[Recibidas]],0)</f>
        <v>0</v>
      </c>
    </row>
    <row r="568" spans="2:9" x14ac:dyDescent="0.3">
      <c r="B568" s="27">
        <f t="shared" si="22"/>
        <v>46215</v>
      </c>
      <c r="C568" s="18">
        <v>0.70833333333333304</v>
      </c>
      <c r="D568" s="19">
        <f>+SUMIFS(Regiones[Ofrecidas],Regiones[Fecha],Tabla54[[#This Row],[Fecha]],Regiones[Intervalo],Tabla54[[#This Row],[Intervalo]],Regiones[Skill],'BUPA Seguros'!$L$3)</f>
        <v>0</v>
      </c>
      <c r="E568" s="19">
        <f>+SUMIFS(Regiones[Contestadas],Regiones[Fecha],Tabla54[[#This Row],[Fecha]],Regiones[Intervalo],Tabla54[[#This Row],[Intervalo]],Regiones[Skill],'BUPA Seguros'!$L$3)</f>
        <v>0</v>
      </c>
      <c r="F568" s="20">
        <v>0</v>
      </c>
      <c r="G568" s="19">
        <f>IFERROR(SUMIFS(Regiones[TMO],Regiones[Fecha],Tabla54[[#This Row],[Fecha]],Regiones[Intervalo],Tabla54[[#This Row],[Intervalo]],Regiones[Skill],'BUPA Seguros'!$L$3)/Tabla54[[#This Row],[Atendidas]],0)</f>
        <v>0</v>
      </c>
      <c r="H5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8" s="21">
        <f>IFERROR(Tabla54[[#This Row],[Atendidas]]/Tabla54[[#This Row],[Recibidas]],0)</f>
        <v>0</v>
      </c>
    </row>
    <row r="569" spans="2:9" x14ac:dyDescent="0.3">
      <c r="B569" s="25">
        <f t="shared" si="22"/>
        <v>46215</v>
      </c>
      <c r="C569" s="26">
        <v>0.72916666666666696</v>
      </c>
      <c r="D569" s="19">
        <f>+SUMIFS(Regiones[Ofrecidas],Regiones[Fecha],Tabla54[[#This Row],[Fecha]],Regiones[Intervalo],Tabla54[[#This Row],[Intervalo]],Regiones[Skill],'BUPA Seguros'!$L$3)</f>
        <v>0</v>
      </c>
      <c r="E569" s="19">
        <f>+SUMIFS(Regiones[Contestadas],Regiones[Fecha],Tabla54[[#This Row],[Fecha]],Regiones[Intervalo],Tabla54[[#This Row],[Intervalo]],Regiones[Skill],'BUPA Seguros'!$L$3)</f>
        <v>0</v>
      </c>
      <c r="F569" s="20">
        <v>0</v>
      </c>
      <c r="G569" s="19">
        <f>IFERROR(SUMIFS(Regiones[TMO],Regiones[Fecha],Tabla54[[#This Row],[Fecha]],Regiones[Intervalo],Tabla54[[#This Row],[Intervalo]],Regiones[Skill],'BUPA Seguros'!$L$3)/Tabla54[[#This Row],[Atendidas]],0)</f>
        <v>0</v>
      </c>
      <c r="H5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69" s="21">
        <f>IFERROR(Tabla54[[#This Row],[Atendidas]]/Tabla54[[#This Row],[Recibidas]],0)</f>
        <v>0</v>
      </c>
    </row>
    <row r="570" spans="2:9" x14ac:dyDescent="0.3">
      <c r="B570" s="27">
        <f t="shared" si="22"/>
        <v>46215</v>
      </c>
      <c r="C570" s="18">
        <v>0.75</v>
      </c>
      <c r="D570" s="19">
        <f>+SUMIFS(Regiones[Ofrecidas],Regiones[Fecha],Tabla54[[#This Row],[Fecha]],Regiones[Intervalo],Tabla54[[#This Row],[Intervalo]],Regiones[Skill],'BUPA Seguros'!$L$3)</f>
        <v>0</v>
      </c>
      <c r="E570" s="19">
        <f>+SUMIFS(Regiones[Contestadas],Regiones[Fecha],Tabla54[[#This Row],[Fecha]],Regiones[Intervalo],Tabla54[[#This Row],[Intervalo]],Regiones[Skill],'BUPA Seguros'!$L$3)</f>
        <v>0</v>
      </c>
      <c r="F570" s="20">
        <v>0</v>
      </c>
      <c r="G570" s="19">
        <f>IFERROR(SUMIFS(Regiones[TMO],Regiones[Fecha],Tabla54[[#This Row],[Fecha]],Regiones[Intervalo],Tabla54[[#This Row],[Intervalo]],Regiones[Skill],'BUPA Seguros'!$L$3)/Tabla54[[#This Row],[Atendidas]],0)</f>
        <v>0</v>
      </c>
      <c r="H5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0" s="21">
        <f>IFERROR(Tabla54[[#This Row],[Atendidas]]/Tabla54[[#This Row],[Recibidas]],0)</f>
        <v>0</v>
      </c>
    </row>
    <row r="571" spans="2:9" x14ac:dyDescent="0.3">
      <c r="B571" s="25">
        <f t="shared" si="22"/>
        <v>46215</v>
      </c>
      <c r="C571" s="26">
        <v>0.77083333333333304</v>
      </c>
      <c r="D571" s="19">
        <f>+SUMIFS(Regiones[Ofrecidas],Regiones[Fecha],Tabla54[[#This Row],[Fecha]],Regiones[Intervalo],Tabla54[[#This Row],[Intervalo]],Regiones[Skill],'BUPA Seguros'!$L$3)</f>
        <v>0</v>
      </c>
      <c r="E571" s="19">
        <f>+SUMIFS(Regiones[Contestadas],Regiones[Fecha],Tabla54[[#This Row],[Fecha]],Regiones[Intervalo],Tabla54[[#This Row],[Intervalo]],Regiones[Skill],'BUPA Seguros'!$L$3)</f>
        <v>0</v>
      </c>
      <c r="F571" s="20">
        <v>0</v>
      </c>
      <c r="G571" s="19">
        <f>IFERROR(SUMIFS(Regiones[TMO],Regiones[Fecha],Tabla54[[#This Row],[Fecha]],Regiones[Intervalo],Tabla54[[#This Row],[Intervalo]],Regiones[Skill],'BUPA Seguros'!$L$3)/Tabla54[[#This Row],[Atendidas]],0)</f>
        <v>0</v>
      </c>
      <c r="H5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1" s="21">
        <f>IFERROR(Tabla54[[#This Row],[Atendidas]]/Tabla54[[#This Row],[Recibidas]],0)</f>
        <v>0</v>
      </c>
    </row>
    <row r="572" spans="2:9" x14ac:dyDescent="0.3">
      <c r="B572" s="27">
        <f t="shared" si="22"/>
        <v>46215</v>
      </c>
      <c r="C572" s="18">
        <v>0.79166666666666696</v>
      </c>
      <c r="D572" s="19">
        <f>+SUMIFS(Regiones[Ofrecidas],Regiones[Fecha],Tabla54[[#This Row],[Fecha]],Regiones[Intervalo],Tabla54[[#This Row],[Intervalo]],Regiones[Skill],'BUPA Seguros'!$L$3)</f>
        <v>0</v>
      </c>
      <c r="E572" s="19">
        <f>+SUMIFS(Regiones[Contestadas],Regiones[Fecha],Tabla54[[#This Row],[Fecha]],Regiones[Intervalo],Tabla54[[#This Row],[Intervalo]],Regiones[Skill],'BUPA Seguros'!$L$3)</f>
        <v>0</v>
      </c>
      <c r="F572" s="20">
        <v>0</v>
      </c>
      <c r="G572" s="19">
        <f>IFERROR(SUMIFS(Regiones[TMO],Regiones[Fecha],Tabla54[[#This Row],[Fecha]],Regiones[Intervalo],Tabla54[[#This Row],[Intervalo]],Regiones[Skill],'BUPA Seguros'!$L$3)/Tabla54[[#This Row],[Atendidas]],0)</f>
        <v>0</v>
      </c>
      <c r="H5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2" s="21">
        <f>IFERROR(Tabla54[[#This Row],[Atendidas]]/Tabla54[[#This Row],[Recibidas]],0)</f>
        <v>0</v>
      </c>
    </row>
    <row r="573" spans="2:9" x14ac:dyDescent="0.3">
      <c r="B573" s="25">
        <f t="shared" si="22"/>
        <v>46215</v>
      </c>
      <c r="C573" s="26">
        <v>0.8125</v>
      </c>
      <c r="D573" s="19">
        <f>+SUMIFS(Regiones[Ofrecidas],Regiones[Fecha],Tabla54[[#This Row],[Fecha]],Regiones[Intervalo],Tabla54[[#This Row],[Intervalo]],Regiones[Skill],'BUPA Seguros'!$L$3)</f>
        <v>0</v>
      </c>
      <c r="E573" s="19">
        <f>+SUMIFS(Regiones[Contestadas],Regiones[Fecha],Tabla54[[#This Row],[Fecha]],Regiones[Intervalo],Tabla54[[#This Row],[Intervalo]],Regiones[Skill],'BUPA Seguros'!$L$3)</f>
        <v>0</v>
      </c>
      <c r="F573" s="20">
        <v>0</v>
      </c>
      <c r="G573" s="19">
        <f>IFERROR(SUMIFS(Regiones[TMO],Regiones[Fecha],Tabla54[[#This Row],[Fecha]],Regiones[Intervalo],Tabla54[[#This Row],[Intervalo]],Regiones[Skill],'BUPA Seguros'!$L$3)/Tabla54[[#This Row],[Atendidas]],0)</f>
        <v>0</v>
      </c>
      <c r="H5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3" s="21">
        <f>IFERROR(Tabla54[[#This Row],[Atendidas]]/Tabla54[[#This Row],[Recibidas]],0)</f>
        <v>0</v>
      </c>
    </row>
    <row r="574" spans="2:9" x14ac:dyDescent="0.3">
      <c r="B574" s="27">
        <f t="shared" si="22"/>
        <v>46215</v>
      </c>
      <c r="C574" s="18">
        <v>0.83333333333333304</v>
      </c>
      <c r="D574" s="19">
        <f>+SUMIFS(Regiones[Ofrecidas],Regiones[Fecha],Tabla54[[#This Row],[Fecha]],Regiones[Intervalo],Tabla54[[#This Row],[Intervalo]],Regiones[Skill],'BUPA Seguros'!$L$3)</f>
        <v>0</v>
      </c>
      <c r="E574" s="19">
        <f>+SUMIFS(Regiones[Contestadas],Regiones[Fecha],Tabla54[[#This Row],[Fecha]],Regiones[Intervalo],Tabla54[[#This Row],[Intervalo]],Regiones[Skill],'BUPA Seguros'!$L$3)</f>
        <v>0</v>
      </c>
      <c r="F574" s="20">
        <v>0</v>
      </c>
      <c r="G574" s="19">
        <f>IFERROR(SUMIFS(Regiones[TMO],Regiones[Fecha],Tabla54[[#This Row],[Fecha]],Regiones[Intervalo],Tabla54[[#This Row],[Intervalo]],Regiones[Skill],'BUPA Seguros'!$L$3)/Tabla54[[#This Row],[Atendidas]],0)</f>
        <v>0</v>
      </c>
      <c r="H5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4" s="21">
        <f>IFERROR(Tabla54[[#This Row],[Atendidas]]/Tabla54[[#This Row],[Recibidas]],0)</f>
        <v>0</v>
      </c>
    </row>
    <row r="575" spans="2:9" x14ac:dyDescent="0.3">
      <c r="B575" s="25">
        <f t="shared" si="22"/>
        <v>46215</v>
      </c>
      <c r="C575" s="26">
        <v>0.85416666666666696</v>
      </c>
      <c r="D575" s="19">
        <f>+SUMIFS(Regiones[Ofrecidas],Regiones[Fecha],Tabla54[[#This Row],[Fecha]],Regiones[Intervalo],Tabla54[[#This Row],[Intervalo]],Regiones[Skill],'BUPA Seguros'!$L$3)</f>
        <v>0</v>
      </c>
      <c r="E575" s="19">
        <f>+SUMIFS(Regiones[Contestadas],Regiones[Fecha],Tabla54[[#This Row],[Fecha]],Regiones[Intervalo],Tabla54[[#This Row],[Intervalo]],Regiones[Skill],'BUPA Seguros'!$L$3)</f>
        <v>0</v>
      </c>
      <c r="F575" s="20">
        <v>0</v>
      </c>
      <c r="G575" s="19">
        <f>IFERROR(SUMIFS(Regiones[TMO],Regiones[Fecha],Tabla54[[#This Row],[Fecha]],Regiones[Intervalo],Tabla54[[#This Row],[Intervalo]],Regiones[Skill],'BUPA Seguros'!$L$3)/Tabla54[[#This Row],[Atendidas]],0)</f>
        <v>0</v>
      </c>
      <c r="H5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5" s="21">
        <f>IFERROR(Tabla54[[#This Row],[Atendidas]]/Tabla54[[#This Row],[Recibidas]],0)</f>
        <v>0</v>
      </c>
    </row>
    <row r="576" spans="2:9" x14ac:dyDescent="0.3">
      <c r="B576" s="27">
        <f t="shared" si="22"/>
        <v>46215</v>
      </c>
      <c r="C576" s="18">
        <v>0.875</v>
      </c>
      <c r="D576" s="19">
        <f>+SUMIFS(Regiones[Ofrecidas],Regiones[Fecha],Tabla54[[#This Row],[Fecha]],Regiones[Intervalo],Tabla54[[#This Row],[Intervalo]],Regiones[Skill],'BUPA Seguros'!$L$3)</f>
        <v>0</v>
      </c>
      <c r="E576" s="19">
        <f>+SUMIFS(Regiones[Contestadas],Regiones[Fecha],Tabla54[[#This Row],[Fecha]],Regiones[Intervalo],Tabla54[[#This Row],[Intervalo]],Regiones[Skill],'BUPA Seguros'!$L$3)</f>
        <v>0</v>
      </c>
      <c r="F576" s="20">
        <v>0</v>
      </c>
      <c r="G576" s="19">
        <f>IFERROR(SUMIFS(Regiones[TMO],Regiones[Fecha],Tabla54[[#This Row],[Fecha]],Regiones[Intervalo],Tabla54[[#This Row],[Intervalo]],Regiones[Skill],'BUPA Seguros'!$L$3)/Tabla54[[#This Row],[Atendidas]],0)</f>
        <v>0</v>
      </c>
      <c r="H5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6" s="21">
        <f>IFERROR(Tabla54[[#This Row],[Atendidas]]/Tabla54[[#This Row],[Recibidas]],0)</f>
        <v>0</v>
      </c>
    </row>
    <row r="577" spans="2:9" x14ac:dyDescent="0.3">
      <c r="B577" s="25">
        <f t="shared" si="22"/>
        <v>46215</v>
      </c>
      <c r="C577" s="26">
        <v>0.89583333333333304</v>
      </c>
      <c r="D577" s="19">
        <f>+SUMIFS(Regiones[Ofrecidas],Regiones[Fecha],Tabla54[[#This Row],[Fecha]],Regiones[Intervalo],Tabla54[[#This Row],[Intervalo]],Regiones[Skill],'BUPA Seguros'!$L$3)</f>
        <v>0</v>
      </c>
      <c r="E577" s="19">
        <f>+SUMIFS(Regiones[Contestadas],Regiones[Fecha],Tabla54[[#This Row],[Fecha]],Regiones[Intervalo],Tabla54[[#This Row],[Intervalo]],Regiones[Skill],'BUPA Seguros'!$L$3)</f>
        <v>0</v>
      </c>
      <c r="F577" s="20">
        <v>0</v>
      </c>
      <c r="G577" s="19">
        <f>IFERROR(SUMIFS(Regiones[TMO],Regiones[Fecha],Tabla54[[#This Row],[Fecha]],Regiones[Intervalo],Tabla54[[#This Row],[Intervalo]],Regiones[Skill],'BUPA Seguros'!$L$3)/Tabla54[[#This Row],[Atendidas]],0)</f>
        <v>0</v>
      </c>
      <c r="H5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7" s="21">
        <f>IFERROR(Tabla54[[#This Row],[Atendidas]]/Tabla54[[#This Row],[Recibidas]],0)</f>
        <v>0</v>
      </c>
    </row>
    <row r="578" spans="2:9" x14ac:dyDescent="0.3">
      <c r="B578" s="27">
        <f t="shared" si="22"/>
        <v>46215</v>
      </c>
      <c r="C578" s="18">
        <v>0.91666666666666696</v>
      </c>
      <c r="D578" s="19">
        <f>+SUMIFS(Regiones[Ofrecidas],Regiones[Fecha],Tabla54[[#This Row],[Fecha]],Regiones[Intervalo],Tabla54[[#This Row],[Intervalo]],Regiones[Skill],'BUPA Seguros'!$L$3)</f>
        <v>0</v>
      </c>
      <c r="E578" s="19">
        <f>+SUMIFS(Regiones[Contestadas],Regiones[Fecha],Tabla54[[#This Row],[Fecha]],Regiones[Intervalo],Tabla54[[#This Row],[Intervalo]],Regiones[Skill],'BUPA Seguros'!$L$3)</f>
        <v>0</v>
      </c>
      <c r="F578" s="20">
        <v>0</v>
      </c>
      <c r="G578" s="19">
        <f>IFERROR(SUMIFS(Regiones[TMO],Regiones[Fecha],Tabla54[[#This Row],[Fecha]],Regiones[Intervalo],Tabla54[[#This Row],[Intervalo]],Regiones[Skill],'BUPA Seguros'!$L$3)/Tabla54[[#This Row],[Atendidas]],0)</f>
        <v>0</v>
      </c>
      <c r="H5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8" s="21">
        <f>IFERROR(Tabla54[[#This Row],[Atendidas]]/Tabla54[[#This Row],[Recibidas]],0)</f>
        <v>0</v>
      </c>
    </row>
    <row r="579" spans="2:9" x14ac:dyDescent="0.3">
      <c r="B579" s="25">
        <f t="shared" si="22"/>
        <v>46215</v>
      </c>
      <c r="C579" s="26">
        <v>0.9375</v>
      </c>
      <c r="D579" s="19">
        <f>+SUMIFS(Regiones[Ofrecidas],Regiones[Fecha],Tabla54[[#This Row],[Fecha]],Regiones[Intervalo],Tabla54[[#This Row],[Intervalo]],Regiones[Skill],'BUPA Seguros'!$L$3)</f>
        <v>0</v>
      </c>
      <c r="E579" s="19">
        <f>+SUMIFS(Regiones[Contestadas],Regiones[Fecha],Tabla54[[#This Row],[Fecha]],Regiones[Intervalo],Tabla54[[#This Row],[Intervalo]],Regiones[Skill],'BUPA Seguros'!$L$3)</f>
        <v>0</v>
      </c>
      <c r="F579" s="20">
        <v>0</v>
      </c>
      <c r="G579" s="19">
        <f>IFERROR(SUMIFS(Regiones[TMO],Regiones[Fecha],Tabla54[[#This Row],[Fecha]],Regiones[Intervalo],Tabla54[[#This Row],[Intervalo]],Regiones[Skill],'BUPA Seguros'!$L$3)/Tabla54[[#This Row],[Atendidas]],0)</f>
        <v>0</v>
      </c>
      <c r="H5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79" s="21">
        <f>IFERROR(Tabla54[[#This Row],[Atendidas]]/Tabla54[[#This Row],[Recibidas]],0)</f>
        <v>0</v>
      </c>
    </row>
    <row r="580" spans="2:9" x14ac:dyDescent="0.3">
      <c r="B580" s="27">
        <f t="shared" si="22"/>
        <v>46215</v>
      </c>
      <c r="C580" s="18">
        <v>0.95833333333333304</v>
      </c>
      <c r="D580" s="19">
        <f>+SUMIFS(Regiones[Ofrecidas],Regiones[Fecha],Tabla54[[#This Row],[Fecha]],Regiones[Intervalo],Tabla54[[#This Row],[Intervalo]],Regiones[Skill],'BUPA Seguros'!$L$3)</f>
        <v>0</v>
      </c>
      <c r="E580" s="19">
        <f>+SUMIFS(Regiones[Contestadas],Regiones[Fecha],Tabla54[[#This Row],[Fecha]],Regiones[Intervalo],Tabla54[[#This Row],[Intervalo]],Regiones[Skill],'BUPA Seguros'!$L$3)</f>
        <v>0</v>
      </c>
      <c r="F580" s="20">
        <v>0</v>
      </c>
      <c r="G580" s="19">
        <f>IFERROR(SUMIFS(Regiones[TMO],Regiones[Fecha],Tabla54[[#This Row],[Fecha]],Regiones[Intervalo],Tabla54[[#This Row],[Intervalo]],Regiones[Skill],'BUPA Seguros'!$L$3)/Tabla54[[#This Row],[Atendidas]],0)</f>
        <v>0</v>
      </c>
      <c r="H5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0" s="21">
        <f>IFERROR(Tabla54[[#This Row],[Atendidas]]/Tabla54[[#This Row],[Recibidas]],0)</f>
        <v>0</v>
      </c>
    </row>
    <row r="581" spans="2:9" x14ac:dyDescent="0.3">
      <c r="B581" s="25">
        <f t="shared" si="22"/>
        <v>46215</v>
      </c>
      <c r="C581" s="26">
        <v>0.97916666666666696</v>
      </c>
      <c r="D581" s="19">
        <f>+SUMIFS(Regiones[Ofrecidas],Regiones[Fecha],Tabla54[[#This Row],[Fecha]],Regiones[Intervalo],Tabla54[[#This Row],[Intervalo]],Regiones[Skill],'BUPA Seguros'!$L$3)</f>
        <v>0</v>
      </c>
      <c r="E581" s="19">
        <f>+SUMIFS(Regiones[Contestadas],Regiones[Fecha],Tabla54[[#This Row],[Fecha]],Regiones[Intervalo],Tabla54[[#This Row],[Intervalo]],Regiones[Skill],'BUPA Seguros'!$L$3)</f>
        <v>0</v>
      </c>
      <c r="F581" s="20">
        <v>0</v>
      </c>
      <c r="G581" s="19">
        <f>IFERROR(SUMIFS(Regiones[TMO],Regiones[Fecha],Tabla54[[#This Row],[Fecha]],Regiones[Intervalo],Tabla54[[#This Row],[Intervalo]],Regiones[Skill],'BUPA Seguros'!$L$3)/Tabla54[[#This Row],[Atendidas]],0)</f>
        <v>0</v>
      </c>
      <c r="H5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1" s="21">
        <f>IFERROR(Tabla54[[#This Row],[Atendidas]]/Tabla54[[#This Row],[Recibidas]],0)</f>
        <v>0</v>
      </c>
    </row>
    <row r="582" spans="2:9" x14ac:dyDescent="0.3">
      <c r="B582" s="27">
        <f>+B581+1</f>
        <v>46216</v>
      </c>
      <c r="C582" s="18">
        <v>0</v>
      </c>
      <c r="D582" s="19">
        <f>+SUMIFS(Regiones[Ofrecidas],Regiones[Fecha],Tabla54[[#This Row],[Fecha]],Regiones[Intervalo],Tabla54[[#This Row],[Intervalo]],Regiones[Skill],'BUPA Seguros'!$L$3)</f>
        <v>0</v>
      </c>
      <c r="E582" s="19">
        <f>+SUMIFS(Regiones[Contestadas],Regiones[Fecha],Tabla54[[#This Row],[Fecha]],Regiones[Intervalo],Tabla54[[#This Row],[Intervalo]],Regiones[Skill],'BUPA Seguros'!$L$3)</f>
        <v>0</v>
      </c>
      <c r="F582" s="20">
        <v>0</v>
      </c>
      <c r="G582" s="19">
        <f>IFERROR(SUMIFS(Regiones[TMO],Regiones[Fecha],Tabla54[[#This Row],[Fecha]],Regiones[Intervalo],Tabla54[[#This Row],[Intervalo]],Regiones[Skill],'BUPA Seguros'!$L$3)/Tabla54[[#This Row],[Atendidas]],0)</f>
        <v>0</v>
      </c>
      <c r="H5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2" s="21">
        <f>IFERROR(Tabla54[[#This Row],[Atendidas]]/Tabla54[[#This Row],[Recibidas]],0)</f>
        <v>0</v>
      </c>
    </row>
    <row r="583" spans="2:9" x14ac:dyDescent="0.3">
      <c r="B583" s="25">
        <f>+B582</f>
        <v>46216</v>
      </c>
      <c r="C583" s="26">
        <v>2.0833333333333332E-2</v>
      </c>
      <c r="D583" s="19">
        <f>+SUMIFS(Regiones[Ofrecidas],Regiones[Fecha],Tabla54[[#This Row],[Fecha]],Regiones[Intervalo],Tabla54[[#This Row],[Intervalo]],Regiones[Skill],'BUPA Seguros'!$L$3)</f>
        <v>0</v>
      </c>
      <c r="E583" s="19">
        <f>+SUMIFS(Regiones[Contestadas],Regiones[Fecha],Tabla54[[#This Row],[Fecha]],Regiones[Intervalo],Tabla54[[#This Row],[Intervalo]],Regiones[Skill],'BUPA Seguros'!$L$3)</f>
        <v>0</v>
      </c>
      <c r="F583" s="20">
        <v>0</v>
      </c>
      <c r="G583" s="19">
        <f>IFERROR(SUMIFS(Regiones[TMO],Regiones[Fecha],Tabla54[[#This Row],[Fecha]],Regiones[Intervalo],Tabla54[[#This Row],[Intervalo]],Regiones[Skill],'BUPA Seguros'!$L$3)/Tabla54[[#This Row],[Atendidas]],0)</f>
        <v>0</v>
      </c>
      <c r="H5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3" s="21">
        <f>IFERROR(Tabla54[[#This Row],[Atendidas]]/Tabla54[[#This Row],[Recibidas]],0)</f>
        <v>0</v>
      </c>
    </row>
    <row r="584" spans="2:9" x14ac:dyDescent="0.3">
      <c r="B584" s="27">
        <f t="shared" ref="B584:B629" si="23">+B583</f>
        <v>46216</v>
      </c>
      <c r="C584" s="18">
        <v>4.1666666666666699E-2</v>
      </c>
      <c r="D584" s="19">
        <f>+SUMIFS(Regiones[Ofrecidas],Regiones[Fecha],Tabla54[[#This Row],[Fecha]],Regiones[Intervalo],Tabla54[[#This Row],[Intervalo]],Regiones[Skill],'BUPA Seguros'!$L$3)</f>
        <v>0</v>
      </c>
      <c r="E584" s="19">
        <f>+SUMIFS(Regiones[Contestadas],Regiones[Fecha],Tabla54[[#This Row],[Fecha]],Regiones[Intervalo],Tabla54[[#This Row],[Intervalo]],Regiones[Skill],'BUPA Seguros'!$L$3)</f>
        <v>0</v>
      </c>
      <c r="F584" s="20">
        <v>0</v>
      </c>
      <c r="G584" s="19">
        <f>IFERROR(SUMIFS(Regiones[TMO],Regiones[Fecha],Tabla54[[#This Row],[Fecha]],Regiones[Intervalo],Tabla54[[#This Row],[Intervalo]],Regiones[Skill],'BUPA Seguros'!$L$3)/Tabla54[[#This Row],[Atendidas]],0)</f>
        <v>0</v>
      </c>
      <c r="H5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4" s="21">
        <f>IFERROR(Tabla54[[#This Row],[Atendidas]]/Tabla54[[#This Row],[Recibidas]],0)</f>
        <v>0</v>
      </c>
    </row>
    <row r="585" spans="2:9" x14ac:dyDescent="0.3">
      <c r="B585" s="25">
        <f t="shared" si="23"/>
        <v>46216</v>
      </c>
      <c r="C585" s="26">
        <v>6.25E-2</v>
      </c>
      <c r="D585" s="19">
        <f>+SUMIFS(Regiones[Ofrecidas],Regiones[Fecha],Tabla54[[#This Row],[Fecha]],Regiones[Intervalo],Tabla54[[#This Row],[Intervalo]],Regiones[Skill],'BUPA Seguros'!$L$3)</f>
        <v>0</v>
      </c>
      <c r="E585" s="19">
        <f>+SUMIFS(Regiones[Contestadas],Regiones[Fecha],Tabla54[[#This Row],[Fecha]],Regiones[Intervalo],Tabla54[[#This Row],[Intervalo]],Regiones[Skill],'BUPA Seguros'!$L$3)</f>
        <v>0</v>
      </c>
      <c r="F585" s="20">
        <v>0</v>
      </c>
      <c r="G585" s="19">
        <f>IFERROR(SUMIFS(Regiones[TMO],Regiones[Fecha],Tabla54[[#This Row],[Fecha]],Regiones[Intervalo],Tabla54[[#This Row],[Intervalo]],Regiones[Skill],'BUPA Seguros'!$L$3)/Tabla54[[#This Row],[Atendidas]],0)</f>
        <v>0</v>
      </c>
      <c r="H5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5" s="21">
        <f>IFERROR(Tabla54[[#This Row],[Atendidas]]/Tabla54[[#This Row],[Recibidas]],0)</f>
        <v>0</v>
      </c>
    </row>
    <row r="586" spans="2:9" x14ac:dyDescent="0.3">
      <c r="B586" s="27">
        <f t="shared" si="23"/>
        <v>46216</v>
      </c>
      <c r="C586" s="18">
        <v>8.3333333333333301E-2</v>
      </c>
      <c r="D586" s="19">
        <f>+SUMIFS(Regiones[Ofrecidas],Regiones[Fecha],Tabla54[[#This Row],[Fecha]],Regiones[Intervalo],Tabla54[[#This Row],[Intervalo]],Regiones[Skill],'BUPA Seguros'!$L$3)</f>
        <v>0</v>
      </c>
      <c r="E586" s="19">
        <f>+SUMIFS(Regiones[Contestadas],Regiones[Fecha],Tabla54[[#This Row],[Fecha]],Regiones[Intervalo],Tabla54[[#This Row],[Intervalo]],Regiones[Skill],'BUPA Seguros'!$L$3)</f>
        <v>0</v>
      </c>
      <c r="F586" s="20">
        <v>0</v>
      </c>
      <c r="G586" s="19">
        <f>IFERROR(SUMIFS(Regiones[TMO],Regiones[Fecha],Tabla54[[#This Row],[Fecha]],Regiones[Intervalo],Tabla54[[#This Row],[Intervalo]],Regiones[Skill],'BUPA Seguros'!$L$3)/Tabla54[[#This Row],[Atendidas]],0)</f>
        <v>0</v>
      </c>
      <c r="H5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6" s="21">
        <f>IFERROR(Tabla54[[#This Row],[Atendidas]]/Tabla54[[#This Row],[Recibidas]],0)</f>
        <v>0</v>
      </c>
    </row>
    <row r="587" spans="2:9" x14ac:dyDescent="0.3">
      <c r="B587" s="25">
        <f t="shared" si="23"/>
        <v>46216</v>
      </c>
      <c r="C587" s="26">
        <v>0.104166666666667</v>
      </c>
      <c r="D587" s="19">
        <f>+SUMIFS(Regiones[Ofrecidas],Regiones[Fecha],Tabla54[[#This Row],[Fecha]],Regiones[Intervalo],Tabla54[[#This Row],[Intervalo]],Regiones[Skill],'BUPA Seguros'!$L$3)</f>
        <v>0</v>
      </c>
      <c r="E587" s="19">
        <f>+SUMIFS(Regiones[Contestadas],Regiones[Fecha],Tabla54[[#This Row],[Fecha]],Regiones[Intervalo],Tabla54[[#This Row],[Intervalo]],Regiones[Skill],'BUPA Seguros'!$L$3)</f>
        <v>0</v>
      </c>
      <c r="F587" s="20">
        <v>0</v>
      </c>
      <c r="G587" s="19">
        <f>IFERROR(SUMIFS(Regiones[TMO],Regiones[Fecha],Tabla54[[#This Row],[Fecha]],Regiones[Intervalo],Tabla54[[#This Row],[Intervalo]],Regiones[Skill],'BUPA Seguros'!$L$3)/Tabla54[[#This Row],[Atendidas]],0)</f>
        <v>0</v>
      </c>
      <c r="H5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7" s="21">
        <f>IFERROR(Tabla54[[#This Row],[Atendidas]]/Tabla54[[#This Row],[Recibidas]],0)</f>
        <v>0</v>
      </c>
    </row>
    <row r="588" spans="2:9" x14ac:dyDescent="0.3">
      <c r="B588" s="27">
        <f t="shared" si="23"/>
        <v>46216</v>
      </c>
      <c r="C588" s="18">
        <v>0.125</v>
      </c>
      <c r="D588" s="19">
        <f>+SUMIFS(Regiones[Ofrecidas],Regiones[Fecha],Tabla54[[#This Row],[Fecha]],Regiones[Intervalo],Tabla54[[#This Row],[Intervalo]],Regiones[Skill],'BUPA Seguros'!$L$3)</f>
        <v>0</v>
      </c>
      <c r="E588" s="19">
        <f>+SUMIFS(Regiones[Contestadas],Regiones[Fecha],Tabla54[[#This Row],[Fecha]],Regiones[Intervalo],Tabla54[[#This Row],[Intervalo]],Regiones[Skill],'BUPA Seguros'!$L$3)</f>
        <v>0</v>
      </c>
      <c r="F588" s="20">
        <v>0</v>
      </c>
      <c r="G588" s="19">
        <f>IFERROR(SUMIFS(Regiones[TMO],Regiones[Fecha],Tabla54[[#This Row],[Fecha]],Regiones[Intervalo],Tabla54[[#This Row],[Intervalo]],Regiones[Skill],'BUPA Seguros'!$L$3)/Tabla54[[#This Row],[Atendidas]],0)</f>
        <v>0</v>
      </c>
      <c r="H5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8" s="21">
        <f>IFERROR(Tabla54[[#This Row],[Atendidas]]/Tabla54[[#This Row],[Recibidas]],0)</f>
        <v>0</v>
      </c>
    </row>
    <row r="589" spans="2:9" x14ac:dyDescent="0.3">
      <c r="B589" s="25">
        <f t="shared" si="23"/>
        <v>46216</v>
      </c>
      <c r="C589" s="26">
        <v>0.14583333333333301</v>
      </c>
      <c r="D589" s="19">
        <f>+SUMIFS(Regiones[Ofrecidas],Regiones[Fecha],Tabla54[[#This Row],[Fecha]],Regiones[Intervalo],Tabla54[[#This Row],[Intervalo]],Regiones[Skill],'BUPA Seguros'!$L$3)</f>
        <v>0</v>
      </c>
      <c r="E589" s="19">
        <f>+SUMIFS(Regiones[Contestadas],Regiones[Fecha],Tabla54[[#This Row],[Fecha]],Regiones[Intervalo],Tabla54[[#This Row],[Intervalo]],Regiones[Skill],'BUPA Seguros'!$L$3)</f>
        <v>0</v>
      </c>
      <c r="F589" s="20">
        <v>0</v>
      </c>
      <c r="G589" s="19">
        <f>IFERROR(SUMIFS(Regiones[TMO],Regiones[Fecha],Tabla54[[#This Row],[Fecha]],Regiones[Intervalo],Tabla54[[#This Row],[Intervalo]],Regiones[Skill],'BUPA Seguros'!$L$3)/Tabla54[[#This Row],[Atendidas]],0)</f>
        <v>0</v>
      </c>
      <c r="H5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89" s="21">
        <f>IFERROR(Tabla54[[#This Row],[Atendidas]]/Tabla54[[#This Row],[Recibidas]],0)</f>
        <v>0</v>
      </c>
    </row>
    <row r="590" spans="2:9" x14ac:dyDescent="0.3">
      <c r="B590" s="27">
        <f t="shared" si="23"/>
        <v>46216</v>
      </c>
      <c r="C590" s="18">
        <v>0.16666666666666699</v>
      </c>
      <c r="D590" s="19">
        <f>+SUMIFS(Regiones[Ofrecidas],Regiones[Fecha],Tabla54[[#This Row],[Fecha]],Regiones[Intervalo],Tabla54[[#This Row],[Intervalo]],Regiones[Skill],'BUPA Seguros'!$L$3)</f>
        <v>0</v>
      </c>
      <c r="E590" s="19">
        <f>+SUMIFS(Regiones[Contestadas],Regiones[Fecha],Tabla54[[#This Row],[Fecha]],Regiones[Intervalo],Tabla54[[#This Row],[Intervalo]],Regiones[Skill],'BUPA Seguros'!$L$3)</f>
        <v>0</v>
      </c>
      <c r="F590" s="20">
        <v>0</v>
      </c>
      <c r="G590" s="19">
        <f>IFERROR(SUMIFS(Regiones[TMO],Regiones[Fecha],Tabla54[[#This Row],[Fecha]],Regiones[Intervalo],Tabla54[[#This Row],[Intervalo]],Regiones[Skill],'BUPA Seguros'!$L$3)/Tabla54[[#This Row],[Atendidas]],0)</f>
        <v>0</v>
      </c>
      <c r="H5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0" s="21">
        <f>IFERROR(Tabla54[[#This Row],[Atendidas]]/Tabla54[[#This Row],[Recibidas]],0)</f>
        <v>0</v>
      </c>
    </row>
    <row r="591" spans="2:9" x14ac:dyDescent="0.3">
      <c r="B591" s="25">
        <f t="shared" si="23"/>
        <v>46216</v>
      </c>
      <c r="C591" s="26">
        <v>0.1875</v>
      </c>
      <c r="D591" s="19">
        <f>+SUMIFS(Regiones[Ofrecidas],Regiones[Fecha],Tabla54[[#This Row],[Fecha]],Regiones[Intervalo],Tabla54[[#This Row],[Intervalo]],Regiones[Skill],'BUPA Seguros'!$L$3)</f>
        <v>0</v>
      </c>
      <c r="E591" s="19">
        <f>+SUMIFS(Regiones[Contestadas],Regiones[Fecha],Tabla54[[#This Row],[Fecha]],Regiones[Intervalo],Tabla54[[#This Row],[Intervalo]],Regiones[Skill],'BUPA Seguros'!$L$3)</f>
        <v>0</v>
      </c>
      <c r="F591" s="20">
        <v>0</v>
      </c>
      <c r="G591" s="19">
        <f>IFERROR(SUMIFS(Regiones[TMO],Regiones[Fecha],Tabla54[[#This Row],[Fecha]],Regiones[Intervalo],Tabla54[[#This Row],[Intervalo]],Regiones[Skill],'BUPA Seguros'!$L$3)/Tabla54[[#This Row],[Atendidas]],0)</f>
        <v>0</v>
      </c>
      <c r="H5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1" s="21">
        <f>IFERROR(Tabla54[[#This Row],[Atendidas]]/Tabla54[[#This Row],[Recibidas]],0)</f>
        <v>0</v>
      </c>
    </row>
    <row r="592" spans="2:9" x14ac:dyDescent="0.3">
      <c r="B592" s="27">
        <f t="shared" si="23"/>
        <v>46216</v>
      </c>
      <c r="C592" s="18">
        <v>0.20833333333333301</v>
      </c>
      <c r="D592" s="19">
        <f>+SUMIFS(Regiones[Ofrecidas],Regiones[Fecha],Tabla54[[#This Row],[Fecha]],Regiones[Intervalo],Tabla54[[#This Row],[Intervalo]],Regiones[Skill],'BUPA Seguros'!$L$3)</f>
        <v>0</v>
      </c>
      <c r="E592" s="19">
        <f>+SUMIFS(Regiones[Contestadas],Regiones[Fecha],Tabla54[[#This Row],[Fecha]],Regiones[Intervalo],Tabla54[[#This Row],[Intervalo]],Regiones[Skill],'BUPA Seguros'!$L$3)</f>
        <v>0</v>
      </c>
      <c r="F592" s="20">
        <v>0</v>
      </c>
      <c r="G592" s="19">
        <f>IFERROR(SUMIFS(Regiones[TMO],Regiones[Fecha],Tabla54[[#This Row],[Fecha]],Regiones[Intervalo],Tabla54[[#This Row],[Intervalo]],Regiones[Skill],'BUPA Seguros'!$L$3)/Tabla54[[#This Row],[Atendidas]],0)</f>
        <v>0</v>
      </c>
      <c r="H5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2" s="21">
        <f>IFERROR(Tabla54[[#This Row],[Atendidas]]/Tabla54[[#This Row],[Recibidas]],0)</f>
        <v>0</v>
      </c>
    </row>
    <row r="593" spans="2:9" x14ac:dyDescent="0.3">
      <c r="B593" s="25">
        <f t="shared" si="23"/>
        <v>46216</v>
      </c>
      <c r="C593" s="26">
        <v>0.22916666666666699</v>
      </c>
      <c r="D593" s="19">
        <f>+SUMIFS(Regiones[Ofrecidas],Regiones[Fecha],Tabla54[[#This Row],[Fecha]],Regiones[Intervalo],Tabla54[[#This Row],[Intervalo]],Regiones[Skill],'BUPA Seguros'!$L$3)</f>
        <v>0</v>
      </c>
      <c r="E593" s="19">
        <f>+SUMIFS(Regiones[Contestadas],Regiones[Fecha],Tabla54[[#This Row],[Fecha]],Regiones[Intervalo],Tabla54[[#This Row],[Intervalo]],Regiones[Skill],'BUPA Seguros'!$L$3)</f>
        <v>0</v>
      </c>
      <c r="F593" s="20">
        <v>0</v>
      </c>
      <c r="G593" s="19">
        <f>IFERROR(SUMIFS(Regiones[TMO],Regiones[Fecha],Tabla54[[#This Row],[Fecha]],Regiones[Intervalo],Tabla54[[#This Row],[Intervalo]],Regiones[Skill],'BUPA Seguros'!$L$3)/Tabla54[[#This Row],[Atendidas]],0)</f>
        <v>0</v>
      </c>
      <c r="H5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3" s="21">
        <f>IFERROR(Tabla54[[#This Row],[Atendidas]]/Tabla54[[#This Row],[Recibidas]],0)</f>
        <v>0</v>
      </c>
    </row>
    <row r="594" spans="2:9" x14ac:dyDescent="0.3">
      <c r="B594" s="27">
        <f t="shared" si="23"/>
        <v>46216</v>
      </c>
      <c r="C594" s="18">
        <v>0.25</v>
      </c>
      <c r="D594" s="19">
        <f>+SUMIFS(Regiones[Ofrecidas],Regiones[Fecha],Tabla54[[#This Row],[Fecha]],Regiones[Intervalo],Tabla54[[#This Row],[Intervalo]],Regiones[Skill],'BUPA Seguros'!$L$3)</f>
        <v>0</v>
      </c>
      <c r="E594" s="19">
        <f>+SUMIFS(Regiones[Contestadas],Regiones[Fecha],Tabla54[[#This Row],[Fecha]],Regiones[Intervalo],Tabla54[[#This Row],[Intervalo]],Regiones[Skill],'BUPA Seguros'!$L$3)</f>
        <v>0</v>
      </c>
      <c r="F594" s="20">
        <v>0</v>
      </c>
      <c r="G594" s="19">
        <f>IFERROR(SUMIFS(Regiones[TMO],Regiones[Fecha],Tabla54[[#This Row],[Fecha]],Regiones[Intervalo],Tabla54[[#This Row],[Intervalo]],Regiones[Skill],'BUPA Seguros'!$L$3)/Tabla54[[#This Row],[Atendidas]],0)</f>
        <v>0</v>
      </c>
      <c r="H5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4" s="21">
        <f>IFERROR(Tabla54[[#This Row],[Atendidas]]/Tabla54[[#This Row],[Recibidas]],0)</f>
        <v>0</v>
      </c>
    </row>
    <row r="595" spans="2:9" x14ac:dyDescent="0.3">
      <c r="B595" s="25">
        <f t="shared" si="23"/>
        <v>46216</v>
      </c>
      <c r="C595" s="26">
        <v>0.27083333333333298</v>
      </c>
      <c r="D595" s="19">
        <f>+SUMIFS(Regiones[Ofrecidas],Regiones[Fecha],Tabla54[[#This Row],[Fecha]],Regiones[Intervalo],Tabla54[[#This Row],[Intervalo]],Regiones[Skill],'BUPA Seguros'!$L$3)</f>
        <v>0</v>
      </c>
      <c r="E595" s="19">
        <f>+SUMIFS(Regiones[Contestadas],Regiones[Fecha],Tabla54[[#This Row],[Fecha]],Regiones[Intervalo],Tabla54[[#This Row],[Intervalo]],Regiones[Skill],'BUPA Seguros'!$L$3)</f>
        <v>0</v>
      </c>
      <c r="F595" s="20">
        <v>0</v>
      </c>
      <c r="G595" s="19">
        <f>IFERROR(SUMIFS(Regiones[TMO],Regiones[Fecha],Tabla54[[#This Row],[Fecha]],Regiones[Intervalo],Tabla54[[#This Row],[Intervalo]],Regiones[Skill],'BUPA Seguros'!$L$3)/Tabla54[[#This Row],[Atendidas]],0)</f>
        <v>0</v>
      </c>
      <c r="H5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5" s="21">
        <f>IFERROR(Tabla54[[#This Row],[Atendidas]]/Tabla54[[#This Row],[Recibidas]],0)</f>
        <v>0</v>
      </c>
    </row>
    <row r="596" spans="2:9" x14ac:dyDescent="0.3">
      <c r="B596" s="27">
        <f t="shared" si="23"/>
        <v>46216</v>
      </c>
      <c r="C596" s="18">
        <v>0.29166666666666702</v>
      </c>
      <c r="D596" s="19">
        <f>+SUMIFS(Regiones[Ofrecidas],Regiones[Fecha],Tabla54[[#This Row],[Fecha]],Regiones[Intervalo],Tabla54[[#This Row],[Intervalo]],Regiones[Skill],'BUPA Seguros'!$L$3)</f>
        <v>0</v>
      </c>
      <c r="E596" s="19">
        <f>+SUMIFS(Regiones[Contestadas],Regiones[Fecha],Tabla54[[#This Row],[Fecha]],Regiones[Intervalo],Tabla54[[#This Row],[Intervalo]],Regiones[Skill],'BUPA Seguros'!$L$3)</f>
        <v>0</v>
      </c>
      <c r="F596" s="20">
        <v>0</v>
      </c>
      <c r="G596" s="19">
        <f>IFERROR(SUMIFS(Regiones[TMO],Regiones[Fecha],Tabla54[[#This Row],[Fecha]],Regiones[Intervalo],Tabla54[[#This Row],[Intervalo]],Regiones[Skill],'BUPA Seguros'!$L$3)/Tabla54[[#This Row],[Atendidas]],0)</f>
        <v>0</v>
      </c>
      <c r="H5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6" s="21">
        <f>IFERROR(Tabla54[[#This Row],[Atendidas]]/Tabla54[[#This Row],[Recibidas]],0)</f>
        <v>0</v>
      </c>
    </row>
    <row r="597" spans="2:9" x14ac:dyDescent="0.3">
      <c r="B597" s="25">
        <f t="shared" si="23"/>
        <v>46216</v>
      </c>
      <c r="C597" s="26">
        <v>0.3125</v>
      </c>
      <c r="D597" s="19">
        <f>+SUMIFS(Regiones[Ofrecidas],Regiones[Fecha],Tabla54[[#This Row],[Fecha]],Regiones[Intervalo],Tabla54[[#This Row],[Intervalo]],Regiones[Skill],'BUPA Seguros'!$L$3)</f>
        <v>0</v>
      </c>
      <c r="E597" s="19">
        <f>+SUMIFS(Regiones[Contestadas],Regiones[Fecha],Tabla54[[#This Row],[Fecha]],Regiones[Intervalo],Tabla54[[#This Row],[Intervalo]],Regiones[Skill],'BUPA Seguros'!$L$3)</f>
        <v>0</v>
      </c>
      <c r="F597" s="20">
        <v>0</v>
      </c>
      <c r="G597" s="19">
        <f>IFERROR(SUMIFS(Regiones[TMO],Regiones[Fecha],Tabla54[[#This Row],[Fecha]],Regiones[Intervalo],Tabla54[[#This Row],[Intervalo]],Regiones[Skill],'BUPA Seguros'!$L$3)/Tabla54[[#This Row],[Atendidas]],0)</f>
        <v>0</v>
      </c>
      <c r="H5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7" s="21">
        <f>IFERROR(Tabla54[[#This Row],[Atendidas]]/Tabla54[[#This Row],[Recibidas]],0)</f>
        <v>0</v>
      </c>
    </row>
    <row r="598" spans="2:9" x14ac:dyDescent="0.3">
      <c r="B598" s="27">
        <f t="shared" si="23"/>
        <v>46216</v>
      </c>
      <c r="C598" s="18">
        <v>0.33333333333333298</v>
      </c>
      <c r="D598" s="19">
        <f>+SUMIFS(Regiones[Ofrecidas],Regiones[Fecha],Tabla54[[#This Row],[Fecha]],Regiones[Intervalo],Tabla54[[#This Row],[Intervalo]],Regiones[Skill],'BUPA Seguros'!$L$3)</f>
        <v>0</v>
      </c>
      <c r="E598" s="19">
        <f>+SUMIFS(Regiones[Contestadas],Regiones[Fecha],Tabla54[[#This Row],[Fecha]],Regiones[Intervalo],Tabla54[[#This Row],[Intervalo]],Regiones[Skill],'BUPA Seguros'!$L$3)</f>
        <v>0</v>
      </c>
      <c r="F598" s="20">
        <v>0</v>
      </c>
      <c r="G598" s="19">
        <f>IFERROR(SUMIFS(Regiones[TMO],Regiones[Fecha],Tabla54[[#This Row],[Fecha]],Regiones[Intervalo],Tabla54[[#This Row],[Intervalo]],Regiones[Skill],'BUPA Seguros'!$L$3)/Tabla54[[#This Row],[Atendidas]],0)</f>
        <v>0</v>
      </c>
      <c r="H5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8" s="21">
        <f>IFERROR(Tabla54[[#This Row],[Atendidas]]/Tabla54[[#This Row],[Recibidas]],0)</f>
        <v>0</v>
      </c>
    </row>
    <row r="599" spans="2:9" x14ac:dyDescent="0.3">
      <c r="B599" s="25">
        <f t="shared" si="23"/>
        <v>46216</v>
      </c>
      <c r="C599" s="26">
        <v>0.35416666666666702</v>
      </c>
      <c r="D599" s="19">
        <f>+SUMIFS(Regiones[Ofrecidas],Regiones[Fecha],Tabla54[[#This Row],[Fecha]],Regiones[Intervalo],Tabla54[[#This Row],[Intervalo]],Regiones[Skill],'BUPA Seguros'!$L$3)</f>
        <v>0</v>
      </c>
      <c r="E599" s="19">
        <f>+SUMIFS(Regiones[Contestadas],Regiones[Fecha],Tabla54[[#This Row],[Fecha]],Regiones[Intervalo],Tabla54[[#This Row],[Intervalo]],Regiones[Skill],'BUPA Seguros'!$L$3)</f>
        <v>0</v>
      </c>
      <c r="F599" s="20">
        <v>0</v>
      </c>
      <c r="G599" s="19">
        <f>IFERROR(SUMIFS(Regiones[TMO],Regiones[Fecha],Tabla54[[#This Row],[Fecha]],Regiones[Intervalo],Tabla54[[#This Row],[Intervalo]],Regiones[Skill],'BUPA Seguros'!$L$3)/Tabla54[[#This Row],[Atendidas]],0)</f>
        <v>0</v>
      </c>
      <c r="H5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599" s="21">
        <f>IFERROR(Tabla54[[#This Row],[Atendidas]]/Tabla54[[#This Row],[Recibidas]],0)</f>
        <v>0</v>
      </c>
    </row>
    <row r="600" spans="2:9" x14ac:dyDescent="0.3">
      <c r="B600" s="27">
        <f t="shared" si="23"/>
        <v>46216</v>
      </c>
      <c r="C600" s="18">
        <v>0.375</v>
      </c>
      <c r="D600" s="19">
        <f>+SUMIFS(Regiones[Ofrecidas],Regiones[Fecha],Tabla54[[#This Row],[Fecha]],Regiones[Intervalo],Tabla54[[#This Row],[Intervalo]],Regiones[Skill],'BUPA Seguros'!$L$3)</f>
        <v>0</v>
      </c>
      <c r="E600" s="19">
        <f>+SUMIFS(Regiones[Contestadas],Regiones[Fecha],Tabla54[[#This Row],[Fecha]],Regiones[Intervalo],Tabla54[[#This Row],[Intervalo]],Regiones[Skill],'BUPA Seguros'!$L$3)</f>
        <v>0</v>
      </c>
      <c r="F600" s="20">
        <v>51.503247227255834</v>
      </c>
      <c r="G600" s="19">
        <f>IFERROR(SUMIFS(Regiones[TMO],Regiones[Fecha],Tabla54[[#This Row],[Fecha]],Regiones[Intervalo],Tabla54[[#This Row],[Intervalo]],Regiones[Skill],'BUPA Seguros'!$L$3)/Tabla54[[#This Row],[Atendidas]],0)</f>
        <v>0</v>
      </c>
      <c r="H6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0" s="21">
        <f>IFERROR(Tabla54[[#This Row],[Atendidas]]/Tabla54[[#This Row],[Recibidas]],0)</f>
        <v>0</v>
      </c>
    </row>
    <row r="601" spans="2:9" x14ac:dyDescent="0.3">
      <c r="B601" s="25">
        <f t="shared" si="23"/>
        <v>46216</v>
      </c>
      <c r="C601" s="26">
        <v>0.39583333333333298</v>
      </c>
      <c r="D601" s="19">
        <f>+SUMIFS(Regiones[Ofrecidas],Regiones[Fecha],Tabla54[[#This Row],[Fecha]],Regiones[Intervalo],Tabla54[[#This Row],[Intervalo]],Regiones[Skill],'BUPA Seguros'!$L$3)</f>
        <v>0</v>
      </c>
      <c r="E601" s="19">
        <f>+SUMIFS(Regiones[Contestadas],Regiones[Fecha],Tabla54[[#This Row],[Fecha]],Regiones[Intervalo],Tabla54[[#This Row],[Intervalo]],Regiones[Skill],'BUPA Seguros'!$L$3)</f>
        <v>0</v>
      </c>
      <c r="F601" s="20">
        <v>51.919435083637694</v>
      </c>
      <c r="G601" s="19">
        <f>IFERROR(SUMIFS(Regiones[TMO],Regiones[Fecha],Tabla54[[#This Row],[Fecha]],Regiones[Intervalo],Tabla54[[#This Row],[Intervalo]],Regiones[Skill],'BUPA Seguros'!$L$3)/Tabla54[[#This Row],[Atendidas]],0)</f>
        <v>0</v>
      </c>
      <c r="H6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1" s="21">
        <f>IFERROR(Tabla54[[#This Row],[Atendidas]]/Tabla54[[#This Row],[Recibidas]],0)</f>
        <v>0</v>
      </c>
    </row>
    <row r="602" spans="2:9" x14ac:dyDescent="0.3">
      <c r="B602" s="27">
        <f t="shared" si="23"/>
        <v>46216</v>
      </c>
      <c r="C602" s="18">
        <v>0.41666666666666702</v>
      </c>
      <c r="D602" s="19">
        <f>+SUMIFS(Regiones[Ofrecidas],Regiones[Fecha],Tabla54[[#This Row],[Fecha]],Regiones[Intervalo],Tabla54[[#This Row],[Intervalo]],Regiones[Skill],'BUPA Seguros'!$L$3)</f>
        <v>0</v>
      </c>
      <c r="E602" s="19">
        <f>+SUMIFS(Regiones[Contestadas],Regiones[Fecha],Tabla54[[#This Row],[Fecha]],Regiones[Intervalo],Tabla54[[#This Row],[Intervalo]],Regiones[Skill],'BUPA Seguros'!$L$3)</f>
        <v>0</v>
      </c>
      <c r="F602" s="20">
        <v>52.933892983568498</v>
      </c>
      <c r="G602" s="19">
        <f>IFERROR(SUMIFS(Regiones[TMO],Regiones[Fecha],Tabla54[[#This Row],[Fecha]],Regiones[Intervalo],Tabla54[[#This Row],[Intervalo]],Regiones[Skill],'BUPA Seguros'!$L$3)/Tabla54[[#This Row],[Atendidas]],0)</f>
        <v>0</v>
      </c>
      <c r="H6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2" s="21">
        <f>IFERROR(Tabla54[[#This Row],[Atendidas]]/Tabla54[[#This Row],[Recibidas]],0)</f>
        <v>0</v>
      </c>
    </row>
    <row r="603" spans="2:9" x14ac:dyDescent="0.3">
      <c r="B603" s="25">
        <f t="shared" si="23"/>
        <v>46216</v>
      </c>
      <c r="C603" s="26">
        <v>0.4375</v>
      </c>
      <c r="D603" s="19">
        <f>+SUMIFS(Regiones[Ofrecidas],Regiones[Fecha],Tabla54[[#This Row],[Fecha]],Regiones[Intervalo],Tabla54[[#This Row],[Intervalo]],Regiones[Skill],'BUPA Seguros'!$L$3)</f>
        <v>0</v>
      </c>
      <c r="E603" s="19">
        <f>+SUMIFS(Regiones[Contestadas],Regiones[Fecha],Tabla54[[#This Row],[Fecha]],Regiones[Intervalo],Tabla54[[#This Row],[Intervalo]],Regiones[Skill],'BUPA Seguros'!$L$3)</f>
        <v>0</v>
      </c>
      <c r="F603" s="20">
        <v>54.277832936468265</v>
      </c>
      <c r="G603" s="19">
        <f>IFERROR(SUMIFS(Regiones[TMO],Regiones[Fecha],Tabla54[[#This Row],[Fecha]],Regiones[Intervalo],Tabla54[[#This Row],[Intervalo]],Regiones[Skill],'BUPA Seguros'!$L$3)/Tabla54[[#This Row],[Atendidas]],0)</f>
        <v>0</v>
      </c>
      <c r="H6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3" s="21">
        <f>IFERROR(Tabla54[[#This Row],[Atendidas]]/Tabla54[[#This Row],[Recibidas]],0)</f>
        <v>0</v>
      </c>
    </row>
    <row r="604" spans="2:9" x14ac:dyDescent="0.3">
      <c r="B604" s="27">
        <f t="shared" si="23"/>
        <v>46216</v>
      </c>
      <c r="C604" s="18">
        <v>0.45833333333333298</v>
      </c>
      <c r="D604" s="19">
        <f>+SUMIFS(Regiones[Ofrecidas],Regiones[Fecha],Tabla54[[#This Row],[Fecha]],Regiones[Intervalo],Tabla54[[#This Row],[Intervalo]],Regiones[Skill],'BUPA Seguros'!$L$3)</f>
        <v>0</v>
      </c>
      <c r="E604" s="19">
        <f>+SUMIFS(Regiones[Contestadas],Regiones[Fecha],Tabla54[[#This Row],[Fecha]],Regiones[Intervalo],Tabla54[[#This Row],[Intervalo]],Regiones[Skill],'BUPA Seguros'!$L$3)</f>
        <v>0</v>
      </c>
      <c r="F604" s="20">
        <v>55.751831594487378</v>
      </c>
      <c r="G604" s="19">
        <f>IFERROR(SUMIFS(Regiones[TMO],Regiones[Fecha],Tabla54[[#This Row],[Fecha]],Regiones[Intervalo],Tabla54[[#This Row],[Intervalo]],Regiones[Skill],'BUPA Seguros'!$L$3)/Tabla54[[#This Row],[Atendidas]],0)</f>
        <v>0</v>
      </c>
      <c r="H6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4" s="21">
        <f>IFERROR(Tabla54[[#This Row],[Atendidas]]/Tabla54[[#This Row],[Recibidas]],0)</f>
        <v>0</v>
      </c>
    </row>
    <row r="605" spans="2:9" x14ac:dyDescent="0.3">
      <c r="B605" s="25">
        <f t="shared" si="23"/>
        <v>46216</v>
      </c>
      <c r="C605" s="26">
        <v>0.47916666666666702</v>
      </c>
      <c r="D605" s="19">
        <f>+SUMIFS(Regiones[Ofrecidas],Regiones[Fecha],Tabla54[[#This Row],[Fecha]],Regiones[Intervalo],Tabla54[[#This Row],[Intervalo]],Regiones[Skill],'BUPA Seguros'!$L$3)</f>
        <v>0</v>
      </c>
      <c r="E605" s="19">
        <f>+SUMIFS(Regiones[Contestadas],Regiones[Fecha],Tabla54[[#This Row],[Fecha]],Regiones[Intervalo],Tabla54[[#This Row],[Intervalo]],Regiones[Skill],'BUPA Seguros'!$L$3)</f>
        <v>0</v>
      </c>
      <c r="F605" s="20">
        <v>54.624656150119826</v>
      </c>
      <c r="G605" s="19">
        <f>IFERROR(SUMIFS(Regiones[TMO],Regiones[Fecha],Tabla54[[#This Row],[Fecha]],Regiones[Intervalo],Tabla54[[#This Row],[Intervalo]],Regiones[Skill],'BUPA Seguros'!$L$3)/Tabla54[[#This Row],[Atendidas]],0)</f>
        <v>0</v>
      </c>
      <c r="H6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5" s="21">
        <f>IFERROR(Tabla54[[#This Row],[Atendidas]]/Tabla54[[#This Row],[Recibidas]],0)</f>
        <v>0</v>
      </c>
    </row>
    <row r="606" spans="2:9" x14ac:dyDescent="0.3">
      <c r="B606" s="27">
        <f t="shared" si="23"/>
        <v>46216</v>
      </c>
      <c r="C606" s="18">
        <v>0.5</v>
      </c>
      <c r="D606" s="19">
        <f>+SUMIFS(Regiones[Ofrecidas],Regiones[Fecha],Tabla54[[#This Row],[Fecha]],Regiones[Intervalo],Tabla54[[#This Row],[Intervalo]],Regiones[Skill],'BUPA Seguros'!$L$3)</f>
        <v>0</v>
      </c>
      <c r="E606" s="19">
        <f>+SUMIFS(Regiones[Contestadas],Regiones[Fecha],Tabla54[[#This Row],[Fecha]],Regiones[Intervalo],Tabla54[[#This Row],[Intervalo]],Regiones[Skill],'BUPA Seguros'!$L$3)</f>
        <v>0</v>
      </c>
      <c r="F606" s="20">
        <v>53.584186509165171</v>
      </c>
      <c r="G606" s="19">
        <f>IFERROR(SUMIFS(Regiones[TMO],Regiones[Fecha],Tabla54[[#This Row],[Fecha]],Regiones[Intervalo],Tabla54[[#This Row],[Intervalo]],Regiones[Skill],'BUPA Seguros'!$L$3)/Tabla54[[#This Row],[Atendidas]],0)</f>
        <v>0</v>
      </c>
      <c r="H6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6" s="21">
        <f>IFERROR(Tabla54[[#This Row],[Atendidas]]/Tabla54[[#This Row],[Recibidas]],0)</f>
        <v>0</v>
      </c>
    </row>
    <row r="607" spans="2:9" x14ac:dyDescent="0.3">
      <c r="B607" s="25">
        <f t="shared" si="23"/>
        <v>46216</v>
      </c>
      <c r="C607" s="26">
        <v>0.52083333333333304</v>
      </c>
      <c r="D607" s="19">
        <f>+SUMIFS(Regiones[Ofrecidas],Regiones[Fecha],Tabla54[[#This Row],[Fecha]],Regiones[Intervalo],Tabla54[[#This Row],[Intervalo]],Regiones[Skill],'BUPA Seguros'!$L$3)</f>
        <v>0</v>
      </c>
      <c r="E607" s="19">
        <f>+SUMIFS(Regiones[Contestadas],Regiones[Fecha],Tabla54[[#This Row],[Fecha]],Regiones[Intervalo],Tabla54[[#This Row],[Intervalo]],Regiones[Skill],'BUPA Seguros'!$L$3)</f>
        <v>0</v>
      </c>
      <c r="F607" s="20">
        <v>49.682425355585167</v>
      </c>
      <c r="G607" s="19">
        <f>IFERROR(SUMIFS(Regiones[TMO],Regiones[Fecha],Tabla54[[#This Row],[Fecha]],Regiones[Intervalo],Tabla54[[#This Row],[Intervalo]],Regiones[Skill],'BUPA Seguros'!$L$3)/Tabla54[[#This Row],[Atendidas]],0)</f>
        <v>0</v>
      </c>
      <c r="H6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7" s="21">
        <f>IFERROR(Tabla54[[#This Row],[Atendidas]]/Tabla54[[#This Row],[Recibidas]],0)</f>
        <v>0</v>
      </c>
    </row>
    <row r="608" spans="2:9" x14ac:dyDescent="0.3">
      <c r="B608" s="27">
        <f t="shared" si="23"/>
        <v>46216</v>
      </c>
      <c r="C608" s="18">
        <v>0.54166666666666696</v>
      </c>
      <c r="D608" s="19">
        <f>+SUMIFS(Regiones[Ofrecidas],Regiones[Fecha],Tabla54[[#This Row],[Fecha]],Regiones[Intervalo],Tabla54[[#This Row],[Intervalo]],Regiones[Skill],'BUPA Seguros'!$L$3)</f>
        <v>0</v>
      </c>
      <c r="E608" s="19">
        <f>+SUMIFS(Regiones[Contestadas],Regiones[Fecha],Tabla54[[#This Row],[Fecha]],Regiones[Intervalo],Tabla54[[#This Row],[Intervalo]],Regiones[Skill],'BUPA Seguros'!$L$3)</f>
        <v>0</v>
      </c>
      <c r="F608" s="20">
        <v>46.87315732500759</v>
      </c>
      <c r="G608" s="19">
        <f>IFERROR(SUMIFS(Regiones[TMO],Regiones[Fecha],Tabla54[[#This Row],[Fecha]],Regiones[Intervalo],Tabla54[[#This Row],[Intervalo]],Regiones[Skill],'BUPA Seguros'!$L$3)/Tabla54[[#This Row],[Atendidas]],0)</f>
        <v>0</v>
      </c>
      <c r="H6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8" s="21">
        <f>IFERROR(Tabla54[[#This Row],[Atendidas]]/Tabla54[[#This Row],[Recibidas]],0)</f>
        <v>0</v>
      </c>
    </row>
    <row r="609" spans="2:9" x14ac:dyDescent="0.3">
      <c r="B609" s="25">
        <f t="shared" si="23"/>
        <v>46216</v>
      </c>
      <c r="C609" s="26">
        <v>0.5625</v>
      </c>
      <c r="D609" s="19">
        <f>+SUMIFS(Regiones[Ofrecidas],Regiones[Fecha],Tabla54[[#This Row],[Fecha]],Regiones[Intervalo],Tabla54[[#This Row],[Intervalo]],Regiones[Skill],'BUPA Seguros'!$L$3)</f>
        <v>0</v>
      </c>
      <c r="E609" s="19">
        <f>+SUMIFS(Regiones[Contestadas],Regiones[Fecha],Tabla54[[#This Row],[Fecha]],Regiones[Intervalo],Tabla54[[#This Row],[Intervalo]],Regiones[Skill],'BUPA Seguros'!$L$3)</f>
        <v>0</v>
      </c>
      <c r="F609" s="20">
        <v>43.439607509857204</v>
      </c>
      <c r="G609" s="19">
        <f>IFERROR(SUMIFS(Regiones[TMO],Regiones[Fecha],Tabla54[[#This Row],[Fecha]],Regiones[Intervalo],Tabla54[[#This Row],[Intervalo]],Regiones[Skill],'BUPA Seguros'!$L$3)/Tabla54[[#This Row],[Atendidas]],0)</f>
        <v>0</v>
      </c>
      <c r="H6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09" s="21">
        <f>IFERROR(Tabla54[[#This Row],[Atendidas]]/Tabla54[[#This Row],[Recibidas]],0)</f>
        <v>0</v>
      </c>
    </row>
    <row r="610" spans="2:9" x14ac:dyDescent="0.3">
      <c r="B610" s="27">
        <f t="shared" si="23"/>
        <v>46216</v>
      </c>
      <c r="C610" s="18">
        <v>0.58333333333333304</v>
      </c>
      <c r="D610" s="19">
        <f>+SUMIFS(Regiones[Ofrecidas],Regiones[Fecha],Tabla54[[#This Row],[Fecha]],Regiones[Intervalo],Tabla54[[#This Row],[Intervalo]],Regiones[Skill],'BUPA Seguros'!$L$3)</f>
        <v>0</v>
      </c>
      <c r="E610" s="19">
        <f>+SUMIFS(Regiones[Contestadas],Regiones[Fecha],Tabla54[[#This Row],[Fecha]],Regiones[Intervalo],Tabla54[[#This Row],[Intervalo]],Regiones[Skill],'BUPA Seguros'!$L$3)</f>
        <v>0</v>
      </c>
      <c r="F610" s="20">
        <v>41.826879566377471</v>
      </c>
      <c r="G610" s="19">
        <f>IFERROR(SUMIFS(Regiones[TMO],Regiones[Fecha],Tabla54[[#This Row],[Fecha]],Regiones[Intervalo],Tabla54[[#This Row],[Intervalo]],Regiones[Skill],'BUPA Seguros'!$L$3)/Tabla54[[#This Row],[Atendidas]],0)</f>
        <v>0</v>
      </c>
      <c r="H6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0" s="21">
        <f>IFERROR(Tabla54[[#This Row],[Atendidas]]/Tabla54[[#This Row],[Recibidas]],0)</f>
        <v>0</v>
      </c>
    </row>
    <row r="611" spans="2:9" x14ac:dyDescent="0.3">
      <c r="B611" s="25">
        <f t="shared" si="23"/>
        <v>46216</v>
      </c>
      <c r="C611" s="26">
        <v>0.60416666666666696</v>
      </c>
      <c r="D611" s="19">
        <f>+SUMIFS(Regiones[Ofrecidas],Regiones[Fecha],Tabla54[[#This Row],[Fecha]],Regiones[Intervalo],Tabla54[[#This Row],[Intervalo]],Regiones[Skill],'BUPA Seguros'!$L$3)</f>
        <v>0</v>
      </c>
      <c r="E611" s="19">
        <f>+SUMIFS(Regiones[Contestadas],Regiones[Fecha],Tabla54[[#This Row],[Fecha]],Regiones[Intervalo],Tabla54[[#This Row],[Intervalo]],Regiones[Skill],'BUPA Seguros'!$L$3)</f>
        <v>0</v>
      </c>
      <c r="F611" s="20">
        <v>40.838433407470539</v>
      </c>
      <c r="G611" s="19">
        <f>IFERROR(SUMIFS(Regiones[TMO],Regiones[Fecha],Tabla54[[#This Row],[Fecha]],Regiones[Intervalo],Tabla54[[#This Row],[Intervalo]],Regiones[Skill],'BUPA Seguros'!$L$3)/Tabla54[[#This Row],[Atendidas]],0)</f>
        <v>0</v>
      </c>
      <c r="H6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1" s="21">
        <f>IFERROR(Tabla54[[#This Row],[Atendidas]]/Tabla54[[#This Row],[Recibidas]],0)</f>
        <v>0</v>
      </c>
    </row>
    <row r="612" spans="2:9" x14ac:dyDescent="0.3">
      <c r="B612" s="27">
        <f t="shared" si="23"/>
        <v>46216</v>
      </c>
      <c r="C612" s="18">
        <v>0.625</v>
      </c>
      <c r="D612" s="19">
        <f>+SUMIFS(Regiones[Ofrecidas],Regiones[Fecha],Tabla54[[#This Row],[Fecha]],Regiones[Intervalo],Tabla54[[#This Row],[Intervalo]],Regiones[Skill],'BUPA Seguros'!$L$3)</f>
        <v>0</v>
      </c>
      <c r="E612" s="19">
        <f>+SUMIFS(Regiones[Contestadas],Regiones[Fecha],Tabla54[[#This Row],[Fecha]],Regiones[Intervalo],Tabla54[[#This Row],[Intervalo]],Regiones[Skill],'BUPA Seguros'!$L$3)</f>
        <v>0</v>
      </c>
      <c r="F612" s="20">
        <v>40.543633675866715</v>
      </c>
      <c r="G612" s="19">
        <f>IFERROR(SUMIFS(Regiones[TMO],Regiones[Fecha],Tabla54[[#This Row],[Fecha]],Regiones[Intervalo],Tabla54[[#This Row],[Intervalo]],Regiones[Skill],'BUPA Seguros'!$L$3)/Tabla54[[#This Row],[Atendidas]],0)</f>
        <v>0</v>
      </c>
      <c r="H6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2" s="21">
        <f>IFERROR(Tabla54[[#This Row],[Atendidas]]/Tabla54[[#This Row],[Recibidas]],0)</f>
        <v>0</v>
      </c>
    </row>
    <row r="613" spans="2:9" x14ac:dyDescent="0.3">
      <c r="B613" s="25">
        <f t="shared" si="23"/>
        <v>46216</v>
      </c>
      <c r="C613" s="26">
        <v>0.64583333333333304</v>
      </c>
      <c r="D613" s="19">
        <f>+SUMIFS(Regiones[Ofrecidas],Regiones[Fecha],Tabla54[[#This Row],[Fecha]],Regiones[Intervalo],Tabla54[[#This Row],[Intervalo]],Regiones[Skill],'BUPA Seguros'!$L$3)</f>
        <v>0</v>
      </c>
      <c r="E613" s="19">
        <f>+SUMIFS(Regiones[Contestadas],Regiones[Fecha],Tabla54[[#This Row],[Fecha]],Regiones[Intervalo],Tabla54[[#This Row],[Intervalo]],Regiones[Skill],'BUPA Seguros'!$L$3)</f>
        <v>0</v>
      </c>
      <c r="F613" s="20">
        <v>40.214151622897738</v>
      </c>
      <c r="G613" s="19">
        <f>IFERROR(SUMIFS(Regiones[TMO],Regiones[Fecha],Tabla54[[#This Row],[Fecha]],Regiones[Intervalo],Tabla54[[#This Row],[Intervalo]],Regiones[Skill],'BUPA Seguros'!$L$3)/Tabla54[[#This Row],[Atendidas]],0)</f>
        <v>0</v>
      </c>
      <c r="H6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3" s="21">
        <f>IFERROR(Tabla54[[#This Row],[Atendidas]]/Tabla54[[#This Row],[Recibidas]],0)</f>
        <v>0</v>
      </c>
    </row>
    <row r="614" spans="2:9" x14ac:dyDescent="0.3">
      <c r="B614" s="27">
        <f t="shared" si="23"/>
        <v>46216</v>
      </c>
      <c r="C614" s="18">
        <v>0.66666666666666696</v>
      </c>
      <c r="D614" s="19">
        <f>+SUMIFS(Regiones[Ofrecidas],Regiones[Fecha],Tabla54[[#This Row],[Fecha]],Regiones[Intervalo],Tabla54[[#This Row],[Intervalo]],Regiones[Skill],'BUPA Seguros'!$L$3)</f>
        <v>0</v>
      </c>
      <c r="E614" s="19">
        <f>+SUMIFS(Regiones[Contestadas],Regiones[Fecha],Tabla54[[#This Row],[Fecha]],Regiones[Intervalo],Tabla54[[#This Row],[Intervalo]],Regiones[Skill],'BUPA Seguros'!$L$3)</f>
        <v>0</v>
      </c>
      <c r="F614" s="20">
        <v>39.251717205014671</v>
      </c>
      <c r="G614" s="19">
        <f>IFERROR(SUMIFS(Regiones[TMO],Regiones[Fecha],Tabla54[[#This Row],[Fecha]],Regiones[Intervalo],Tabla54[[#This Row],[Intervalo]],Regiones[Skill],'BUPA Seguros'!$L$3)/Tabla54[[#This Row],[Atendidas]],0)</f>
        <v>0</v>
      </c>
      <c r="H6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4" s="21">
        <f>IFERROR(Tabla54[[#This Row],[Atendidas]]/Tabla54[[#This Row],[Recibidas]],0)</f>
        <v>0</v>
      </c>
    </row>
    <row r="615" spans="2:9" x14ac:dyDescent="0.3">
      <c r="B615" s="25">
        <f t="shared" si="23"/>
        <v>46216</v>
      </c>
      <c r="C615" s="26">
        <v>0.6875</v>
      </c>
      <c r="D615" s="19">
        <f>+SUMIFS(Regiones[Ofrecidas],Regiones[Fecha],Tabla54[[#This Row],[Fecha]],Regiones[Intervalo],Tabla54[[#This Row],[Intervalo]],Regiones[Skill],'BUPA Seguros'!$L$3)</f>
        <v>0</v>
      </c>
      <c r="E615" s="19">
        <f>+SUMIFS(Regiones[Contestadas],Regiones[Fecha],Tabla54[[#This Row],[Fecha]],Regiones[Intervalo],Tabla54[[#This Row],[Intervalo]],Regiones[Skill],'BUPA Seguros'!$L$3)</f>
        <v>0</v>
      </c>
      <c r="F615" s="20">
        <v>37.326848369248559</v>
      </c>
      <c r="G615" s="19">
        <f>IFERROR(SUMIFS(Regiones[TMO],Regiones[Fecha],Tabla54[[#This Row],[Fecha]],Regiones[Intervalo],Tabla54[[#This Row],[Intervalo]],Regiones[Skill],'BUPA Seguros'!$L$3)/Tabla54[[#This Row],[Atendidas]],0)</f>
        <v>0</v>
      </c>
      <c r="H6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5" s="21">
        <f>IFERROR(Tabla54[[#This Row],[Atendidas]]/Tabla54[[#This Row],[Recibidas]],0)</f>
        <v>0</v>
      </c>
    </row>
    <row r="616" spans="2:9" x14ac:dyDescent="0.3">
      <c r="B616" s="27">
        <f t="shared" si="23"/>
        <v>46216</v>
      </c>
      <c r="C616" s="18">
        <v>0.70833333333333304</v>
      </c>
      <c r="D616" s="19">
        <f>+SUMIFS(Regiones[Ofrecidas],Regiones[Fecha],Tabla54[[#This Row],[Fecha]],Regiones[Intervalo],Tabla54[[#This Row],[Intervalo]],Regiones[Skill],'BUPA Seguros'!$L$3)</f>
        <v>0</v>
      </c>
      <c r="E616" s="19">
        <f>+SUMIFS(Regiones[Contestadas],Regiones[Fecha],Tabla54[[#This Row],[Fecha]],Regiones[Intervalo],Tabla54[[#This Row],[Intervalo]],Regiones[Skill],'BUPA Seguros'!$L$3)</f>
        <v>0</v>
      </c>
      <c r="F616" s="20">
        <v>34.985791677100558</v>
      </c>
      <c r="G616" s="19">
        <f>IFERROR(SUMIFS(Regiones[TMO],Regiones[Fecha],Tabla54[[#This Row],[Fecha]],Regiones[Intervalo],Tabla54[[#This Row],[Intervalo]],Regiones[Skill],'BUPA Seguros'!$L$3)/Tabla54[[#This Row],[Atendidas]],0)</f>
        <v>0</v>
      </c>
      <c r="H6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6" s="21">
        <f>IFERROR(Tabla54[[#This Row],[Atendidas]]/Tabla54[[#This Row],[Recibidas]],0)</f>
        <v>0</v>
      </c>
    </row>
    <row r="617" spans="2:9" x14ac:dyDescent="0.3">
      <c r="B617" s="25">
        <f t="shared" si="23"/>
        <v>46216</v>
      </c>
      <c r="C617" s="26">
        <v>0.72916666666666696</v>
      </c>
      <c r="D617" s="19">
        <f>+SUMIFS(Regiones[Ofrecidas],Regiones[Fecha],Tabla54[[#This Row],[Fecha]],Regiones[Intervalo],Tabla54[[#This Row],[Intervalo]],Regiones[Skill],'BUPA Seguros'!$L$3)</f>
        <v>0</v>
      </c>
      <c r="E617" s="19">
        <f>+SUMIFS(Regiones[Contestadas],Regiones[Fecha],Tabla54[[#This Row],[Fecha]],Regiones[Intervalo],Tabla54[[#This Row],[Intervalo]],Regiones[Skill],'BUPA Seguros'!$L$3)</f>
        <v>0</v>
      </c>
      <c r="F617" s="20">
        <v>32.033459070891695</v>
      </c>
      <c r="G617" s="19">
        <f>IFERROR(SUMIFS(Regiones[TMO],Regiones[Fecha],Tabla54[[#This Row],[Fecha]],Regiones[Intervalo],Tabla54[[#This Row],[Intervalo]],Regiones[Skill],'BUPA Seguros'!$L$3)/Tabla54[[#This Row],[Atendidas]],0)</f>
        <v>0</v>
      </c>
      <c r="H6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7" s="21">
        <f>IFERROR(Tabla54[[#This Row],[Atendidas]]/Tabla54[[#This Row],[Recibidas]],0)</f>
        <v>0</v>
      </c>
    </row>
    <row r="618" spans="2:9" x14ac:dyDescent="0.3">
      <c r="B618" s="27">
        <f t="shared" si="23"/>
        <v>46216</v>
      </c>
      <c r="C618" s="18">
        <v>0.75</v>
      </c>
      <c r="D618" s="19">
        <f>+SUMIFS(Regiones[Ofrecidas],Regiones[Fecha],Tabla54[[#This Row],[Fecha]],Regiones[Intervalo],Tabla54[[#This Row],[Intervalo]],Regiones[Skill],'BUPA Seguros'!$L$3)</f>
        <v>0</v>
      </c>
      <c r="E618" s="19">
        <f>+SUMIFS(Regiones[Contestadas],Regiones[Fecha],Tabla54[[#This Row],[Fecha]],Regiones[Intervalo],Tabla54[[#This Row],[Intervalo]],Regiones[Skill],'BUPA Seguros'!$L$3)</f>
        <v>0</v>
      </c>
      <c r="F618" s="20">
        <v>0</v>
      </c>
      <c r="G618" s="19">
        <f>IFERROR(SUMIFS(Regiones[TMO],Regiones[Fecha],Tabla54[[#This Row],[Fecha]],Regiones[Intervalo],Tabla54[[#This Row],[Intervalo]],Regiones[Skill],'BUPA Seguros'!$L$3)/Tabla54[[#This Row],[Atendidas]],0)</f>
        <v>0</v>
      </c>
      <c r="H6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8" s="21">
        <f>IFERROR(Tabla54[[#This Row],[Atendidas]]/Tabla54[[#This Row],[Recibidas]],0)</f>
        <v>0</v>
      </c>
    </row>
    <row r="619" spans="2:9" x14ac:dyDescent="0.3">
      <c r="B619" s="25">
        <f t="shared" si="23"/>
        <v>46216</v>
      </c>
      <c r="C619" s="26">
        <v>0.77083333333333304</v>
      </c>
      <c r="D619" s="19">
        <f>+SUMIFS(Regiones[Ofrecidas],Regiones[Fecha],Tabla54[[#This Row],[Fecha]],Regiones[Intervalo],Tabla54[[#This Row],[Intervalo]],Regiones[Skill],'BUPA Seguros'!$L$3)</f>
        <v>0</v>
      </c>
      <c r="E619" s="19">
        <f>+SUMIFS(Regiones[Contestadas],Regiones[Fecha],Tabla54[[#This Row],[Fecha]],Regiones[Intervalo],Tabla54[[#This Row],[Intervalo]],Regiones[Skill],'BUPA Seguros'!$L$3)</f>
        <v>0</v>
      </c>
      <c r="F619" s="20">
        <v>0</v>
      </c>
      <c r="G619" s="19">
        <f>IFERROR(SUMIFS(Regiones[TMO],Regiones[Fecha],Tabla54[[#This Row],[Fecha]],Regiones[Intervalo],Tabla54[[#This Row],[Intervalo]],Regiones[Skill],'BUPA Seguros'!$L$3)/Tabla54[[#This Row],[Atendidas]],0)</f>
        <v>0</v>
      </c>
      <c r="H6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19" s="21">
        <f>IFERROR(Tabla54[[#This Row],[Atendidas]]/Tabla54[[#This Row],[Recibidas]],0)</f>
        <v>0</v>
      </c>
    </row>
    <row r="620" spans="2:9" x14ac:dyDescent="0.3">
      <c r="B620" s="27">
        <f t="shared" si="23"/>
        <v>46216</v>
      </c>
      <c r="C620" s="18">
        <v>0.79166666666666696</v>
      </c>
      <c r="D620" s="19">
        <f>+SUMIFS(Regiones[Ofrecidas],Regiones[Fecha],Tabla54[[#This Row],[Fecha]],Regiones[Intervalo],Tabla54[[#This Row],[Intervalo]],Regiones[Skill],'BUPA Seguros'!$L$3)</f>
        <v>0</v>
      </c>
      <c r="E620" s="19">
        <f>+SUMIFS(Regiones[Contestadas],Regiones[Fecha],Tabla54[[#This Row],[Fecha]],Regiones[Intervalo],Tabla54[[#This Row],[Intervalo]],Regiones[Skill],'BUPA Seguros'!$L$3)</f>
        <v>0</v>
      </c>
      <c r="F620" s="20">
        <v>0</v>
      </c>
      <c r="G620" s="19">
        <f>IFERROR(SUMIFS(Regiones[TMO],Regiones[Fecha],Tabla54[[#This Row],[Fecha]],Regiones[Intervalo],Tabla54[[#This Row],[Intervalo]],Regiones[Skill],'BUPA Seguros'!$L$3)/Tabla54[[#This Row],[Atendidas]],0)</f>
        <v>0</v>
      </c>
      <c r="H6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0" s="21">
        <f>IFERROR(Tabla54[[#This Row],[Atendidas]]/Tabla54[[#This Row],[Recibidas]],0)</f>
        <v>0</v>
      </c>
    </row>
    <row r="621" spans="2:9" x14ac:dyDescent="0.3">
      <c r="B621" s="25">
        <f t="shared" si="23"/>
        <v>46216</v>
      </c>
      <c r="C621" s="26">
        <v>0.8125</v>
      </c>
      <c r="D621" s="19">
        <f>+SUMIFS(Regiones[Ofrecidas],Regiones[Fecha],Tabla54[[#This Row],[Fecha]],Regiones[Intervalo],Tabla54[[#This Row],[Intervalo]],Regiones[Skill],'BUPA Seguros'!$L$3)</f>
        <v>0</v>
      </c>
      <c r="E621" s="19">
        <f>+SUMIFS(Regiones[Contestadas],Regiones[Fecha],Tabla54[[#This Row],[Fecha]],Regiones[Intervalo],Tabla54[[#This Row],[Intervalo]],Regiones[Skill],'BUPA Seguros'!$L$3)</f>
        <v>0</v>
      </c>
      <c r="F621" s="20">
        <v>0</v>
      </c>
      <c r="G621" s="19">
        <f>IFERROR(SUMIFS(Regiones[TMO],Regiones[Fecha],Tabla54[[#This Row],[Fecha]],Regiones[Intervalo],Tabla54[[#This Row],[Intervalo]],Regiones[Skill],'BUPA Seguros'!$L$3)/Tabla54[[#This Row],[Atendidas]],0)</f>
        <v>0</v>
      </c>
      <c r="H6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1" s="21">
        <f>IFERROR(Tabla54[[#This Row],[Atendidas]]/Tabla54[[#This Row],[Recibidas]],0)</f>
        <v>0</v>
      </c>
    </row>
    <row r="622" spans="2:9" x14ac:dyDescent="0.3">
      <c r="B622" s="27">
        <f t="shared" si="23"/>
        <v>46216</v>
      </c>
      <c r="C622" s="18">
        <v>0.83333333333333304</v>
      </c>
      <c r="D622" s="19">
        <f>+SUMIFS(Regiones[Ofrecidas],Regiones[Fecha],Tabla54[[#This Row],[Fecha]],Regiones[Intervalo],Tabla54[[#This Row],[Intervalo]],Regiones[Skill],'BUPA Seguros'!$L$3)</f>
        <v>0</v>
      </c>
      <c r="E622" s="19">
        <f>+SUMIFS(Regiones[Contestadas],Regiones[Fecha],Tabla54[[#This Row],[Fecha]],Regiones[Intervalo],Tabla54[[#This Row],[Intervalo]],Regiones[Skill],'BUPA Seguros'!$L$3)</f>
        <v>0</v>
      </c>
      <c r="F622" s="20">
        <v>0</v>
      </c>
      <c r="G622" s="19">
        <f>IFERROR(SUMIFS(Regiones[TMO],Regiones[Fecha],Tabla54[[#This Row],[Fecha]],Regiones[Intervalo],Tabla54[[#This Row],[Intervalo]],Regiones[Skill],'BUPA Seguros'!$L$3)/Tabla54[[#This Row],[Atendidas]],0)</f>
        <v>0</v>
      </c>
      <c r="H6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2" s="21">
        <f>IFERROR(Tabla54[[#This Row],[Atendidas]]/Tabla54[[#This Row],[Recibidas]],0)</f>
        <v>0</v>
      </c>
    </row>
    <row r="623" spans="2:9" x14ac:dyDescent="0.3">
      <c r="B623" s="25">
        <f t="shared" si="23"/>
        <v>46216</v>
      </c>
      <c r="C623" s="26">
        <v>0.85416666666666696</v>
      </c>
      <c r="D623" s="19">
        <f>+SUMIFS(Regiones[Ofrecidas],Regiones[Fecha],Tabla54[[#This Row],[Fecha]],Regiones[Intervalo],Tabla54[[#This Row],[Intervalo]],Regiones[Skill],'BUPA Seguros'!$L$3)</f>
        <v>0</v>
      </c>
      <c r="E623" s="19">
        <f>+SUMIFS(Regiones[Contestadas],Regiones[Fecha],Tabla54[[#This Row],[Fecha]],Regiones[Intervalo],Tabla54[[#This Row],[Intervalo]],Regiones[Skill],'BUPA Seguros'!$L$3)</f>
        <v>0</v>
      </c>
      <c r="F623" s="20">
        <v>0</v>
      </c>
      <c r="G623" s="19">
        <f>IFERROR(SUMIFS(Regiones[TMO],Regiones[Fecha],Tabla54[[#This Row],[Fecha]],Regiones[Intervalo],Tabla54[[#This Row],[Intervalo]],Regiones[Skill],'BUPA Seguros'!$L$3)/Tabla54[[#This Row],[Atendidas]],0)</f>
        <v>0</v>
      </c>
      <c r="H6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3" s="21">
        <f>IFERROR(Tabla54[[#This Row],[Atendidas]]/Tabla54[[#This Row],[Recibidas]],0)</f>
        <v>0</v>
      </c>
    </row>
    <row r="624" spans="2:9" x14ac:dyDescent="0.3">
      <c r="B624" s="27">
        <f t="shared" si="23"/>
        <v>46216</v>
      </c>
      <c r="C624" s="18">
        <v>0.875</v>
      </c>
      <c r="D624" s="19">
        <f>+SUMIFS(Regiones[Ofrecidas],Regiones[Fecha],Tabla54[[#This Row],[Fecha]],Regiones[Intervalo],Tabla54[[#This Row],[Intervalo]],Regiones[Skill],'BUPA Seguros'!$L$3)</f>
        <v>0</v>
      </c>
      <c r="E624" s="19">
        <f>+SUMIFS(Regiones[Contestadas],Regiones[Fecha],Tabla54[[#This Row],[Fecha]],Regiones[Intervalo],Tabla54[[#This Row],[Intervalo]],Regiones[Skill],'BUPA Seguros'!$L$3)</f>
        <v>0</v>
      </c>
      <c r="F624" s="20">
        <v>0</v>
      </c>
      <c r="G624" s="19">
        <f>IFERROR(SUMIFS(Regiones[TMO],Regiones[Fecha],Tabla54[[#This Row],[Fecha]],Regiones[Intervalo],Tabla54[[#This Row],[Intervalo]],Regiones[Skill],'BUPA Seguros'!$L$3)/Tabla54[[#This Row],[Atendidas]],0)</f>
        <v>0</v>
      </c>
      <c r="H6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4" s="21">
        <f>IFERROR(Tabla54[[#This Row],[Atendidas]]/Tabla54[[#This Row],[Recibidas]],0)</f>
        <v>0</v>
      </c>
    </row>
    <row r="625" spans="2:9" x14ac:dyDescent="0.3">
      <c r="B625" s="25">
        <f t="shared" si="23"/>
        <v>46216</v>
      </c>
      <c r="C625" s="26">
        <v>0.89583333333333304</v>
      </c>
      <c r="D625" s="19">
        <f>+SUMIFS(Regiones[Ofrecidas],Regiones[Fecha],Tabla54[[#This Row],[Fecha]],Regiones[Intervalo],Tabla54[[#This Row],[Intervalo]],Regiones[Skill],'BUPA Seguros'!$L$3)</f>
        <v>0</v>
      </c>
      <c r="E625" s="19">
        <f>+SUMIFS(Regiones[Contestadas],Regiones[Fecha],Tabla54[[#This Row],[Fecha]],Regiones[Intervalo],Tabla54[[#This Row],[Intervalo]],Regiones[Skill],'BUPA Seguros'!$L$3)</f>
        <v>0</v>
      </c>
      <c r="F625" s="20">
        <v>0</v>
      </c>
      <c r="G625" s="19">
        <f>IFERROR(SUMIFS(Regiones[TMO],Regiones[Fecha],Tabla54[[#This Row],[Fecha]],Regiones[Intervalo],Tabla54[[#This Row],[Intervalo]],Regiones[Skill],'BUPA Seguros'!$L$3)/Tabla54[[#This Row],[Atendidas]],0)</f>
        <v>0</v>
      </c>
      <c r="H6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5" s="21">
        <f>IFERROR(Tabla54[[#This Row],[Atendidas]]/Tabla54[[#This Row],[Recibidas]],0)</f>
        <v>0</v>
      </c>
    </row>
    <row r="626" spans="2:9" x14ac:dyDescent="0.3">
      <c r="B626" s="27">
        <f t="shared" si="23"/>
        <v>46216</v>
      </c>
      <c r="C626" s="18">
        <v>0.91666666666666696</v>
      </c>
      <c r="D626" s="19">
        <f>+SUMIFS(Regiones[Ofrecidas],Regiones[Fecha],Tabla54[[#This Row],[Fecha]],Regiones[Intervalo],Tabla54[[#This Row],[Intervalo]],Regiones[Skill],'BUPA Seguros'!$L$3)</f>
        <v>0</v>
      </c>
      <c r="E626" s="19">
        <f>+SUMIFS(Regiones[Contestadas],Regiones[Fecha],Tabla54[[#This Row],[Fecha]],Regiones[Intervalo],Tabla54[[#This Row],[Intervalo]],Regiones[Skill],'BUPA Seguros'!$L$3)</f>
        <v>0</v>
      </c>
      <c r="F626" s="20">
        <v>0</v>
      </c>
      <c r="G626" s="19">
        <f>IFERROR(SUMIFS(Regiones[TMO],Regiones[Fecha],Tabla54[[#This Row],[Fecha]],Regiones[Intervalo],Tabla54[[#This Row],[Intervalo]],Regiones[Skill],'BUPA Seguros'!$L$3)/Tabla54[[#This Row],[Atendidas]],0)</f>
        <v>0</v>
      </c>
      <c r="H6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6" s="21">
        <f>IFERROR(Tabla54[[#This Row],[Atendidas]]/Tabla54[[#This Row],[Recibidas]],0)</f>
        <v>0</v>
      </c>
    </row>
    <row r="627" spans="2:9" x14ac:dyDescent="0.3">
      <c r="B627" s="25">
        <f t="shared" si="23"/>
        <v>46216</v>
      </c>
      <c r="C627" s="26">
        <v>0.9375</v>
      </c>
      <c r="D627" s="19">
        <f>+SUMIFS(Regiones[Ofrecidas],Regiones[Fecha],Tabla54[[#This Row],[Fecha]],Regiones[Intervalo],Tabla54[[#This Row],[Intervalo]],Regiones[Skill],'BUPA Seguros'!$L$3)</f>
        <v>0</v>
      </c>
      <c r="E627" s="19">
        <f>+SUMIFS(Regiones[Contestadas],Regiones[Fecha],Tabla54[[#This Row],[Fecha]],Regiones[Intervalo],Tabla54[[#This Row],[Intervalo]],Regiones[Skill],'BUPA Seguros'!$L$3)</f>
        <v>0</v>
      </c>
      <c r="F627" s="20">
        <v>0</v>
      </c>
      <c r="G627" s="19">
        <f>IFERROR(SUMIFS(Regiones[TMO],Regiones[Fecha],Tabla54[[#This Row],[Fecha]],Regiones[Intervalo],Tabla54[[#This Row],[Intervalo]],Regiones[Skill],'BUPA Seguros'!$L$3)/Tabla54[[#This Row],[Atendidas]],0)</f>
        <v>0</v>
      </c>
      <c r="H6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7" s="21">
        <f>IFERROR(Tabla54[[#This Row],[Atendidas]]/Tabla54[[#This Row],[Recibidas]],0)</f>
        <v>0</v>
      </c>
    </row>
    <row r="628" spans="2:9" x14ac:dyDescent="0.3">
      <c r="B628" s="27">
        <f t="shared" si="23"/>
        <v>46216</v>
      </c>
      <c r="C628" s="18">
        <v>0.95833333333333304</v>
      </c>
      <c r="D628" s="19">
        <f>+SUMIFS(Regiones[Ofrecidas],Regiones[Fecha],Tabla54[[#This Row],[Fecha]],Regiones[Intervalo],Tabla54[[#This Row],[Intervalo]],Regiones[Skill],'BUPA Seguros'!$L$3)</f>
        <v>0</v>
      </c>
      <c r="E628" s="19">
        <f>+SUMIFS(Regiones[Contestadas],Regiones[Fecha],Tabla54[[#This Row],[Fecha]],Regiones[Intervalo],Tabla54[[#This Row],[Intervalo]],Regiones[Skill],'BUPA Seguros'!$L$3)</f>
        <v>0</v>
      </c>
      <c r="F628" s="20">
        <v>0</v>
      </c>
      <c r="G628" s="19">
        <f>IFERROR(SUMIFS(Regiones[TMO],Regiones[Fecha],Tabla54[[#This Row],[Fecha]],Regiones[Intervalo],Tabla54[[#This Row],[Intervalo]],Regiones[Skill],'BUPA Seguros'!$L$3)/Tabla54[[#This Row],[Atendidas]],0)</f>
        <v>0</v>
      </c>
      <c r="H6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8" s="21">
        <f>IFERROR(Tabla54[[#This Row],[Atendidas]]/Tabla54[[#This Row],[Recibidas]],0)</f>
        <v>0</v>
      </c>
    </row>
    <row r="629" spans="2:9" x14ac:dyDescent="0.3">
      <c r="B629" s="25">
        <f t="shared" si="23"/>
        <v>46216</v>
      </c>
      <c r="C629" s="26">
        <v>0.97916666666666696</v>
      </c>
      <c r="D629" s="19">
        <f>+SUMIFS(Regiones[Ofrecidas],Regiones[Fecha],Tabla54[[#This Row],[Fecha]],Regiones[Intervalo],Tabla54[[#This Row],[Intervalo]],Regiones[Skill],'BUPA Seguros'!$L$3)</f>
        <v>0</v>
      </c>
      <c r="E629" s="19">
        <f>+SUMIFS(Regiones[Contestadas],Regiones[Fecha],Tabla54[[#This Row],[Fecha]],Regiones[Intervalo],Tabla54[[#This Row],[Intervalo]],Regiones[Skill],'BUPA Seguros'!$L$3)</f>
        <v>0</v>
      </c>
      <c r="F629" s="20">
        <v>0</v>
      </c>
      <c r="G629" s="19">
        <f>IFERROR(SUMIFS(Regiones[TMO],Regiones[Fecha],Tabla54[[#This Row],[Fecha]],Regiones[Intervalo],Tabla54[[#This Row],[Intervalo]],Regiones[Skill],'BUPA Seguros'!$L$3)/Tabla54[[#This Row],[Atendidas]],0)</f>
        <v>0</v>
      </c>
      <c r="H6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29" s="21">
        <f>IFERROR(Tabla54[[#This Row],[Atendidas]]/Tabla54[[#This Row],[Recibidas]],0)</f>
        <v>0</v>
      </c>
    </row>
    <row r="630" spans="2:9" x14ac:dyDescent="0.3">
      <c r="B630" s="27">
        <f t="shared" ref="B630" si="24">+B629+1</f>
        <v>46217</v>
      </c>
      <c r="C630" s="18">
        <v>0</v>
      </c>
      <c r="D630" s="19">
        <f>+SUMIFS(Regiones[Ofrecidas],Regiones[Fecha],Tabla54[[#This Row],[Fecha]],Regiones[Intervalo],Tabla54[[#This Row],[Intervalo]],Regiones[Skill],'BUPA Seguros'!$L$3)</f>
        <v>0</v>
      </c>
      <c r="E630" s="19">
        <f>+SUMIFS(Regiones[Contestadas],Regiones[Fecha],Tabla54[[#This Row],[Fecha]],Regiones[Intervalo],Tabla54[[#This Row],[Intervalo]],Regiones[Skill],'BUPA Seguros'!$L$3)</f>
        <v>0</v>
      </c>
      <c r="F630" s="20">
        <v>0</v>
      </c>
      <c r="G630" s="19">
        <f>IFERROR(SUMIFS(Regiones[TMO],Regiones[Fecha],Tabla54[[#This Row],[Fecha]],Regiones[Intervalo],Tabla54[[#This Row],[Intervalo]],Regiones[Skill],'BUPA Seguros'!$L$3)/Tabla54[[#This Row],[Atendidas]],0)</f>
        <v>0</v>
      </c>
      <c r="H6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0" s="21">
        <f>IFERROR(Tabla54[[#This Row],[Atendidas]]/Tabla54[[#This Row],[Recibidas]],0)</f>
        <v>0</v>
      </c>
    </row>
    <row r="631" spans="2:9" x14ac:dyDescent="0.3">
      <c r="B631" s="25">
        <f t="shared" ref="B631:B694" si="25">+B630</f>
        <v>46217</v>
      </c>
      <c r="C631" s="26">
        <v>2.0833333333333332E-2</v>
      </c>
      <c r="D631" s="19">
        <f>+SUMIFS(Regiones[Ofrecidas],Regiones[Fecha],Tabla54[[#This Row],[Fecha]],Regiones[Intervalo],Tabla54[[#This Row],[Intervalo]],Regiones[Skill],'BUPA Seguros'!$L$3)</f>
        <v>0</v>
      </c>
      <c r="E631" s="19">
        <f>+SUMIFS(Regiones[Contestadas],Regiones[Fecha],Tabla54[[#This Row],[Fecha]],Regiones[Intervalo],Tabla54[[#This Row],[Intervalo]],Regiones[Skill],'BUPA Seguros'!$L$3)</f>
        <v>0</v>
      </c>
      <c r="F631" s="20">
        <v>0</v>
      </c>
      <c r="G631" s="19">
        <f>IFERROR(SUMIFS(Regiones[TMO],Regiones[Fecha],Tabla54[[#This Row],[Fecha]],Regiones[Intervalo],Tabla54[[#This Row],[Intervalo]],Regiones[Skill],'BUPA Seguros'!$L$3)/Tabla54[[#This Row],[Atendidas]],0)</f>
        <v>0</v>
      </c>
      <c r="H6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1" s="21">
        <f>IFERROR(Tabla54[[#This Row],[Atendidas]]/Tabla54[[#This Row],[Recibidas]],0)</f>
        <v>0</v>
      </c>
    </row>
    <row r="632" spans="2:9" x14ac:dyDescent="0.3">
      <c r="B632" s="27">
        <f t="shared" si="25"/>
        <v>46217</v>
      </c>
      <c r="C632" s="18">
        <v>4.1666666666666699E-2</v>
      </c>
      <c r="D632" s="19">
        <f>+SUMIFS(Regiones[Ofrecidas],Regiones[Fecha],Tabla54[[#This Row],[Fecha]],Regiones[Intervalo],Tabla54[[#This Row],[Intervalo]],Regiones[Skill],'BUPA Seguros'!$L$3)</f>
        <v>0</v>
      </c>
      <c r="E632" s="19">
        <f>+SUMIFS(Regiones[Contestadas],Regiones[Fecha],Tabla54[[#This Row],[Fecha]],Regiones[Intervalo],Tabla54[[#This Row],[Intervalo]],Regiones[Skill],'BUPA Seguros'!$L$3)</f>
        <v>0</v>
      </c>
      <c r="F632" s="20">
        <v>0</v>
      </c>
      <c r="G632" s="19">
        <f>IFERROR(SUMIFS(Regiones[TMO],Regiones[Fecha],Tabla54[[#This Row],[Fecha]],Regiones[Intervalo],Tabla54[[#This Row],[Intervalo]],Regiones[Skill],'BUPA Seguros'!$L$3)/Tabla54[[#This Row],[Atendidas]],0)</f>
        <v>0</v>
      </c>
      <c r="H6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2" s="21">
        <f>IFERROR(Tabla54[[#This Row],[Atendidas]]/Tabla54[[#This Row],[Recibidas]],0)</f>
        <v>0</v>
      </c>
    </row>
    <row r="633" spans="2:9" x14ac:dyDescent="0.3">
      <c r="B633" s="25">
        <f t="shared" si="25"/>
        <v>46217</v>
      </c>
      <c r="C633" s="26">
        <v>6.25E-2</v>
      </c>
      <c r="D633" s="19">
        <f>+SUMIFS(Regiones[Ofrecidas],Regiones[Fecha],Tabla54[[#This Row],[Fecha]],Regiones[Intervalo],Tabla54[[#This Row],[Intervalo]],Regiones[Skill],'BUPA Seguros'!$L$3)</f>
        <v>0</v>
      </c>
      <c r="E633" s="19">
        <f>+SUMIFS(Regiones[Contestadas],Regiones[Fecha],Tabla54[[#This Row],[Fecha]],Regiones[Intervalo],Tabla54[[#This Row],[Intervalo]],Regiones[Skill],'BUPA Seguros'!$L$3)</f>
        <v>0</v>
      </c>
      <c r="F633" s="20">
        <v>0</v>
      </c>
      <c r="G633" s="19">
        <f>IFERROR(SUMIFS(Regiones[TMO],Regiones[Fecha],Tabla54[[#This Row],[Fecha]],Regiones[Intervalo],Tabla54[[#This Row],[Intervalo]],Regiones[Skill],'BUPA Seguros'!$L$3)/Tabla54[[#This Row],[Atendidas]],0)</f>
        <v>0</v>
      </c>
      <c r="H6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3" s="21">
        <f>IFERROR(Tabla54[[#This Row],[Atendidas]]/Tabla54[[#This Row],[Recibidas]],0)</f>
        <v>0</v>
      </c>
    </row>
    <row r="634" spans="2:9" x14ac:dyDescent="0.3">
      <c r="B634" s="27">
        <f t="shared" si="25"/>
        <v>46217</v>
      </c>
      <c r="C634" s="18">
        <v>8.3333333333333301E-2</v>
      </c>
      <c r="D634" s="19">
        <f>+SUMIFS(Regiones[Ofrecidas],Regiones[Fecha],Tabla54[[#This Row],[Fecha]],Regiones[Intervalo],Tabla54[[#This Row],[Intervalo]],Regiones[Skill],'BUPA Seguros'!$L$3)</f>
        <v>0</v>
      </c>
      <c r="E634" s="19">
        <f>+SUMIFS(Regiones[Contestadas],Regiones[Fecha],Tabla54[[#This Row],[Fecha]],Regiones[Intervalo],Tabla54[[#This Row],[Intervalo]],Regiones[Skill],'BUPA Seguros'!$L$3)</f>
        <v>0</v>
      </c>
      <c r="F634" s="20">
        <v>0</v>
      </c>
      <c r="G634" s="19">
        <f>IFERROR(SUMIFS(Regiones[TMO],Regiones[Fecha],Tabla54[[#This Row],[Fecha]],Regiones[Intervalo],Tabla54[[#This Row],[Intervalo]],Regiones[Skill],'BUPA Seguros'!$L$3)/Tabla54[[#This Row],[Atendidas]],0)</f>
        <v>0</v>
      </c>
      <c r="H6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4" s="21">
        <f>IFERROR(Tabla54[[#This Row],[Atendidas]]/Tabla54[[#This Row],[Recibidas]],0)</f>
        <v>0</v>
      </c>
    </row>
    <row r="635" spans="2:9" x14ac:dyDescent="0.3">
      <c r="B635" s="25">
        <f t="shared" si="25"/>
        <v>46217</v>
      </c>
      <c r="C635" s="26">
        <v>0.104166666666667</v>
      </c>
      <c r="D635" s="19">
        <f>+SUMIFS(Regiones[Ofrecidas],Regiones[Fecha],Tabla54[[#This Row],[Fecha]],Regiones[Intervalo],Tabla54[[#This Row],[Intervalo]],Regiones[Skill],'BUPA Seguros'!$L$3)</f>
        <v>0</v>
      </c>
      <c r="E635" s="19">
        <f>+SUMIFS(Regiones[Contestadas],Regiones[Fecha],Tabla54[[#This Row],[Fecha]],Regiones[Intervalo],Tabla54[[#This Row],[Intervalo]],Regiones[Skill],'BUPA Seguros'!$L$3)</f>
        <v>0</v>
      </c>
      <c r="F635" s="20">
        <v>0</v>
      </c>
      <c r="G635" s="19">
        <f>IFERROR(SUMIFS(Regiones[TMO],Regiones[Fecha],Tabla54[[#This Row],[Fecha]],Regiones[Intervalo],Tabla54[[#This Row],[Intervalo]],Regiones[Skill],'BUPA Seguros'!$L$3)/Tabla54[[#This Row],[Atendidas]],0)</f>
        <v>0</v>
      </c>
      <c r="H6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5" s="21">
        <f>IFERROR(Tabla54[[#This Row],[Atendidas]]/Tabla54[[#This Row],[Recibidas]],0)</f>
        <v>0</v>
      </c>
    </row>
    <row r="636" spans="2:9" x14ac:dyDescent="0.3">
      <c r="B636" s="27">
        <f t="shared" si="25"/>
        <v>46217</v>
      </c>
      <c r="C636" s="18">
        <v>0.125</v>
      </c>
      <c r="D636" s="19">
        <f>+SUMIFS(Regiones[Ofrecidas],Regiones[Fecha],Tabla54[[#This Row],[Fecha]],Regiones[Intervalo],Tabla54[[#This Row],[Intervalo]],Regiones[Skill],'BUPA Seguros'!$L$3)</f>
        <v>0</v>
      </c>
      <c r="E636" s="19">
        <f>+SUMIFS(Regiones[Contestadas],Regiones[Fecha],Tabla54[[#This Row],[Fecha]],Regiones[Intervalo],Tabla54[[#This Row],[Intervalo]],Regiones[Skill],'BUPA Seguros'!$L$3)</f>
        <v>0</v>
      </c>
      <c r="F636" s="20">
        <v>0</v>
      </c>
      <c r="G636" s="19">
        <f>IFERROR(SUMIFS(Regiones[TMO],Regiones[Fecha],Tabla54[[#This Row],[Fecha]],Regiones[Intervalo],Tabla54[[#This Row],[Intervalo]],Regiones[Skill],'BUPA Seguros'!$L$3)/Tabla54[[#This Row],[Atendidas]],0)</f>
        <v>0</v>
      </c>
      <c r="H6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6" s="21">
        <f>IFERROR(Tabla54[[#This Row],[Atendidas]]/Tabla54[[#This Row],[Recibidas]],0)</f>
        <v>0</v>
      </c>
    </row>
    <row r="637" spans="2:9" x14ac:dyDescent="0.3">
      <c r="B637" s="25">
        <f t="shared" si="25"/>
        <v>46217</v>
      </c>
      <c r="C637" s="26">
        <v>0.14583333333333301</v>
      </c>
      <c r="D637" s="19">
        <f>+SUMIFS(Regiones[Ofrecidas],Regiones[Fecha],Tabla54[[#This Row],[Fecha]],Regiones[Intervalo],Tabla54[[#This Row],[Intervalo]],Regiones[Skill],'BUPA Seguros'!$L$3)</f>
        <v>0</v>
      </c>
      <c r="E637" s="19">
        <f>+SUMIFS(Regiones[Contestadas],Regiones[Fecha],Tabla54[[#This Row],[Fecha]],Regiones[Intervalo],Tabla54[[#This Row],[Intervalo]],Regiones[Skill],'BUPA Seguros'!$L$3)</f>
        <v>0</v>
      </c>
      <c r="F637" s="20">
        <v>0</v>
      </c>
      <c r="G637" s="19">
        <f>IFERROR(SUMIFS(Regiones[TMO],Regiones[Fecha],Tabla54[[#This Row],[Fecha]],Regiones[Intervalo],Tabla54[[#This Row],[Intervalo]],Regiones[Skill],'BUPA Seguros'!$L$3)/Tabla54[[#This Row],[Atendidas]],0)</f>
        <v>0</v>
      </c>
      <c r="H6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7" s="21">
        <f>IFERROR(Tabla54[[#This Row],[Atendidas]]/Tabla54[[#This Row],[Recibidas]],0)</f>
        <v>0</v>
      </c>
    </row>
    <row r="638" spans="2:9" x14ac:dyDescent="0.3">
      <c r="B638" s="27">
        <f t="shared" si="25"/>
        <v>46217</v>
      </c>
      <c r="C638" s="18">
        <v>0.16666666666666699</v>
      </c>
      <c r="D638" s="19">
        <f>+SUMIFS(Regiones[Ofrecidas],Regiones[Fecha],Tabla54[[#This Row],[Fecha]],Regiones[Intervalo],Tabla54[[#This Row],[Intervalo]],Regiones[Skill],'BUPA Seguros'!$L$3)</f>
        <v>0</v>
      </c>
      <c r="E638" s="19">
        <f>+SUMIFS(Regiones[Contestadas],Regiones[Fecha],Tabla54[[#This Row],[Fecha]],Regiones[Intervalo],Tabla54[[#This Row],[Intervalo]],Regiones[Skill],'BUPA Seguros'!$L$3)</f>
        <v>0</v>
      </c>
      <c r="F638" s="20">
        <v>0</v>
      </c>
      <c r="G638" s="19">
        <f>IFERROR(SUMIFS(Regiones[TMO],Regiones[Fecha],Tabla54[[#This Row],[Fecha]],Regiones[Intervalo],Tabla54[[#This Row],[Intervalo]],Regiones[Skill],'BUPA Seguros'!$L$3)/Tabla54[[#This Row],[Atendidas]],0)</f>
        <v>0</v>
      </c>
      <c r="H6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8" s="21">
        <f>IFERROR(Tabla54[[#This Row],[Atendidas]]/Tabla54[[#This Row],[Recibidas]],0)</f>
        <v>0</v>
      </c>
    </row>
    <row r="639" spans="2:9" x14ac:dyDescent="0.3">
      <c r="B639" s="25">
        <f t="shared" si="25"/>
        <v>46217</v>
      </c>
      <c r="C639" s="26">
        <v>0.1875</v>
      </c>
      <c r="D639" s="19">
        <f>+SUMIFS(Regiones[Ofrecidas],Regiones[Fecha],Tabla54[[#This Row],[Fecha]],Regiones[Intervalo],Tabla54[[#This Row],[Intervalo]],Regiones[Skill],'BUPA Seguros'!$L$3)</f>
        <v>0</v>
      </c>
      <c r="E639" s="19">
        <f>+SUMIFS(Regiones[Contestadas],Regiones[Fecha],Tabla54[[#This Row],[Fecha]],Regiones[Intervalo],Tabla54[[#This Row],[Intervalo]],Regiones[Skill],'BUPA Seguros'!$L$3)</f>
        <v>0</v>
      </c>
      <c r="F639" s="20">
        <v>0</v>
      </c>
      <c r="G639" s="19">
        <f>IFERROR(SUMIFS(Regiones[TMO],Regiones[Fecha],Tabla54[[#This Row],[Fecha]],Regiones[Intervalo],Tabla54[[#This Row],[Intervalo]],Regiones[Skill],'BUPA Seguros'!$L$3)/Tabla54[[#This Row],[Atendidas]],0)</f>
        <v>0</v>
      </c>
      <c r="H6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39" s="21">
        <f>IFERROR(Tabla54[[#This Row],[Atendidas]]/Tabla54[[#This Row],[Recibidas]],0)</f>
        <v>0</v>
      </c>
    </row>
    <row r="640" spans="2:9" x14ac:dyDescent="0.3">
      <c r="B640" s="27">
        <f t="shared" si="25"/>
        <v>46217</v>
      </c>
      <c r="C640" s="18">
        <v>0.20833333333333301</v>
      </c>
      <c r="D640" s="19">
        <f>+SUMIFS(Regiones[Ofrecidas],Regiones[Fecha],Tabla54[[#This Row],[Fecha]],Regiones[Intervalo],Tabla54[[#This Row],[Intervalo]],Regiones[Skill],'BUPA Seguros'!$L$3)</f>
        <v>0</v>
      </c>
      <c r="E640" s="19">
        <f>+SUMIFS(Regiones[Contestadas],Regiones[Fecha],Tabla54[[#This Row],[Fecha]],Regiones[Intervalo],Tabla54[[#This Row],[Intervalo]],Regiones[Skill],'BUPA Seguros'!$L$3)</f>
        <v>0</v>
      </c>
      <c r="F640" s="20">
        <v>0</v>
      </c>
      <c r="G640" s="19">
        <f>IFERROR(SUMIFS(Regiones[TMO],Regiones[Fecha],Tabla54[[#This Row],[Fecha]],Regiones[Intervalo],Tabla54[[#This Row],[Intervalo]],Regiones[Skill],'BUPA Seguros'!$L$3)/Tabla54[[#This Row],[Atendidas]],0)</f>
        <v>0</v>
      </c>
      <c r="H6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0" s="21">
        <f>IFERROR(Tabla54[[#This Row],[Atendidas]]/Tabla54[[#This Row],[Recibidas]],0)</f>
        <v>0</v>
      </c>
    </row>
    <row r="641" spans="2:9" x14ac:dyDescent="0.3">
      <c r="B641" s="25">
        <f t="shared" si="25"/>
        <v>46217</v>
      </c>
      <c r="C641" s="26">
        <v>0.22916666666666699</v>
      </c>
      <c r="D641" s="19">
        <f>+SUMIFS(Regiones[Ofrecidas],Regiones[Fecha],Tabla54[[#This Row],[Fecha]],Regiones[Intervalo],Tabla54[[#This Row],[Intervalo]],Regiones[Skill],'BUPA Seguros'!$L$3)</f>
        <v>0</v>
      </c>
      <c r="E641" s="19">
        <f>+SUMIFS(Regiones[Contestadas],Regiones[Fecha],Tabla54[[#This Row],[Fecha]],Regiones[Intervalo],Tabla54[[#This Row],[Intervalo]],Regiones[Skill],'BUPA Seguros'!$L$3)</f>
        <v>0</v>
      </c>
      <c r="F641" s="20">
        <v>0</v>
      </c>
      <c r="G641" s="19">
        <f>IFERROR(SUMIFS(Regiones[TMO],Regiones[Fecha],Tabla54[[#This Row],[Fecha]],Regiones[Intervalo],Tabla54[[#This Row],[Intervalo]],Regiones[Skill],'BUPA Seguros'!$L$3)/Tabla54[[#This Row],[Atendidas]],0)</f>
        <v>0</v>
      </c>
      <c r="H6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1" s="21">
        <f>IFERROR(Tabla54[[#This Row],[Atendidas]]/Tabla54[[#This Row],[Recibidas]],0)</f>
        <v>0</v>
      </c>
    </row>
    <row r="642" spans="2:9" x14ac:dyDescent="0.3">
      <c r="B642" s="27">
        <f t="shared" si="25"/>
        <v>46217</v>
      </c>
      <c r="C642" s="18">
        <v>0.25</v>
      </c>
      <c r="D642" s="19">
        <f>+SUMIFS(Regiones[Ofrecidas],Regiones[Fecha],Tabla54[[#This Row],[Fecha]],Regiones[Intervalo],Tabla54[[#This Row],[Intervalo]],Regiones[Skill],'BUPA Seguros'!$L$3)</f>
        <v>0</v>
      </c>
      <c r="E642" s="19">
        <f>+SUMIFS(Regiones[Contestadas],Regiones[Fecha],Tabla54[[#This Row],[Fecha]],Regiones[Intervalo],Tabla54[[#This Row],[Intervalo]],Regiones[Skill],'BUPA Seguros'!$L$3)</f>
        <v>0</v>
      </c>
      <c r="F642" s="20">
        <v>0</v>
      </c>
      <c r="G642" s="19">
        <f>IFERROR(SUMIFS(Regiones[TMO],Regiones[Fecha],Tabla54[[#This Row],[Fecha]],Regiones[Intervalo],Tabla54[[#This Row],[Intervalo]],Regiones[Skill],'BUPA Seguros'!$L$3)/Tabla54[[#This Row],[Atendidas]],0)</f>
        <v>0</v>
      </c>
      <c r="H6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2" s="21">
        <f>IFERROR(Tabla54[[#This Row],[Atendidas]]/Tabla54[[#This Row],[Recibidas]],0)</f>
        <v>0</v>
      </c>
    </row>
    <row r="643" spans="2:9" x14ac:dyDescent="0.3">
      <c r="B643" s="25">
        <f t="shared" si="25"/>
        <v>46217</v>
      </c>
      <c r="C643" s="26">
        <v>0.27083333333333298</v>
      </c>
      <c r="D643" s="19">
        <f>+SUMIFS(Regiones[Ofrecidas],Regiones[Fecha],Tabla54[[#This Row],[Fecha]],Regiones[Intervalo],Tabla54[[#This Row],[Intervalo]],Regiones[Skill],'BUPA Seguros'!$L$3)</f>
        <v>0</v>
      </c>
      <c r="E643" s="19">
        <f>+SUMIFS(Regiones[Contestadas],Regiones[Fecha],Tabla54[[#This Row],[Fecha]],Regiones[Intervalo],Tabla54[[#This Row],[Intervalo]],Regiones[Skill],'BUPA Seguros'!$L$3)</f>
        <v>0</v>
      </c>
      <c r="F643" s="20">
        <v>0</v>
      </c>
      <c r="G643" s="19">
        <f>IFERROR(SUMIFS(Regiones[TMO],Regiones[Fecha],Tabla54[[#This Row],[Fecha]],Regiones[Intervalo],Tabla54[[#This Row],[Intervalo]],Regiones[Skill],'BUPA Seguros'!$L$3)/Tabla54[[#This Row],[Atendidas]],0)</f>
        <v>0</v>
      </c>
      <c r="H6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3" s="21">
        <f>IFERROR(Tabla54[[#This Row],[Atendidas]]/Tabla54[[#This Row],[Recibidas]],0)</f>
        <v>0</v>
      </c>
    </row>
    <row r="644" spans="2:9" x14ac:dyDescent="0.3">
      <c r="B644" s="27">
        <f t="shared" si="25"/>
        <v>46217</v>
      </c>
      <c r="C644" s="18">
        <v>0.29166666666666702</v>
      </c>
      <c r="D644" s="19">
        <f>+SUMIFS(Regiones[Ofrecidas],Regiones[Fecha],Tabla54[[#This Row],[Fecha]],Regiones[Intervalo],Tabla54[[#This Row],[Intervalo]],Regiones[Skill],'BUPA Seguros'!$L$3)</f>
        <v>0</v>
      </c>
      <c r="E644" s="19">
        <f>+SUMIFS(Regiones[Contestadas],Regiones[Fecha],Tabla54[[#This Row],[Fecha]],Regiones[Intervalo],Tabla54[[#This Row],[Intervalo]],Regiones[Skill],'BUPA Seguros'!$L$3)</f>
        <v>0</v>
      </c>
      <c r="F644" s="20">
        <v>0</v>
      </c>
      <c r="G644" s="19">
        <f>IFERROR(SUMIFS(Regiones[TMO],Regiones[Fecha],Tabla54[[#This Row],[Fecha]],Regiones[Intervalo],Tabla54[[#This Row],[Intervalo]],Regiones[Skill],'BUPA Seguros'!$L$3)/Tabla54[[#This Row],[Atendidas]],0)</f>
        <v>0</v>
      </c>
      <c r="H6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4" s="21">
        <f>IFERROR(Tabla54[[#This Row],[Atendidas]]/Tabla54[[#This Row],[Recibidas]],0)</f>
        <v>0</v>
      </c>
    </row>
    <row r="645" spans="2:9" x14ac:dyDescent="0.3">
      <c r="B645" s="25">
        <f t="shared" si="25"/>
        <v>46217</v>
      </c>
      <c r="C645" s="26">
        <v>0.3125</v>
      </c>
      <c r="D645" s="19">
        <f>+SUMIFS(Regiones[Ofrecidas],Regiones[Fecha],Tabla54[[#This Row],[Fecha]],Regiones[Intervalo],Tabla54[[#This Row],[Intervalo]],Regiones[Skill],'BUPA Seguros'!$L$3)</f>
        <v>0</v>
      </c>
      <c r="E645" s="19">
        <f>+SUMIFS(Regiones[Contestadas],Regiones[Fecha],Tabla54[[#This Row],[Fecha]],Regiones[Intervalo],Tabla54[[#This Row],[Intervalo]],Regiones[Skill],'BUPA Seguros'!$L$3)</f>
        <v>0</v>
      </c>
      <c r="F645" s="20">
        <v>0</v>
      </c>
      <c r="G645" s="19">
        <f>IFERROR(SUMIFS(Regiones[TMO],Regiones[Fecha],Tabla54[[#This Row],[Fecha]],Regiones[Intervalo],Tabla54[[#This Row],[Intervalo]],Regiones[Skill],'BUPA Seguros'!$L$3)/Tabla54[[#This Row],[Atendidas]],0)</f>
        <v>0</v>
      </c>
      <c r="H6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5" s="21">
        <f>IFERROR(Tabla54[[#This Row],[Atendidas]]/Tabla54[[#This Row],[Recibidas]],0)</f>
        <v>0</v>
      </c>
    </row>
    <row r="646" spans="2:9" x14ac:dyDescent="0.3">
      <c r="B646" s="27">
        <f t="shared" si="25"/>
        <v>46217</v>
      </c>
      <c r="C646" s="18">
        <v>0.33333333333333298</v>
      </c>
      <c r="D646" s="19">
        <f>+SUMIFS(Regiones[Ofrecidas],Regiones[Fecha],Tabla54[[#This Row],[Fecha]],Regiones[Intervalo],Tabla54[[#This Row],[Intervalo]],Regiones[Skill],'BUPA Seguros'!$L$3)</f>
        <v>0</v>
      </c>
      <c r="E646" s="19">
        <f>+SUMIFS(Regiones[Contestadas],Regiones[Fecha],Tabla54[[#This Row],[Fecha]],Regiones[Intervalo],Tabla54[[#This Row],[Intervalo]],Regiones[Skill],'BUPA Seguros'!$L$3)</f>
        <v>0</v>
      </c>
      <c r="F646" s="20">
        <v>0</v>
      </c>
      <c r="G646" s="19">
        <f>IFERROR(SUMIFS(Regiones[TMO],Regiones[Fecha],Tabla54[[#This Row],[Fecha]],Regiones[Intervalo],Tabla54[[#This Row],[Intervalo]],Regiones[Skill],'BUPA Seguros'!$L$3)/Tabla54[[#This Row],[Atendidas]],0)</f>
        <v>0</v>
      </c>
      <c r="H6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6" s="21">
        <f>IFERROR(Tabla54[[#This Row],[Atendidas]]/Tabla54[[#This Row],[Recibidas]],0)</f>
        <v>0</v>
      </c>
    </row>
    <row r="647" spans="2:9" x14ac:dyDescent="0.3">
      <c r="B647" s="25">
        <f t="shared" si="25"/>
        <v>46217</v>
      </c>
      <c r="C647" s="26">
        <v>0.35416666666666702</v>
      </c>
      <c r="D647" s="19">
        <f>+SUMIFS(Regiones[Ofrecidas],Regiones[Fecha],Tabla54[[#This Row],[Fecha]],Regiones[Intervalo],Tabla54[[#This Row],[Intervalo]],Regiones[Skill],'BUPA Seguros'!$L$3)</f>
        <v>0</v>
      </c>
      <c r="E647" s="19">
        <f>+SUMIFS(Regiones[Contestadas],Regiones[Fecha],Tabla54[[#This Row],[Fecha]],Regiones[Intervalo],Tabla54[[#This Row],[Intervalo]],Regiones[Skill],'BUPA Seguros'!$L$3)</f>
        <v>0</v>
      </c>
      <c r="F647" s="20">
        <v>0</v>
      </c>
      <c r="G647" s="19">
        <f>IFERROR(SUMIFS(Regiones[TMO],Regiones[Fecha],Tabla54[[#This Row],[Fecha]],Regiones[Intervalo],Tabla54[[#This Row],[Intervalo]],Regiones[Skill],'BUPA Seguros'!$L$3)/Tabla54[[#This Row],[Atendidas]],0)</f>
        <v>0</v>
      </c>
      <c r="H6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7" s="21">
        <f>IFERROR(Tabla54[[#This Row],[Atendidas]]/Tabla54[[#This Row],[Recibidas]],0)</f>
        <v>0</v>
      </c>
    </row>
    <row r="648" spans="2:9" x14ac:dyDescent="0.3">
      <c r="B648" s="27">
        <f t="shared" si="25"/>
        <v>46217</v>
      </c>
      <c r="C648" s="18">
        <v>0.375</v>
      </c>
      <c r="D648" s="19">
        <f>+SUMIFS(Regiones[Ofrecidas],Regiones[Fecha],Tabla54[[#This Row],[Fecha]],Regiones[Intervalo],Tabla54[[#This Row],[Intervalo]],Regiones[Skill],'BUPA Seguros'!$L$3)</f>
        <v>0</v>
      </c>
      <c r="E648" s="19">
        <f>+SUMIFS(Regiones[Contestadas],Regiones[Fecha],Tabla54[[#This Row],[Fecha]],Regiones[Intervalo],Tabla54[[#This Row],[Intervalo]],Regiones[Skill],'BUPA Seguros'!$L$3)</f>
        <v>0</v>
      </c>
      <c r="F648" s="20">
        <v>42.448075530568524</v>
      </c>
      <c r="G648" s="19">
        <f>IFERROR(SUMIFS(Regiones[TMO],Regiones[Fecha],Tabla54[[#This Row],[Fecha]],Regiones[Intervalo],Tabla54[[#This Row],[Intervalo]],Regiones[Skill],'BUPA Seguros'!$L$3)/Tabla54[[#This Row],[Atendidas]],0)</f>
        <v>0</v>
      </c>
      <c r="H6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8" s="21">
        <f>IFERROR(Tabla54[[#This Row],[Atendidas]]/Tabla54[[#This Row],[Recibidas]],0)</f>
        <v>0</v>
      </c>
    </row>
    <row r="649" spans="2:9" x14ac:dyDescent="0.3">
      <c r="B649" s="25">
        <f t="shared" si="25"/>
        <v>46217</v>
      </c>
      <c r="C649" s="26">
        <v>0.39583333333333298</v>
      </c>
      <c r="D649" s="19">
        <f>+SUMIFS(Regiones[Ofrecidas],Regiones[Fecha],Tabla54[[#This Row],[Fecha]],Regiones[Intervalo],Tabla54[[#This Row],[Intervalo]],Regiones[Skill],'BUPA Seguros'!$L$3)</f>
        <v>0</v>
      </c>
      <c r="E649" s="19">
        <f>+SUMIFS(Regiones[Contestadas],Regiones[Fecha],Tabla54[[#This Row],[Fecha]],Regiones[Intervalo],Tabla54[[#This Row],[Intervalo]],Regiones[Skill],'BUPA Seguros'!$L$3)</f>
        <v>0</v>
      </c>
      <c r="F649" s="20">
        <v>40.803690622627578</v>
      </c>
      <c r="G649" s="19">
        <f>IFERROR(SUMIFS(Regiones[TMO],Regiones[Fecha],Tabla54[[#This Row],[Fecha]],Regiones[Intervalo],Tabla54[[#This Row],[Intervalo]],Regiones[Skill],'BUPA Seguros'!$L$3)/Tabla54[[#This Row],[Atendidas]],0)</f>
        <v>0</v>
      </c>
      <c r="H6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49" s="21">
        <f>IFERROR(Tabla54[[#This Row],[Atendidas]]/Tabla54[[#This Row],[Recibidas]],0)</f>
        <v>0</v>
      </c>
    </row>
    <row r="650" spans="2:9" x14ac:dyDescent="0.3">
      <c r="B650" s="27">
        <f t="shared" si="25"/>
        <v>46217</v>
      </c>
      <c r="C650" s="18">
        <v>0.41666666666666702</v>
      </c>
      <c r="D650" s="19">
        <f>+SUMIFS(Regiones[Ofrecidas],Regiones[Fecha],Tabla54[[#This Row],[Fecha]],Regiones[Intervalo],Tabla54[[#This Row],[Intervalo]],Regiones[Skill],'BUPA Seguros'!$L$3)</f>
        <v>0</v>
      </c>
      <c r="E650" s="19">
        <f>+SUMIFS(Regiones[Contestadas],Regiones[Fecha],Tabla54[[#This Row],[Fecha]],Regiones[Intervalo],Tabla54[[#This Row],[Intervalo]],Regiones[Skill],'BUPA Seguros'!$L$3)</f>
        <v>0</v>
      </c>
      <c r="F650" s="20">
        <v>41.135117038181555</v>
      </c>
      <c r="G650" s="19">
        <f>IFERROR(SUMIFS(Regiones[TMO],Regiones[Fecha],Tabla54[[#This Row],[Fecha]],Regiones[Intervalo],Tabla54[[#This Row],[Intervalo]],Regiones[Skill],'BUPA Seguros'!$L$3)/Tabla54[[#This Row],[Atendidas]],0)</f>
        <v>0</v>
      </c>
      <c r="H6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0" s="21">
        <f>IFERROR(Tabla54[[#This Row],[Atendidas]]/Tabla54[[#This Row],[Recibidas]],0)</f>
        <v>0</v>
      </c>
    </row>
    <row r="651" spans="2:9" x14ac:dyDescent="0.3">
      <c r="B651" s="25">
        <f t="shared" si="25"/>
        <v>46217</v>
      </c>
      <c r="C651" s="26">
        <v>0.4375</v>
      </c>
      <c r="D651" s="19">
        <f>+SUMIFS(Regiones[Ofrecidas],Regiones[Fecha],Tabla54[[#This Row],[Fecha]],Regiones[Intervalo],Tabla54[[#This Row],[Intervalo]],Regiones[Skill],'BUPA Seguros'!$L$3)</f>
        <v>0</v>
      </c>
      <c r="E651" s="19">
        <f>+SUMIFS(Regiones[Contestadas],Regiones[Fecha],Tabla54[[#This Row],[Fecha]],Regiones[Intervalo],Tabla54[[#This Row],[Intervalo]],Regiones[Skill],'BUPA Seguros'!$L$3)</f>
        <v>0</v>
      </c>
      <c r="F651" s="20">
        <v>42.516060436323173</v>
      </c>
      <c r="G651" s="19">
        <f>IFERROR(SUMIFS(Regiones[TMO],Regiones[Fecha],Tabla54[[#This Row],[Fecha]],Regiones[Intervalo],Tabla54[[#This Row],[Intervalo]],Regiones[Skill],'BUPA Seguros'!$L$3)/Tabla54[[#This Row],[Atendidas]],0)</f>
        <v>0</v>
      </c>
      <c r="H6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1" s="21">
        <f>IFERROR(Tabla54[[#This Row],[Atendidas]]/Tabla54[[#This Row],[Recibidas]],0)</f>
        <v>0</v>
      </c>
    </row>
    <row r="652" spans="2:9" x14ac:dyDescent="0.3">
      <c r="B652" s="27">
        <f t="shared" si="25"/>
        <v>46217</v>
      </c>
      <c r="C652" s="18">
        <v>0.45833333333333298</v>
      </c>
      <c r="D652" s="19">
        <f>+SUMIFS(Regiones[Ofrecidas],Regiones[Fecha],Tabla54[[#This Row],[Fecha]],Regiones[Intervalo],Tabla54[[#This Row],[Intervalo]],Regiones[Skill],'BUPA Seguros'!$L$3)</f>
        <v>0</v>
      </c>
      <c r="E652" s="19">
        <f>+SUMIFS(Regiones[Contestadas],Regiones[Fecha],Tabla54[[#This Row],[Fecha]],Regiones[Intervalo],Tabla54[[#This Row],[Intervalo]],Regiones[Skill],'BUPA Seguros'!$L$3)</f>
        <v>0</v>
      </c>
      <c r="F652" s="20">
        <v>43.986234023267791</v>
      </c>
      <c r="G652" s="19">
        <f>IFERROR(SUMIFS(Regiones[TMO],Regiones[Fecha],Tabla54[[#This Row],[Fecha]],Regiones[Intervalo],Tabla54[[#This Row],[Intervalo]],Regiones[Skill],'BUPA Seguros'!$L$3)/Tabla54[[#This Row],[Atendidas]],0)</f>
        <v>0</v>
      </c>
      <c r="H6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2" s="21">
        <f>IFERROR(Tabla54[[#This Row],[Atendidas]]/Tabla54[[#This Row],[Recibidas]],0)</f>
        <v>0</v>
      </c>
    </row>
    <row r="653" spans="2:9" x14ac:dyDescent="0.3">
      <c r="B653" s="25">
        <f t="shared" si="25"/>
        <v>46217</v>
      </c>
      <c r="C653" s="26">
        <v>0.47916666666666702</v>
      </c>
      <c r="D653" s="19">
        <f>+SUMIFS(Regiones[Ofrecidas],Regiones[Fecha],Tabla54[[#This Row],[Fecha]],Regiones[Intervalo],Tabla54[[#This Row],[Intervalo]],Regiones[Skill],'BUPA Seguros'!$L$3)</f>
        <v>0</v>
      </c>
      <c r="E653" s="19">
        <f>+SUMIFS(Regiones[Contestadas],Regiones[Fecha],Tabla54[[#This Row],[Fecha]],Regiones[Intervalo],Tabla54[[#This Row],[Intervalo]],Regiones[Skill],'BUPA Seguros'!$L$3)</f>
        <v>0</v>
      </c>
      <c r="F653" s="20">
        <v>44.819049118762422</v>
      </c>
      <c r="G653" s="19">
        <f>IFERROR(SUMIFS(Regiones[TMO],Regiones[Fecha],Tabla54[[#This Row],[Fecha]],Regiones[Intervalo],Tabla54[[#This Row],[Intervalo]],Regiones[Skill],'BUPA Seguros'!$L$3)/Tabla54[[#This Row],[Atendidas]],0)</f>
        <v>0</v>
      </c>
      <c r="H6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3" s="21">
        <f>IFERROR(Tabla54[[#This Row],[Atendidas]]/Tabla54[[#This Row],[Recibidas]],0)</f>
        <v>0</v>
      </c>
    </row>
    <row r="654" spans="2:9" x14ac:dyDescent="0.3">
      <c r="B654" s="27">
        <f t="shared" si="25"/>
        <v>46217</v>
      </c>
      <c r="C654" s="18">
        <v>0.5</v>
      </c>
      <c r="D654" s="19">
        <f>+SUMIFS(Regiones[Ofrecidas],Regiones[Fecha],Tabla54[[#This Row],[Fecha]],Regiones[Intervalo],Tabla54[[#This Row],[Intervalo]],Regiones[Skill],'BUPA Seguros'!$L$3)</f>
        <v>0</v>
      </c>
      <c r="E654" s="19">
        <f>+SUMIFS(Regiones[Contestadas],Regiones[Fecha],Tabla54[[#This Row],[Fecha]],Regiones[Intervalo],Tabla54[[#This Row],[Intervalo]],Regiones[Skill],'BUPA Seguros'!$L$3)</f>
        <v>0</v>
      </c>
      <c r="F654" s="20">
        <v>44.938022703833091</v>
      </c>
      <c r="G654" s="19">
        <f>IFERROR(SUMIFS(Regiones[TMO],Regiones[Fecha],Tabla54[[#This Row],[Fecha]],Regiones[Intervalo],Tabla54[[#This Row],[Intervalo]],Regiones[Skill],'BUPA Seguros'!$L$3)/Tabla54[[#This Row],[Atendidas]],0)</f>
        <v>0</v>
      </c>
      <c r="H6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4" s="21">
        <f>IFERROR(Tabla54[[#This Row],[Atendidas]]/Tabla54[[#This Row],[Recibidas]],0)</f>
        <v>0</v>
      </c>
    </row>
    <row r="655" spans="2:9" x14ac:dyDescent="0.3">
      <c r="B655" s="25">
        <f t="shared" si="25"/>
        <v>46217</v>
      </c>
      <c r="C655" s="26">
        <v>0.52083333333333304</v>
      </c>
      <c r="D655" s="19">
        <f>+SUMIFS(Regiones[Ofrecidas],Regiones[Fecha],Tabla54[[#This Row],[Fecha]],Regiones[Intervalo],Tabla54[[#This Row],[Intervalo]],Regiones[Skill],'BUPA Seguros'!$L$3)</f>
        <v>0</v>
      </c>
      <c r="E655" s="19">
        <f>+SUMIFS(Regiones[Contestadas],Regiones[Fecha],Tabla54[[#This Row],[Fecha]],Regiones[Intervalo],Tabla54[[#This Row],[Intervalo]],Regiones[Skill],'BUPA Seguros'!$L$3)</f>
        <v>0</v>
      </c>
      <c r="F655" s="20">
        <v>43.901252891074463</v>
      </c>
      <c r="G655" s="19">
        <f>IFERROR(SUMIFS(Regiones[TMO],Regiones[Fecha],Tabla54[[#This Row],[Fecha]],Regiones[Intervalo],Tabla54[[#This Row],[Intervalo]],Regiones[Skill],'BUPA Seguros'!$L$3)/Tabla54[[#This Row],[Atendidas]],0)</f>
        <v>0</v>
      </c>
      <c r="H6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5" s="21">
        <f>IFERROR(Tabla54[[#This Row],[Atendidas]]/Tabla54[[#This Row],[Recibidas]],0)</f>
        <v>0</v>
      </c>
    </row>
    <row r="656" spans="2:9" x14ac:dyDescent="0.3">
      <c r="B656" s="27">
        <f t="shared" si="25"/>
        <v>46217</v>
      </c>
      <c r="C656" s="18">
        <v>0.54166666666666696</v>
      </c>
      <c r="D656" s="19">
        <f>+SUMIFS(Regiones[Ofrecidas],Regiones[Fecha],Tabla54[[#This Row],[Fecha]],Regiones[Intervalo],Tabla54[[#This Row],[Intervalo]],Regiones[Skill],'BUPA Seguros'!$L$3)</f>
        <v>0</v>
      </c>
      <c r="E656" s="19">
        <f>+SUMIFS(Regiones[Contestadas],Regiones[Fecha],Tabla54[[#This Row],[Fecha]],Regiones[Intervalo],Tabla54[[#This Row],[Intervalo]],Regiones[Skill],'BUPA Seguros'!$L$3)</f>
        <v>0</v>
      </c>
      <c r="F656" s="20">
        <v>41.861705718434536</v>
      </c>
      <c r="G656" s="19">
        <f>IFERROR(SUMIFS(Regiones[TMO],Regiones[Fecha],Tabla54[[#This Row],[Fecha]],Regiones[Intervalo],Tabla54[[#This Row],[Intervalo]],Regiones[Skill],'BUPA Seguros'!$L$3)/Tabla54[[#This Row],[Atendidas]],0)</f>
        <v>0</v>
      </c>
      <c r="H6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6" s="21">
        <f>IFERROR(Tabla54[[#This Row],[Atendidas]]/Tabla54[[#This Row],[Recibidas]],0)</f>
        <v>0</v>
      </c>
    </row>
    <row r="657" spans="2:9" x14ac:dyDescent="0.3">
      <c r="B657" s="25">
        <f t="shared" si="25"/>
        <v>46217</v>
      </c>
      <c r="C657" s="26">
        <v>0.5625</v>
      </c>
      <c r="D657" s="19">
        <f>+SUMIFS(Regiones[Ofrecidas],Regiones[Fecha],Tabla54[[#This Row],[Fecha]],Regiones[Intervalo],Tabla54[[#This Row],[Intervalo]],Regiones[Skill],'BUPA Seguros'!$L$3)</f>
        <v>0</v>
      </c>
      <c r="E657" s="19">
        <f>+SUMIFS(Regiones[Contestadas],Regiones[Fecha],Tabla54[[#This Row],[Fecha]],Regiones[Intervalo],Tabla54[[#This Row],[Intervalo]],Regiones[Skill],'BUPA Seguros'!$L$3)</f>
        <v>0</v>
      </c>
      <c r="F657" s="20">
        <v>39.057328356054633</v>
      </c>
      <c r="G657" s="19">
        <f>IFERROR(SUMIFS(Regiones[TMO],Regiones[Fecha],Tabla54[[#This Row],[Fecha]],Regiones[Intervalo],Tabla54[[#This Row],[Intervalo]],Regiones[Skill],'BUPA Seguros'!$L$3)/Tabla54[[#This Row],[Atendidas]],0)</f>
        <v>0</v>
      </c>
      <c r="H6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7" s="21">
        <f>IFERROR(Tabla54[[#This Row],[Atendidas]]/Tabla54[[#This Row],[Recibidas]],0)</f>
        <v>0</v>
      </c>
    </row>
    <row r="658" spans="2:9" x14ac:dyDescent="0.3">
      <c r="B658" s="27">
        <f t="shared" si="25"/>
        <v>46217</v>
      </c>
      <c r="C658" s="18">
        <v>0.58333333333333304</v>
      </c>
      <c r="D658" s="19">
        <f>+SUMIFS(Regiones[Ofrecidas],Regiones[Fecha],Tabla54[[#This Row],[Fecha]],Regiones[Intervalo],Tabla54[[#This Row],[Intervalo]],Regiones[Skill],'BUPA Seguros'!$L$3)</f>
        <v>0</v>
      </c>
      <c r="E658" s="19">
        <f>+SUMIFS(Regiones[Contestadas],Regiones[Fecha],Tabla54[[#This Row],[Fecha]],Regiones[Intervalo],Tabla54[[#This Row],[Intervalo]],Regiones[Skill],'BUPA Seguros'!$L$3)</f>
        <v>0</v>
      </c>
      <c r="F658" s="20">
        <v>36.354928352306729</v>
      </c>
      <c r="G658" s="19">
        <f>IFERROR(SUMIFS(Regiones[TMO],Regiones[Fecha],Tabla54[[#This Row],[Fecha]],Regiones[Intervalo],Tabla54[[#This Row],[Intervalo]],Regiones[Skill],'BUPA Seguros'!$L$3)/Tabla54[[#This Row],[Atendidas]],0)</f>
        <v>0</v>
      </c>
      <c r="H6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8" s="21">
        <f>IFERROR(Tabla54[[#This Row],[Atendidas]]/Tabla54[[#This Row],[Recibidas]],0)</f>
        <v>0</v>
      </c>
    </row>
    <row r="659" spans="2:9" x14ac:dyDescent="0.3">
      <c r="B659" s="25">
        <f t="shared" si="25"/>
        <v>46217</v>
      </c>
      <c r="C659" s="26">
        <v>0.60416666666666696</v>
      </c>
      <c r="D659" s="19">
        <f>+SUMIFS(Regiones[Ofrecidas],Regiones[Fecha],Tabla54[[#This Row],[Fecha]],Regiones[Intervalo],Tabla54[[#This Row],[Intervalo]],Regiones[Skill],'BUPA Seguros'!$L$3)</f>
        <v>0</v>
      </c>
      <c r="E659" s="19">
        <f>+SUMIFS(Regiones[Contestadas],Regiones[Fecha],Tabla54[[#This Row],[Fecha]],Regiones[Intervalo],Tabla54[[#This Row],[Intervalo]],Regiones[Skill],'BUPA Seguros'!$L$3)</f>
        <v>0</v>
      </c>
      <c r="F659" s="20">
        <v>33.873479292261486</v>
      </c>
      <c r="G659" s="19">
        <f>IFERROR(SUMIFS(Regiones[TMO],Regiones[Fecha],Tabla54[[#This Row],[Fecha]],Regiones[Intervalo],Tabla54[[#This Row],[Intervalo]],Regiones[Skill],'BUPA Seguros'!$L$3)/Tabla54[[#This Row],[Atendidas]],0)</f>
        <v>0</v>
      </c>
      <c r="H6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59" s="21">
        <f>IFERROR(Tabla54[[#This Row],[Atendidas]]/Tabla54[[#This Row],[Recibidas]],0)</f>
        <v>0</v>
      </c>
    </row>
    <row r="660" spans="2:9" x14ac:dyDescent="0.3">
      <c r="B660" s="27">
        <f t="shared" si="25"/>
        <v>46217</v>
      </c>
      <c r="C660" s="18">
        <v>0.625</v>
      </c>
      <c r="D660" s="19">
        <f>+SUMIFS(Regiones[Ofrecidas],Regiones[Fecha],Tabla54[[#This Row],[Fecha]],Regiones[Intervalo],Tabla54[[#This Row],[Intervalo]],Regiones[Skill],'BUPA Seguros'!$L$3)</f>
        <v>0</v>
      </c>
      <c r="E660" s="19">
        <f>+SUMIFS(Regiones[Contestadas],Regiones[Fecha],Tabla54[[#This Row],[Fecha]],Regiones[Intervalo],Tabla54[[#This Row],[Intervalo]],Regiones[Skill],'BUPA Seguros'!$L$3)</f>
        <v>0</v>
      </c>
      <c r="F660" s="20">
        <v>32.241841554149538</v>
      </c>
      <c r="G660" s="19">
        <f>IFERROR(SUMIFS(Regiones[TMO],Regiones[Fecha],Tabla54[[#This Row],[Fecha]],Regiones[Intervalo],Tabla54[[#This Row],[Intervalo]],Regiones[Skill],'BUPA Seguros'!$L$3)/Tabla54[[#This Row],[Atendidas]],0)</f>
        <v>0</v>
      </c>
      <c r="H6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0" s="21">
        <f>IFERROR(Tabla54[[#This Row],[Atendidas]]/Tabla54[[#This Row],[Recibidas]],0)</f>
        <v>0</v>
      </c>
    </row>
    <row r="661" spans="2:9" x14ac:dyDescent="0.3">
      <c r="B661" s="25">
        <f t="shared" si="25"/>
        <v>46217</v>
      </c>
      <c r="C661" s="26">
        <v>0.64583333333333304</v>
      </c>
      <c r="D661" s="19">
        <f>+SUMIFS(Regiones[Ofrecidas],Regiones[Fecha],Tabla54[[#This Row],[Fecha]],Regiones[Intervalo],Tabla54[[#This Row],[Intervalo]],Regiones[Skill],'BUPA Seguros'!$L$3)</f>
        <v>0</v>
      </c>
      <c r="E661" s="19">
        <f>+SUMIFS(Regiones[Contestadas],Regiones[Fecha],Tabla54[[#This Row],[Fecha]],Regiones[Intervalo],Tabla54[[#This Row],[Intervalo]],Regiones[Skill],'BUPA Seguros'!$L$3)</f>
        <v>0</v>
      </c>
      <c r="F661" s="20">
        <v>31.052105703442916</v>
      </c>
      <c r="G661" s="19">
        <f>IFERROR(SUMIFS(Regiones[TMO],Regiones[Fecha],Tabla54[[#This Row],[Fecha]],Regiones[Intervalo],Tabla54[[#This Row],[Intervalo]],Regiones[Skill],'BUPA Seguros'!$L$3)/Tabla54[[#This Row],[Atendidas]],0)</f>
        <v>0</v>
      </c>
      <c r="H6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1" s="21">
        <f>IFERROR(Tabla54[[#This Row],[Atendidas]]/Tabla54[[#This Row],[Recibidas]],0)</f>
        <v>0</v>
      </c>
    </row>
    <row r="662" spans="2:9" x14ac:dyDescent="0.3">
      <c r="B662" s="27">
        <f t="shared" si="25"/>
        <v>46217</v>
      </c>
      <c r="C662" s="18">
        <v>0.66666666666666696</v>
      </c>
      <c r="D662" s="19">
        <f>+SUMIFS(Regiones[Ofrecidas],Regiones[Fecha],Tabla54[[#This Row],[Fecha]],Regiones[Intervalo],Tabla54[[#This Row],[Intervalo]],Regiones[Skill],'BUPA Seguros'!$L$3)</f>
        <v>0</v>
      </c>
      <c r="E662" s="19">
        <f>+SUMIFS(Regiones[Contestadas],Regiones[Fecha],Tabla54[[#This Row],[Fecha]],Regiones[Intervalo],Tabla54[[#This Row],[Intervalo]],Regiones[Skill],'BUPA Seguros'!$L$3)</f>
        <v>0</v>
      </c>
      <c r="F662" s="20">
        <v>30.627200042476264</v>
      </c>
      <c r="G662" s="19">
        <f>IFERROR(SUMIFS(Regiones[TMO],Regiones[Fecha],Tabla54[[#This Row],[Fecha]],Regiones[Intervalo],Tabla54[[#This Row],[Intervalo]],Regiones[Skill],'BUPA Seguros'!$L$3)/Tabla54[[#This Row],[Atendidas]],0)</f>
        <v>0</v>
      </c>
      <c r="H6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2" s="21">
        <f>IFERROR(Tabla54[[#This Row],[Atendidas]]/Tabla54[[#This Row],[Recibidas]],0)</f>
        <v>0</v>
      </c>
    </row>
    <row r="663" spans="2:9" x14ac:dyDescent="0.3">
      <c r="B663" s="25">
        <f t="shared" si="25"/>
        <v>46217</v>
      </c>
      <c r="C663" s="26">
        <v>0.6875</v>
      </c>
      <c r="D663" s="19">
        <f>+SUMIFS(Regiones[Ofrecidas],Regiones[Fecha],Tabla54[[#This Row],[Fecha]],Regiones[Intervalo],Tabla54[[#This Row],[Intervalo]],Regiones[Skill],'BUPA Seguros'!$L$3)</f>
        <v>0</v>
      </c>
      <c r="E663" s="19">
        <f>+SUMIFS(Regiones[Contestadas],Regiones[Fecha],Tabla54[[#This Row],[Fecha]],Regiones[Intervalo],Tabla54[[#This Row],[Intervalo]],Regiones[Skill],'BUPA Seguros'!$L$3)</f>
        <v>0</v>
      </c>
      <c r="F663" s="20">
        <v>30.780166080424255</v>
      </c>
      <c r="G663" s="19">
        <f>IFERROR(SUMIFS(Regiones[TMO],Regiones[Fecha],Tabla54[[#This Row],[Fecha]],Regiones[Intervalo],Tabla54[[#This Row],[Intervalo]],Regiones[Skill],'BUPA Seguros'!$L$3)/Tabla54[[#This Row],[Atendidas]],0)</f>
        <v>0</v>
      </c>
      <c r="H6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3" s="21">
        <f>IFERROR(Tabla54[[#This Row],[Atendidas]]/Tabla54[[#This Row],[Recibidas]],0)</f>
        <v>0</v>
      </c>
    </row>
    <row r="664" spans="2:9" x14ac:dyDescent="0.3">
      <c r="B664" s="27">
        <f t="shared" si="25"/>
        <v>46217</v>
      </c>
      <c r="C664" s="18">
        <v>0.70833333333333304</v>
      </c>
      <c r="D664" s="19">
        <f>+SUMIFS(Regiones[Ofrecidas],Regiones[Fecha],Tabla54[[#This Row],[Fecha]],Regiones[Intervalo],Tabla54[[#This Row],[Intervalo]],Regiones[Skill],'BUPA Seguros'!$L$3)</f>
        <v>0</v>
      </c>
      <c r="E664" s="19">
        <f>+SUMIFS(Regiones[Contestadas],Regiones[Fecha],Tabla54[[#This Row],[Fecha]],Regiones[Intervalo],Tabla54[[#This Row],[Intervalo]],Regiones[Skill],'BUPA Seguros'!$L$3)</f>
        <v>0</v>
      </c>
      <c r="F664" s="20">
        <v>31.205071741390906</v>
      </c>
      <c r="G664" s="19">
        <f>IFERROR(SUMIFS(Regiones[TMO],Regiones[Fecha],Tabla54[[#This Row],[Fecha]],Regiones[Intervalo],Tabla54[[#This Row],[Intervalo]],Regiones[Skill],'BUPA Seguros'!$L$3)/Tabla54[[#This Row],[Atendidas]],0)</f>
        <v>0</v>
      </c>
      <c r="H6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4" s="21">
        <f>IFERROR(Tabla54[[#This Row],[Atendidas]]/Tabla54[[#This Row],[Recibidas]],0)</f>
        <v>0</v>
      </c>
    </row>
    <row r="665" spans="2:9" x14ac:dyDescent="0.3">
      <c r="B665" s="25">
        <f t="shared" si="25"/>
        <v>46217</v>
      </c>
      <c r="C665" s="26">
        <v>0.72916666666666696</v>
      </c>
      <c r="D665" s="19">
        <f>+SUMIFS(Regiones[Ofrecidas],Regiones[Fecha],Tabla54[[#This Row],[Fecha]],Regiones[Intervalo],Tabla54[[#This Row],[Intervalo]],Regiones[Skill],'BUPA Seguros'!$L$3)</f>
        <v>0</v>
      </c>
      <c r="E665" s="19">
        <f>+SUMIFS(Regiones[Contestadas],Regiones[Fecha],Tabla54[[#This Row],[Fecha]],Regiones[Intervalo],Tabla54[[#This Row],[Intervalo]],Regiones[Skill],'BUPA Seguros'!$L$3)</f>
        <v>0</v>
      </c>
      <c r="F665" s="20">
        <v>32.505283063948866</v>
      </c>
      <c r="G665" s="19">
        <f>IFERROR(SUMIFS(Regiones[TMO],Regiones[Fecha],Tabla54[[#This Row],[Fecha]],Regiones[Intervalo],Tabla54[[#This Row],[Intervalo]],Regiones[Skill],'BUPA Seguros'!$L$3)/Tabla54[[#This Row],[Atendidas]],0)</f>
        <v>0</v>
      </c>
      <c r="H6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5" s="21">
        <f>IFERROR(Tabla54[[#This Row],[Atendidas]]/Tabla54[[#This Row],[Recibidas]],0)</f>
        <v>0</v>
      </c>
    </row>
    <row r="666" spans="2:9" x14ac:dyDescent="0.3">
      <c r="B666" s="27">
        <f t="shared" si="25"/>
        <v>46217</v>
      </c>
      <c r="C666" s="18">
        <v>0.75</v>
      </c>
      <c r="D666" s="19">
        <f>+SUMIFS(Regiones[Ofrecidas],Regiones[Fecha],Tabla54[[#This Row],[Fecha]],Regiones[Intervalo],Tabla54[[#This Row],[Intervalo]],Regiones[Skill],'BUPA Seguros'!$L$3)</f>
        <v>0</v>
      </c>
      <c r="E666" s="19">
        <f>+SUMIFS(Regiones[Contestadas],Regiones[Fecha],Tabla54[[#This Row],[Fecha]],Regiones[Intervalo],Tabla54[[#This Row],[Intervalo]],Regiones[Skill],'BUPA Seguros'!$L$3)</f>
        <v>0</v>
      </c>
      <c r="F666" s="20">
        <v>0</v>
      </c>
      <c r="G666" s="19">
        <f>IFERROR(SUMIFS(Regiones[TMO],Regiones[Fecha],Tabla54[[#This Row],[Fecha]],Regiones[Intervalo],Tabla54[[#This Row],[Intervalo]],Regiones[Skill],'BUPA Seguros'!$L$3)/Tabla54[[#This Row],[Atendidas]],0)</f>
        <v>0</v>
      </c>
      <c r="H6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6" s="21">
        <f>IFERROR(Tabla54[[#This Row],[Atendidas]]/Tabla54[[#This Row],[Recibidas]],0)</f>
        <v>0</v>
      </c>
    </row>
    <row r="667" spans="2:9" x14ac:dyDescent="0.3">
      <c r="B667" s="25">
        <f t="shared" si="25"/>
        <v>46217</v>
      </c>
      <c r="C667" s="26">
        <v>0.77083333333333304</v>
      </c>
      <c r="D667" s="19">
        <f>+SUMIFS(Regiones[Ofrecidas],Regiones[Fecha],Tabla54[[#This Row],[Fecha]],Regiones[Intervalo],Tabla54[[#This Row],[Intervalo]],Regiones[Skill],'BUPA Seguros'!$L$3)</f>
        <v>0</v>
      </c>
      <c r="E667" s="19">
        <f>+SUMIFS(Regiones[Contestadas],Regiones[Fecha],Tabla54[[#This Row],[Fecha]],Regiones[Intervalo],Tabla54[[#This Row],[Intervalo]],Regiones[Skill],'BUPA Seguros'!$L$3)</f>
        <v>0</v>
      </c>
      <c r="F667" s="20">
        <v>0</v>
      </c>
      <c r="G667" s="19">
        <f>IFERROR(SUMIFS(Regiones[TMO],Regiones[Fecha],Tabla54[[#This Row],[Fecha]],Regiones[Intervalo],Tabla54[[#This Row],[Intervalo]],Regiones[Skill],'BUPA Seguros'!$L$3)/Tabla54[[#This Row],[Atendidas]],0)</f>
        <v>0</v>
      </c>
      <c r="H6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7" s="21">
        <f>IFERROR(Tabla54[[#This Row],[Atendidas]]/Tabla54[[#This Row],[Recibidas]],0)</f>
        <v>0</v>
      </c>
    </row>
    <row r="668" spans="2:9" x14ac:dyDescent="0.3">
      <c r="B668" s="27">
        <f t="shared" si="25"/>
        <v>46217</v>
      </c>
      <c r="C668" s="18">
        <v>0.79166666666666696</v>
      </c>
      <c r="D668" s="19">
        <f>+SUMIFS(Regiones[Ofrecidas],Regiones[Fecha],Tabla54[[#This Row],[Fecha]],Regiones[Intervalo],Tabla54[[#This Row],[Intervalo]],Regiones[Skill],'BUPA Seguros'!$L$3)</f>
        <v>0</v>
      </c>
      <c r="E668" s="19">
        <f>+SUMIFS(Regiones[Contestadas],Regiones[Fecha],Tabla54[[#This Row],[Fecha]],Regiones[Intervalo],Tabla54[[#This Row],[Intervalo]],Regiones[Skill],'BUPA Seguros'!$L$3)</f>
        <v>0</v>
      </c>
      <c r="F668" s="20">
        <v>0</v>
      </c>
      <c r="G668" s="19">
        <f>IFERROR(SUMIFS(Regiones[TMO],Regiones[Fecha],Tabla54[[#This Row],[Fecha]],Regiones[Intervalo],Tabla54[[#This Row],[Intervalo]],Regiones[Skill],'BUPA Seguros'!$L$3)/Tabla54[[#This Row],[Atendidas]],0)</f>
        <v>0</v>
      </c>
      <c r="H6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8" s="21">
        <f>IFERROR(Tabla54[[#This Row],[Atendidas]]/Tabla54[[#This Row],[Recibidas]],0)</f>
        <v>0</v>
      </c>
    </row>
    <row r="669" spans="2:9" x14ac:dyDescent="0.3">
      <c r="B669" s="25">
        <f t="shared" si="25"/>
        <v>46217</v>
      </c>
      <c r="C669" s="26">
        <v>0.8125</v>
      </c>
      <c r="D669" s="19">
        <f>+SUMIFS(Regiones[Ofrecidas],Regiones[Fecha],Tabla54[[#This Row],[Fecha]],Regiones[Intervalo],Tabla54[[#This Row],[Intervalo]],Regiones[Skill],'BUPA Seguros'!$L$3)</f>
        <v>0</v>
      </c>
      <c r="E669" s="19">
        <f>+SUMIFS(Regiones[Contestadas],Regiones[Fecha],Tabla54[[#This Row],[Fecha]],Regiones[Intervalo],Tabla54[[#This Row],[Intervalo]],Regiones[Skill],'BUPA Seguros'!$L$3)</f>
        <v>0</v>
      </c>
      <c r="F669" s="20">
        <v>0</v>
      </c>
      <c r="G669" s="19">
        <f>IFERROR(SUMIFS(Regiones[TMO],Regiones[Fecha],Tabla54[[#This Row],[Fecha]],Regiones[Intervalo],Tabla54[[#This Row],[Intervalo]],Regiones[Skill],'BUPA Seguros'!$L$3)/Tabla54[[#This Row],[Atendidas]],0)</f>
        <v>0</v>
      </c>
      <c r="H6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69" s="21">
        <f>IFERROR(Tabla54[[#This Row],[Atendidas]]/Tabla54[[#This Row],[Recibidas]],0)</f>
        <v>0</v>
      </c>
    </row>
    <row r="670" spans="2:9" x14ac:dyDescent="0.3">
      <c r="B670" s="27">
        <f t="shared" si="25"/>
        <v>46217</v>
      </c>
      <c r="C670" s="18">
        <v>0.83333333333333304</v>
      </c>
      <c r="D670" s="19">
        <f>+SUMIFS(Regiones[Ofrecidas],Regiones[Fecha],Tabla54[[#This Row],[Fecha]],Regiones[Intervalo],Tabla54[[#This Row],[Intervalo]],Regiones[Skill],'BUPA Seguros'!$L$3)</f>
        <v>0</v>
      </c>
      <c r="E670" s="19">
        <f>+SUMIFS(Regiones[Contestadas],Regiones[Fecha],Tabla54[[#This Row],[Fecha]],Regiones[Intervalo],Tabla54[[#This Row],[Intervalo]],Regiones[Skill],'BUPA Seguros'!$L$3)</f>
        <v>0</v>
      </c>
      <c r="F670" s="20">
        <v>0</v>
      </c>
      <c r="G670" s="19">
        <f>IFERROR(SUMIFS(Regiones[TMO],Regiones[Fecha],Tabla54[[#This Row],[Fecha]],Regiones[Intervalo],Tabla54[[#This Row],[Intervalo]],Regiones[Skill],'BUPA Seguros'!$L$3)/Tabla54[[#This Row],[Atendidas]],0)</f>
        <v>0</v>
      </c>
      <c r="H6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0" s="21">
        <f>IFERROR(Tabla54[[#This Row],[Atendidas]]/Tabla54[[#This Row],[Recibidas]],0)</f>
        <v>0</v>
      </c>
    </row>
    <row r="671" spans="2:9" x14ac:dyDescent="0.3">
      <c r="B671" s="25">
        <f t="shared" si="25"/>
        <v>46217</v>
      </c>
      <c r="C671" s="26">
        <v>0.85416666666666696</v>
      </c>
      <c r="D671" s="19">
        <f>+SUMIFS(Regiones[Ofrecidas],Regiones[Fecha],Tabla54[[#This Row],[Fecha]],Regiones[Intervalo],Tabla54[[#This Row],[Intervalo]],Regiones[Skill],'BUPA Seguros'!$L$3)</f>
        <v>0</v>
      </c>
      <c r="E671" s="19">
        <f>+SUMIFS(Regiones[Contestadas],Regiones[Fecha],Tabla54[[#This Row],[Fecha]],Regiones[Intervalo],Tabla54[[#This Row],[Intervalo]],Regiones[Skill],'BUPA Seguros'!$L$3)</f>
        <v>0</v>
      </c>
      <c r="F671" s="20">
        <v>0</v>
      </c>
      <c r="G671" s="19">
        <f>IFERROR(SUMIFS(Regiones[TMO],Regiones[Fecha],Tabla54[[#This Row],[Fecha]],Regiones[Intervalo],Tabla54[[#This Row],[Intervalo]],Regiones[Skill],'BUPA Seguros'!$L$3)/Tabla54[[#This Row],[Atendidas]],0)</f>
        <v>0</v>
      </c>
      <c r="H6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1" s="21">
        <f>IFERROR(Tabla54[[#This Row],[Atendidas]]/Tabla54[[#This Row],[Recibidas]],0)</f>
        <v>0</v>
      </c>
    </row>
    <row r="672" spans="2:9" x14ac:dyDescent="0.3">
      <c r="B672" s="27">
        <f t="shared" si="25"/>
        <v>46217</v>
      </c>
      <c r="C672" s="18">
        <v>0.875</v>
      </c>
      <c r="D672" s="19">
        <f>+SUMIFS(Regiones[Ofrecidas],Regiones[Fecha],Tabla54[[#This Row],[Fecha]],Regiones[Intervalo],Tabla54[[#This Row],[Intervalo]],Regiones[Skill],'BUPA Seguros'!$L$3)</f>
        <v>0</v>
      </c>
      <c r="E672" s="19">
        <f>+SUMIFS(Regiones[Contestadas],Regiones[Fecha],Tabla54[[#This Row],[Fecha]],Regiones[Intervalo],Tabla54[[#This Row],[Intervalo]],Regiones[Skill],'BUPA Seguros'!$L$3)</f>
        <v>0</v>
      </c>
      <c r="F672" s="20">
        <v>0</v>
      </c>
      <c r="G672" s="19">
        <f>IFERROR(SUMIFS(Regiones[TMO],Regiones[Fecha],Tabla54[[#This Row],[Fecha]],Regiones[Intervalo],Tabla54[[#This Row],[Intervalo]],Regiones[Skill],'BUPA Seguros'!$L$3)/Tabla54[[#This Row],[Atendidas]],0)</f>
        <v>0</v>
      </c>
      <c r="H6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2" s="21">
        <f>IFERROR(Tabla54[[#This Row],[Atendidas]]/Tabla54[[#This Row],[Recibidas]],0)</f>
        <v>0</v>
      </c>
    </row>
    <row r="673" spans="2:9" x14ac:dyDescent="0.3">
      <c r="B673" s="25">
        <f t="shared" si="25"/>
        <v>46217</v>
      </c>
      <c r="C673" s="26">
        <v>0.89583333333333304</v>
      </c>
      <c r="D673" s="19">
        <f>+SUMIFS(Regiones[Ofrecidas],Regiones[Fecha],Tabla54[[#This Row],[Fecha]],Regiones[Intervalo],Tabla54[[#This Row],[Intervalo]],Regiones[Skill],'BUPA Seguros'!$L$3)</f>
        <v>0</v>
      </c>
      <c r="E673" s="19">
        <f>+SUMIFS(Regiones[Contestadas],Regiones[Fecha],Tabla54[[#This Row],[Fecha]],Regiones[Intervalo],Tabla54[[#This Row],[Intervalo]],Regiones[Skill],'BUPA Seguros'!$L$3)</f>
        <v>0</v>
      </c>
      <c r="F673" s="20">
        <v>0</v>
      </c>
      <c r="G673" s="19">
        <f>IFERROR(SUMIFS(Regiones[TMO],Regiones[Fecha],Tabla54[[#This Row],[Fecha]],Regiones[Intervalo],Tabla54[[#This Row],[Intervalo]],Regiones[Skill],'BUPA Seguros'!$L$3)/Tabla54[[#This Row],[Atendidas]],0)</f>
        <v>0</v>
      </c>
      <c r="H6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3" s="21">
        <f>IFERROR(Tabla54[[#This Row],[Atendidas]]/Tabla54[[#This Row],[Recibidas]],0)</f>
        <v>0</v>
      </c>
    </row>
    <row r="674" spans="2:9" x14ac:dyDescent="0.3">
      <c r="B674" s="27">
        <f t="shared" si="25"/>
        <v>46217</v>
      </c>
      <c r="C674" s="18">
        <v>0.91666666666666696</v>
      </c>
      <c r="D674" s="19">
        <f>+SUMIFS(Regiones[Ofrecidas],Regiones[Fecha],Tabla54[[#This Row],[Fecha]],Regiones[Intervalo],Tabla54[[#This Row],[Intervalo]],Regiones[Skill],'BUPA Seguros'!$L$3)</f>
        <v>0</v>
      </c>
      <c r="E674" s="19">
        <f>+SUMIFS(Regiones[Contestadas],Regiones[Fecha],Tabla54[[#This Row],[Fecha]],Regiones[Intervalo],Tabla54[[#This Row],[Intervalo]],Regiones[Skill],'BUPA Seguros'!$L$3)</f>
        <v>0</v>
      </c>
      <c r="F674" s="20">
        <v>0</v>
      </c>
      <c r="G674" s="19">
        <f>IFERROR(SUMIFS(Regiones[TMO],Regiones[Fecha],Tabla54[[#This Row],[Fecha]],Regiones[Intervalo],Tabla54[[#This Row],[Intervalo]],Regiones[Skill],'BUPA Seguros'!$L$3)/Tabla54[[#This Row],[Atendidas]],0)</f>
        <v>0</v>
      </c>
      <c r="H6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4" s="21">
        <f>IFERROR(Tabla54[[#This Row],[Atendidas]]/Tabla54[[#This Row],[Recibidas]],0)</f>
        <v>0</v>
      </c>
    </row>
    <row r="675" spans="2:9" x14ac:dyDescent="0.3">
      <c r="B675" s="25">
        <f t="shared" si="25"/>
        <v>46217</v>
      </c>
      <c r="C675" s="26">
        <v>0.9375</v>
      </c>
      <c r="D675" s="19">
        <f>+SUMIFS(Regiones[Ofrecidas],Regiones[Fecha],Tabla54[[#This Row],[Fecha]],Regiones[Intervalo],Tabla54[[#This Row],[Intervalo]],Regiones[Skill],'BUPA Seguros'!$L$3)</f>
        <v>0</v>
      </c>
      <c r="E675" s="19">
        <f>+SUMIFS(Regiones[Contestadas],Regiones[Fecha],Tabla54[[#This Row],[Fecha]],Regiones[Intervalo],Tabla54[[#This Row],[Intervalo]],Regiones[Skill],'BUPA Seguros'!$L$3)</f>
        <v>0</v>
      </c>
      <c r="F675" s="20">
        <v>0</v>
      </c>
      <c r="G675" s="19">
        <f>IFERROR(SUMIFS(Regiones[TMO],Regiones[Fecha],Tabla54[[#This Row],[Fecha]],Regiones[Intervalo],Tabla54[[#This Row],[Intervalo]],Regiones[Skill],'BUPA Seguros'!$L$3)/Tabla54[[#This Row],[Atendidas]],0)</f>
        <v>0</v>
      </c>
      <c r="H6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5" s="21">
        <f>IFERROR(Tabla54[[#This Row],[Atendidas]]/Tabla54[[#This Row],[Recibidas]],0)</f>
        <v>0</v>
      </c>
    </row>
    <row r="676" spans="2:9" x14ac:dyDescent="0.3">
      <c r="B676" s="27">
        <f t="shared" si="25"/>
        <v>46217</v>
      </c>
      <c r="C676" s="18">
        <v>0.95833333333333304</v>
      </c>
      <c r="D676" s="19">
        <f>+SUMIFS(Regiones[Ofrecidas],Regiones[Fecha],Tabla54[[#This Row],[Fecha]],Regiones[Intervalo],Tabla54[[#This Row],[Intervalo]],Regiones[Skill],'BUPA Seguros'!$L$3)</f>
        <v>0</v>
      </c>
      <c r="E676" s="19">
        <f>+SUMIFS(Regiones[Contestadas],Regiones[Fecha],Tabla54[[#This Row],[Fecha]],Regiones[Intervalo],Tabla54[[#This Row],[Intervalo]],Regiones[Skill],'BUPA Seguros'!$L$3)</f>
        <v>0</v>
      </c>
      <c r="F676" s="20">
        <v>0</v>
      </c>
      <c r="G676" s="19">
        <f>IFERROR(SUMIFS(Regiones[TMO],Regiones[Fecha],Tabla54[[#This Row],[Fecha]],Regiones[Intervalo],Tabla54[[#This Row],[Intervalo]],Regiones[Skill],'BUPA Seguros'!$L$3)/Tabla54[[#This Row],[Atendidas]],0)</f>
        <v>0</v>
      </c>
      <c r="H6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6" s="21">
        <f>IFERROR(Tabla54[[#This Row],[Atendidas]]/Tabla54[[#This Row],[Recibidas]],0)</f>
        <v>0</v>
      </c>
    </row>
    <row r="677" spans="2:9" x14ac:dyDescent="0.3">
      <c r="B677" s="25">
        <f t="shared" si="25"/>
        <v>46217</v>
      </c>
      <c r="C677" s="26">
        <v>0.97916666666666696</v>
      </c>
      <c r="D677" s="19">
        <f>+SUMIFS(Regiones[Ofrecidas],Regiones[Fecha],Tabla54[[#This Row],[Fecha]],Regiones[Intervalo],Tabla54[[#This Row],[Intervalo]],Regiones[Skill],'BUPA Seguros'!$L$3)</f>
        <v>0</v>
      </c>
      <c r="E677" s="19">
        <f>+SUMIFS(Regiones[Contestadas],Regiones[Fecha],Tabla54[[#This Row],[Fecha]],Regiones[Intervalo],Tabla54[[#This Row],[Intervalo]],Regiones[Skill],'BUPA Seguros'!$L$3)</f>
        <v>0</v>
      </c>
      <c r="F677" s="20">
        <v>0</v>
      </c>
      <c r="G677" s="19">
        <f>IFERROR(SUMIFS(Regiones[TMO],Regiones[Fecha],Tabla54[[#This Row],[Fecha]],Regiones[Intervalo],Tabla54[[#This Row],[Intervalo]],Regiones[Skill],'BUPA Seguros'!$L$3)/Tabla54[[#This Row],[Atendidas]],0)</f>
        <v>0</v>
      </c>
      <c r="H6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7" s="21">
        <f>IFERROR(Tabla54[[#This Row],[Atendidas]]/Tabla54[[#This Row],[Recibidas]],0)</f>
        <v>0</v>
      </c>
    </row>
    <row r="678" spans="2:9" x14ac:dyDescent="0.3">
      <c r="B678" s="27">
        <f t="shared" ref="B678" si="26">+B677+1</f>
        <v>46218</v>
      </c>
      <c r="C678" s="18">
        <v>0</v>
      </c>
      <c r="D678" s="19">
        <f>+SUMIFS(Regiones[Ofrecidas],Regiones[Fecha],Tabla54[[#This Row],[Fecha]],Regiones[Intervalo],Tabla54[[#This Row],[Intervalo]],Regiones[Skill],'BUPA Seguros'!$L$3)</f>
        <v>0</v>
      </c>
      <c r="E678" s="19">
        <f>+SUMIFS(Regiones[Contestadas],Regiones[Fecha],Tabla54[[#This Row],[Fecha]],Regiones[Intervalo],Tabla54[[#This Row],[Intervalo]],Regiones[Skill],'BUPA Seguros'!$L$3)</f>
        <v>0</v>
      </c>
      <c r="F678" s="20">
        <v>0</v>
      </c>
      <c r="G678" s="19">
        <f>IFERROR(SUMIFS(Regiones[TMO],Regiones[Fecha],Tabla54[[#This Row],[Fecha]],Regiones[Intervalo],Tabla54[[#This Row],[Intervalo]],Regiones[Skill],'BUPA Seguros'!$L$3)/Tabla54[[#This Row],[Atendidas]],0)</f>
        <v>0</v>
      </c>
      <c r="H6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8" s="21">
        <f>IFERROR(Tabla54[[#This Row],[Atendidas]]/Tabla54[[#This Row],[Recibidas]],0)</f>
        <v>0</v>
      </c>
    </row>
    <row r="679" spans="2:9" x14ac:dyDescent="0.3">
      <c r="B679" s="25">
        <f t="shared" ref="B679" si="27">+B678</f>
        <v>46218</v>
      </c>
      <c r="C679" s="26">
        <v>2.0833333333333332E-2</v>
      </c>
      <c r="D679" s="19">
        <f>+SUMIFS(Regiones[Ofrecidas],Regiones[Fecha],Tabla54[[#This Row],[Fecha]],Regiones[Intervalo],Tabla54[[#This Row],[Intervalo]],Regiones[Skill],'BUPA Seguros'!$L$3)</f>
        <v>0</v>
      </c>
      <c r="E679" s="19">
        <f>+SUMIFS(Regiones[Contestadas],Regiones[Fecha],Tabla54[[#This Row],[Fecha]],Regiones[Intervalo],Tabla54[[#This Row],[Intervalo]],Regiones[Skill],'BUPA Seguros'!$L$3)</f>
        <v>0</v>
      </c>
      <c r="F679" s="20">
        <v>0</v>
      </c>
      <c r="G679" s="19">
        <f>IFERROR(SUMIFS(Regiones[TMO],Regiones[Fecha],Tabla54[[#This Row],[Fecha]],Regiones[Intervalo],Tabla54[[#This Row],[Intervalo]],Regiones[Skill],'BUPA Seguros'!$L$3)/Tabla54[[#This Row],[Atendidas]],0)</f>
        <v>0</v>
      </c>
      <c r="H6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79" s="21">
        <f>IFERROR(Tabla54[[#This Row],[Atendidas]]/Tabla54[[#This Row],[Recibidas]],0)</f>
        <v>0</v>
      </c>
    </row>
    <row r="680" spans="2:9" x14ac:dyDescent="0.3">
      <c r="B680" s="27">
        <f t="shared" si="25"/>
        <v>46218</v>
      </c>
      <c r="C680" s="18">
        <v>4.1666666666666699E-2</v>
      </c>
      <c r="D680" s="19">
        <f>+SUMIFS(Regiones[Ofrecidas],Regiones[Fecha],Tabla54[[#This Row],[Fecha]],Regiones[Intervalo],Tabla54[[#This Row],[Intervalo]],Regiones[Skill],'BUPA Seguros'!$L$3)</f>
        <v>0</v>
      </c>
      <c r="E680" s="19">
        <f>+SUMIFS(Regiones[Contestadas],Regiones[Fecha],Tabla54[[#This Row],[Fecha]],Regiones[Intervalo],Tabla54[[#This Row],[Intervalo]],Regiones[Skill],'BUPA Seguros'!$L$3)</f>
        <v>0</v>
      </c>
      <c r="F680" s="20">
        <v>0</v>
      </c>
      <c r="G680" s="19">
        <f>IFERROR(SUMIFS(Regiones[TMO],Regiones[Fecha],Tabla54[[#This Row],[Fecha]],Regiones[Intervalo],Tabla54[[#This Row],[Intervalo]],Regiones[Skill],'BUPA Seguros'!$L$3)/Tabla54[[#This Row],[Atendidas]],0)</f>
        <v>0</v>
      </c>
      <c r="H6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0" s="21">
        <f>IFERROR(Tabla54[[#This Row],[Atendidas]]/Tabla54[[#This Row],[Recibidas]],0)</f>
        <v>0</v>
      </c>
    </row>
    <row r="681" spans="2:9" x14ac:dyDescent="0.3">
      <c r="B681" s="25">
        <f t="shared" si="25"/>
        <v>46218</v>
      </c>
      <c r="C681" s="26">
        <v>6.25E-2</v>
      </c>
      <c r="D681" s="19">
        <f>+SUMIFS(Regiones[Ofrecidas],Regiones[Fecha],Tabla54[[#This Row],[Fecha]],Regiones[Intervalo],Tabla54[[#This Row],[Intervalo]],Regiones[Skill],'BUPA Seguros'!$L$3)</f>
        <v>0</v>
      </c>
      <c r="E681" s="19">
        <f>+SUMIFS(Regiones[Contestadas],Regiones[Fecha],Tabla54[[#This Row],[Fecha]],Regiones[Intervalo],Tabla54[[#This Row],[Intervalo]],Regiones[Skill],'BUPA Seguros'!$L$3)</f>
        <v>0</v>
      </c>
      <c r="F681" s="20">
        <v>0</v>
      </c>
      <c r="G681" s="19">
        <f>IFERROR(SUMIFS(Regiones[TMO],Regiones[Fecha],Tabla54[[#This Row],[Fecha]],Regiones[Intervalo],Tabla54[[#This Row],[Intervalo]],Regiones[Skill],'BUPA Seguros'!$L$3)/Tabla54[[#This Row],[Atendidas]],0)</f>
        <v>0</v>
      </c>
      <c r="H6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1" s="21">
        <f>IFERROR(Tabla54[[#This Row],[Atendidas]]/Tabla54[[#This Row],[Recibidas]],0)</f>
        <v>0</v>
      </c>
    </row>
    <row r="682" spans="2:9" x14ac:dyDescent="0.3">
      <c r="B682" s="27">
        <f t="shared" si="25"/>
        <v>46218</v>
      </c>
      <c r="C682" s="18">
        <v>8.3333333333333301E-2</v>
      </c>
      <c r="D682" s="19">
        <f>+SUMIFS(Regiones[Ofrecidas],Regiones[Fecha],Tabla54[[#This Row],[Fecha]],Regiones[Intervalo],Tabla54[[#This Row],[Intervalo]],Regiones[Skill],'BUPA Seguros'!$L$3)</f>
        <v>0</v>
      </c>
      <c r="E682" s="19">
        <f>+SUMIFS(Regiones[Contestadas],Regiones[Fecha],Tabla54[[#This Row],[Fecha]],Regiones[Intervalo],Tabla54[[#This Row],[Intervalo]],Regiones[Skill],'BUPA Seguros'!$L$3)</f>
        <v>0</v>
      </c>
      <c r="F682" s="20">
        <v>0</v>
      </c>
      <c r="G682" s="19">
        <f>IFERROR(SUMIFS(Regiones[TMO],Regiones[Fecha],Tabla54[[#This Row],[Fecha]],Regiones[Intervalo],Tabla54[[#This Row],[Intervalo]],Regiones[Skill],'BUPA Seguros'!$L$3)/Tabla54[[#This Row],[Atendidas]],0)</f>
        <v>0</v>
      </c>
      <c r="H6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2" s="21">
        <f>IFERROR(Tabla54[[#This Row],[Atendidas]]/Tabla54[[#This Row],[Recibidas]],0)</f>
        <v>0</v>
      </c>
    </row>
    <row r="683" spans="2:9" x14ac:dyDescent="0.3">
      <c r="B683" s="25">
        <f t="shared" si="25"/>
        <v>46218</v>
      </c>
      <c r="C683" s="26">
        <v>0.104166666666667</v>
      </c>
      <c r="D683" s="19">
        <f>+SUMIFS(Regiones[Ofrecidas],Regiones[Fecha],Tabla54[[#This Row],[Fecha]],Regiones[Intervalo],Tabla54[[#This Row],[Intervalo]],Regiones[Skill],'BUPA Seguros'!$L$3)</f>
        <v>0</v>
      </c>
      <c r="E683" s="19">
        <f>+SUMIFS(Regiones[Contestadas],Regiones[Fecha],Tabla54[[#This Row],[Fecha]],Regiones[Intervalo],Tabla54[[#This Row],[Intervalo]],Regiones[Skill],'BUPA Seguros'!$L$3)</f>
        <v>0</v>
      </c>
      <c r="F683" s="20">
        <v>0</v>
      </c>
      <c r="G683" s="19">
        <f>IFERROR(SUMIFS(Regiones[TMO],Regiones[Fecha],Tabla54[[#This Row],[Fecha]],Regiones[Intervalo],Tabla54[[#This Row],[Intervalo]],Regiones[Skill],'BUPA Seguros'!$L$3)/Tabla54[[#This Row],[Atendidas]],0)</f>
        <v>0</v>
      </c>
      <c r="H6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3" s="21">
        <f>IFERROR(Tabla54[[#This Row],[Atendidas]]/Tabla54[[#This Row],[Recibidas]],0)</f>
        <v>0</v>
      </c>
    </row>
    <row r="684" spans="2:9" x14ac:dyDescent="0.3">
      <c r="B684" s="27">
        <f t="shared" si="25"/>
        <v>46218</v>
      </c>
      <c r="C684" s="18">
        <v>0.125</v>
      </c>
      <c r="D684" s="19">
        <f>+SUMIFS(Regiones[Ofrecidas],Regiones[Fecha],Tabla54[[#This Row],[Fecha]],Regiones[Intervalo],Tabla54[[#This Row],[Intervalo]],Regiones[Skill],'BUPA Seguros'!$L$3)</f>
        <v>0</v>
      </c>
      <c r="E684" s="19">
        <f>+SUMIFS(Regiones[Contestadas],Regiones[Fecha],Tabla54[[#This Row],[Fecha]],Regiones[Intervalo],Tabla54[[#This Row],[Intervalo]],Regiones[Skill],'BUPA Seguros'!$L$3)</f>
        <v>0</v>
      </c>
      <c r="F684" s="20">
        <v>0</v>
      </c>
      <c r="G684" s="19">
        <f>IFERROR(SUMIFS(Regiones[TMO],Regiones[Fecha],Tabla54[[#This Row],[Fecha]],Regiones[Intervalo],Tabla54[[#This Row],[Intervalo]],Regiones[Skill],'BUPA Seguros'!$L$3)/Tabla54[[#This Row],[Atendidas]],0)</f>
        <v>0</v>
      </c>
      <c r="H6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4" s="21">
        <f>IFERROR(Tabla54[[#This Row],[Atendidas]]/Tabla54[[#This Row],[Recibidas]],0)</f>
        <v>0</v>
      </c>
    </row>
    <row r="685" spans="2:9" x14ac:dyDescent="0.3">
      <c r="B685" s="25">
        <f t="shared" si="25"/>
        <v>46218</v>
      </c>
      <c r="C685" s="26">
        <v>0.14583333333333301</v>
      </c>
      <c r="D685" s="19">
        <f>+SUMIFS(Regiones[Ofrecidas],Regiones[Fecha],Tabla54[[#This Row],[Fecha]],Regiones[Intervalo],Tabla54[[#This Row],[Intervalo]],Regiones[Skill],'BUPA Seguros'!$L$3)</f>
        <v>0</v>
      </c>
      <c r="E685" s="19">
        <f>+SUMIFS(Regiones[Contestadas],Regiones[Fecha],Tabla54[[#This Row],[Fecha]],Regiones[Intervalo],Tabla54[[#This Row],[Intervalo]],Regiones[Skill],'BUPA Seguros'!$L$3)</f>
        <v>0</v>
      </c>
      <c r="F685" s="20">
        <v>0</v>
      </c>
      <c r="G685" s="19">
        <f>IFERROR(SUMIFS(Regiones[TMO],Regiones[Fecha],Tabla54[[#This Row],[Fecha]],Regiones[Intervalo],Tabla54[[#This Row],[Intervalo]],Regiones[Skill],'BUPA Seguros'!$L$3)/Tabla54[[#This Row],[Atendidas]],0)</f>
        <v>0</v>
      </c>
      <c r="H6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5" s="21">
        <f>IFERROR(Tabla54[[#This Row],[Atendidas]]/Tabla54[[#This Row],[Recibidas]],0)</f>
        <v>0</v>
      </c>
    </row>
    <row r="686" spans="2:9" x14ac:dyDescent="0.3">
      <c r="B686" s="27">
        <f t="shared" si="25"/>
        <v>46218</v>
      </c>
      <c r="C686" s="18">
        <v>0.16666666666666699</v>
      </c>
      <c r="D686" s="19">
        <f>+SUMIFS(Regiones[Ofrecidas],Regiones[Fecha],Tabla54[[#This Row],[Fecha]],Regiones[Intervalo],Tabla54[[#This Row],[Intervalo]],Regiones[Skill],'BUPA Seguros'!$L$3)</f>
        <v>0</v>
      </c>
      <c r="E686" s="19">
        <f>+SUMIFS(Regiones[Contestadas],Regiones[Fecha],Tabla54[[#This Row],[Fecha]],Regiones[Intervalo],Tabla54[[#This Row],[Intervalo]],Regiones[Skill],'BUPA Seguros'!$L$3)</f>
        <v>0</v>
      </c>
      <c r="F686" s="20">
        <v>0</v>
      </c>
      <c r="G686" s="19">
        <f>IFERROR(SUMIFS(Regiones[TMO],Regiones[Fecha],Tabla54[[#This Row],[Fecha]],Regiones[Intervalo],Tabla54[[#This Row],[Intervalo]],Regiones[Skill],'BUPA Seguros'!$L$3)/Tabla54[[#This Row],[Atendidas]],0)</f>
        <v>0</v>
      </c>
      <c r="H6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6" s="21">
        <f>IFERROR(Tabla54[[#This Row],[Atendidas]]/Tabla54[[#This Row],[Recibidas]],0)</f>
        <v>0</v>
      </c>
    </row>
    <row r="687" spans="2:9" x14ac:dyDescent="0.3">
      <c r="B687" s="25">
        <f t="shared" si="25"/>
        <v>46218</v>
      </c>
      <c r="C687" s="26">
        <v>0.1875</v>
      </c>
      <c r="D687" s="19">
        <f>+SUMIFS(Regiones[Ofrecidas],Regiones[Fecha],Tabla54[[#This Row],[Fecha]],Regiones[Intervalo],Tabla54[[#This Row],[Intervalo]],Regiones[Skill],'BUPA Seguros'!$L$3)</f>
        <v>0</v>
      </c>
      <c r="E687" s="19">
        <f>+SUMIFS(Regiones[Contestadas],Regiones[Fecha],Tabla54[[#This Row],[Fecha]],Regiones[Intervalo],Tabla54[[#This Row],[Intervalo]],Regiones[Skill],'BUPA Seguros'!$L$3)</f>
        <v>0</v>
      </c>
      <c r="F687" s="20">
        <v>0</v>
      </c>
      <c r="G687" s="19">
        <f>IFERROR(SUMIFS(Regiones[TMO],Regiones[Fecha],Tabla54[[#This Row],[Fecha]],Regiones[Intervalo],Tabla54[[#This Row],[Intervalo]],Regiones[Skill],'BUPA Seguros'!$L$3)/Tabla54[[#This Row],[Atendidas]],0)</f>
        <v>0</v>
      </c>
      <c r="H6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7" s="21">
        <f>IFERROR(Tabla54[[#This Row],[Atendidas]]/Tabla54[[#This Row],[Recibidas]],0)</f>
        <v>0</v>
      </c>
    </row>
    <row r="688" spans="2:9" x14ac:dyDescent="0.3">
      <c r="B688" s="27">
        <f t="shared" si="25"/>
        <v>46218</v>
      </c>
      <c r="C688" s="18">
        <v>0.20833333333333301</v>
      </c>
      <c r="D688" s="19">
        <f>+SUMIFS(Regiones[Ofrecidas],Regiones[Fecha],Tabla54[[#This Row],[Fecha]],Regiones[Intervalo],Tabla54[[#This Row],[Intervalo]],Regiones[Skill],'BUPA Seguros'!$L$3)</f>
        <v>0</v>
      </c>
      <c r="E688" s="19">
        <f>+SUMIFS(Regiones[Contestadas],Regiones[Fecha],Tabla54[[#This Row],[Fecha]],Regiones[Intervalo],Tabla54[[#This Row],[Intervalo]],Regiones[Skill],'BUPA Seguros'!$L$3)</f>
        <v>0</v>
      </c>
      <c r="F688" s="20">
        <v>0</v>
      </c>
      <c r="G688" s="19">
        <f>IFERROR(SUMIFS(Regiones[TMO],Regiones[Fecha],Tabla54[[#This Row],[Fecha]],Regiones[Intervalo],Tabla54[[#This Row],[Intervalo]],Regiones[Skill],'BUPA Seguros'!$L$3)/Tabla54[[#This Row],[Atendidas]],0)</f>
        <v>0</v>
      </c>
      <c r="H6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8" s="21">
        <f>IFERROR(Tabla54[[#This Row],[Atendidas]]/Tabla54[[#This Row],[Recibidas]],0)</f>
        <v>0</v>
      </c>
    </row>
    <row r="689" spans="2:9" x14ac:dyDescent="0.3">
      <c r="B689" s="25">
        <f t="shared" si="25"/>
        <v>46218</v>
      </c>
      <c r="C689" s="26">
        <v>0.22916666666666699</v>
      </c>
      <c r="D689" s="19">
        <f>+SUMIFS(Regiones[Ofrecidas],Regiones[Fecha],Tabla54[[#This Row],[Fecha]],Regiones[Intervalo],Tabla54[[#This Row],[Intervalo]],Regiones[Skill],'BUPA Seguros'!$L$3)</f>
        <v>0</v>
      </c>
      <c r="E689" s="19">
        <f>+SUMIFS(Regiones[Contestadas],Regiones[Fecha],Tabla54[[#This Row],[Fecha]],Regiones[Intervalo],Tabla54[[#This Row],[Intervalo]],Regiones[Skill],'BUPA Seguros'!$L$3)</f>
        <v>0</v>
      </c>
      <c r="F689" s="20">
        <v>0</v>
      </c>
      <c r="G689" s="19">
        <f>IFERROR(SUMIFS(Regiones[TMO],Regiones[Fecha],Tabla54[[#This Row],[Fecha]],Regiones[Intervalo],Tabla54[[#This Row],[Intervalo]],Regiones[Skill],'BUPA Seguros'!$L$3)/Tabla54[[#This Row],[Atendidas]],0)</f>
        <v>0</v>
      </c>
      <c r="H6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89" s="21">
        <f>IFERROR(Tabla54[[#This Row],[Atendidas]]/Tabla54[[#This Row],[Recibidas]],0)</f>
        <v>0</v>
      </c>
    </row>
    <row r="690" spans="2:9" x14ac:dyDescent="0.3">
      <c r="B690" s="27">
        <f t="shared" si="25"/>
        <v>46218</v>
      </c>
      <c r="C690" s="18">
        <v>0.25</v>
      </c>
      <c r="D690" s="19">
        <f>+SUMIFS(Regiones[Ofrecidas],Regiones[Fecha],Tabla54[[#This Row],[Fecha]],Regiones[Intervalo],Tabla54[[#This Row],[Intervalo]],Regiones[Skill],'BUPA Seguros'!$L$3)</f>
        <v>0</v>
      </c>
      <c r="E690" s="19">
        <f>+SUMIFS(Regiones[Contestadas],Regiones[Fecha],Tabla54[[#This Row],[Fecha]],Regiones[Intervalo],Tabla54[[#This Row],[Intervalo]],Regiones[Skill],'BUPA Seguros'!$L$3)</f>
        <v>0</v>
      </c>
      <c r="F690" s="20">
        <v>0</v>
      </c>
      <c r="G690" s="19">
        <f>IFERROR(SUMIFS(Regiones[TMO],Regiones[Fecha],Tabla54[[#This Row],[Fecha]],Regiones[Intervalo],Tabla54[[#This Row],[Intervalo]],Regiones[Skill],'BUPA Seguros'!$L$3)/Tabla54[[#This Row],[Atendidas]],0)</f>
        <v>0</v>
      </c>
      <c r="H6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0" s="21">
        <f>IFERROR(Tabla54[[#This Row],[Atendidas]]/Tabla54[[#This Row],[Recibidas]],0)</f>
        <v>0</v>
      </c>
    </row>
    <row r="691" spans="2:9" x14ac:dyDescent="0.3">
      <c r="B691" s="25">
        <f t="shared" si="25"/>
        <v>46218</v>
      </c>
      <c r="C691" s="26">
        <v>0.27083333333333298</v>
      </c>
      <c r="D691" s="19">
        <f>+SUMIFS(Regiones[Ofrecidas],Regiones[Fecha],Tabla54[[#This Row],[Fecha]],Regiones[Intervalo],Tabla54[[#This Row],[Intervalo]],Regiones[Skill],'BUPA Seguros'!$L$3)</f>
        <v>0</v>
      </c>
      <c r="E691" s="19">
        <f>+SUMIFS(Regiones[Contestadas],Regiones[Fecha],Tabla54[[#This Row],[Fecha]],Regiones[Intervalo],Tabla54[[#This Row],[Intervalo]],Regiones[Skill],'BUPA Seguros'!$L$3)</f>
        <v>0</v>
      </c>
      <c r="F691" s="20">
        <v>0</v>
      </c>
      <c r="G691" s="19">
        <f>IFERROR(SUMIFS(Regiones[TMO],Regiones[Fecha],Tabla54[[#This Row],[Fecha]],Regiones[Intervalo],Tabla54[[#This Row],[Intervalo]],Regiones[Skill],'BUPA Seguros'!$L$3)/Tabla54[[#This Row],[Atendidas]],0)</f>
        <v>0</v>
      </c>
      <c r="H6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1" s="21">
        <f>IFERROR(Tabla54[[#This Row],[Atendidas]]/Tabla54[[#This Row],[Recibidas]],0)</f>
        <v>0</v>
      </c>
    </row>
    <row r="692" spans="2:9" x14ac:dyDescent="0.3">
      <c r="B692" s="27">
        <f t="shared" si="25"/>
        <v>46218</v>
      </c>
      <c r="C692" s="18">
        <v>0.29166666666666702</v>
      </c>
      <c r="D692" s="19">
        <f>+SUMIFS(Regiones[Ofrecidas],Regiones[Fecha],Tabla54[[#This Row],[Fecha]],Regiones[Intervalo],Tabla54[[#This Row],[Intervalo]],Regiones[Skill],'BUPA Seguros'!$L$3)</f>
        <v>0</v>
      </c>
      <c r="E692" s="19">
        <f>+SUMIFS(Regiones[Contestadas],Regiones[Fecha],Tabla54[[#This Row],[Fecha]],Regiones[Intervalo],Tabla54[[#This Row],[Intervalo]],Regiones[Skill],'BUPA Seguros'!$L$3)</f>
        <v>0</v>
      </c>
      <c r="F692" s="20">
        <v>0</v>
      </c>
      <c r="G692" s="19">
        <f>IFERROR(SUMIFS(Regiones[TMO],Regiones[Fecha],Tabla54[[#This Row],[Fecha]],Regiones[Intervalo],Tabla54[[#This Row],[Intervalo]],Regiones[Skill],'BUPA Seguros'!$L$3)/Tabla54[[#This Row],[Atendidas]],0)</f>
        <v>0</v>
      </c>
      <c r="H6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2" s="21">
        <f>IFERROR(Tabla54[[#This Row],[Atendidas]]/Tabla54[[#This Row],[Recibidas]],0)</f>
        <v>0</v>
      </c>
    </row>
    <row r="693" spans="2:9" x14ac:dyDescent="0.3">
      <c r="B693" s="25">
        <f t="shared" si="25"/>
        <v>46218</v>
      </c>
      <c r="C693" s="26">
        <v>0.3125</v>
      </c>
      <c r="D693" s="19">
        <f>+SUMIFS(Regiones[Ofrecidas],Regiones[Fecha],Tabla54[[#This Row],[Fecha]],Regiones[Intervalo],Tabla54[[#This Row],[Intervalo]],Regiones[Skill],'BUPA Seguros'!$L$3)</f>
        <v>0</v>
      </c>
      <c r="E693" s="19">
        <f>+SUMIFS(Regiones[Contestadas],Regiones[Fecha],Tabla54[[#This Row],[Fecha]],Regiones[Intervalo],Tabla54[[#This Row],[Intervalo]],Regiones[Skill],'BUPA Seguros'!$L$3)</f>
        <v>0</v>
      </c>
      <c r="F693" s="20">
        <v>0</v>
      </c>
      <c r="G693" s="19">
        <f>IFERROR(SUMIFS(Regiones[TMO],Regiones[Fecha],Tabla54[[#This Row],[Fecha]],Regiones[Intervalo],Tabla54[[#This Row],[Intervalo]],Regiones[Skill],'BUPA Seguros'!$L$3)/Tabla54[[#This Row],[Atendidas]],0)</f>
        <v>0</v>
      </c>
      <c r="H6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3" s="21">
        <f>IFERROR(Tabla54[[#This Row],[Atendidas]]/Tabla54[[#This Row],[Recibidas]],0)</f>
        <v>0</v>
      </c>
    </row>
    <row r="694" spans="2:9" x14ac:dyDescent="0.3">
      <c r="B694" s="27">
        <f t="shared" si="25"/>
        <v>46218</v>
      </c>
      <c r="C694" s="18">
        <v>0.33333333333333298</v>
      </c>
      <c r="D694" s="19">
        <f>+SUMIFS(Regiones[Ofrecidas],Regiones[Fecha],Tabla54[[#This Row],[Fecha]],Regiones[Intervalo],Tabla54[[#This Row],[Intervalo]],Regiones[Skill],'BUPA Seguros'!$L$3)</f>
        <v>0</v>
      </c>
      <c r="E694" s="19">
        <f>+SUMIFS(Regiones[Contestadas],Regiones[Fecha],Tabla54[[#This Row],[Fecha]],Regiones[Intervalo],Tabla54[[#This Row],[Intervalo]],Regiones[Skill],'BUPA Seguros'!$L$3)</f>
        <v>0</v>
      </c>
      <c r="F694" s="20">
        <v>0</v>
      </c>
      <c r="G694" s="19">
        <f>IFERROR(SUMIFS(Regiones[TMO],Regiones[Fecha],Tabla54[[#This Row],[Fecha]],Regiones[Intervalo],Tabla54[[#This Row],[Intervalo]],Regiones[Skill],'BUPA Seguros'!$L$3)/Tabla54[[#This Row],[Atendidas]],0)</f>
        <v>0</v>
      </c>
      <c r="H6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4" s="21">
        <f>IFERROR(Tabla54[[#This Row],[Atendidas]]/Tabla54[[#This Row],[Recibidas]],0)</f>
        <v>0</v>
      </c>
    </row>
    <row r="695" spans="2:9" x14ac:dyDescent="0.3">
      <c r="B695" s="25">
        <f t="shared" ref="B695:B758" si="28">+B694</f>
        <v>46218</v>
      </c>
      <c r="C695" s="26">
        <v>0.35416666666666702</v>
      </c>
      <c r="D695" s="19">
        <f>+SUMIFS(Regiones[Ofrecidas],Regiones[Fecha],Tabla54[[#This Row],[Fecha]],Regiones[Intervalo],Tabla54[[#This Row],[Intervalo]],Regiones[Skill],'BUPA Seguros'!$L$3)</f>
        <v>0</v>
      </c>
      <c r="E695" s="19">
        <f>+SUMIFS(Regiones[Contestadas],Regiones[Fecha],Tabla54[[#This Row],[Fecha]],Regiones[Intervalo],Tabla54[[#This Row],[Intervalo]],Regiones[Skill],'BUPA Seguros'!$L$3)</f>
        <v>0</v>
      </c>
      <c r="F695" s="20">
        <v>0</v>
      </c>
      <c r="G695" s="19">
        <f>IFERROR(SUMIFS(Regiones[TMO],Regiones[Fecha],Tabla54[[#This Row],[Fecha]],Regiones[Intervalo],Tabla54[[#This Row],[Intervalo]],Regiones[Skill],'BUPA Seguros'!$L$3)/Tabla54[[#This Row],[Atendidas]],0)</f>
        <v>0</v>
      </c>
      <c r="H6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5" s="21">
        <f>IFERROR(Tabla54[[#This Row],[Atendidas]]/Tabla54[[#This Row],[Recibidas]],0)</f>
        <v>0</v>
      </c>
    </row>
    <row r="696" spans="2:9" x14ac:dyDescent="0.3">
      <c r="B696" s="27">
        <f t="shared" si="28"/>
        <v>46218</v>
      </c>
      <c r="C696" s="18">
        <v>0.375</v>
      </c>
      <c r="D696" s="19">
        <f>+SUMIFS(Regiones[Ofrecidas],Regiones[Fecha],Tabla54[[#This Row],[Fecha]],Regiones[Intervalo],Tabla54[[#This Row],[Intervalo]],Regiones[Skill],'BUPA Seguros'!$L$3)</f>
        <v>0</v>
      </c>
      <c r="E696" s="19">
        <f>+SUMIFS(Regiones[Contestadas],Regiones[Fecha],Tabla54[[#This Row],[Fecha]],Regiones[Intervalo],Tabla54[[#This Row],[Intervalo]],Regiones[Skill],'BUPA Seguros'!$L$3)</f>
        <v>0</v>
      </c>
      <c r="F696" s="20">
        <v>37.660317302531084</v>
      </c>
      <c r="G696" s="19">
        <f>IFERROR(SUMIFS(Regiones[TMO],Regiones[Fecha],Tabla54[[#This Row],[Fecha]],Regiones[Intervalo],Tabla54[[#This Row],[Intervalo]],Regiones[Skill],'BUPA Seguros'!$L$3)/Tabla54[[#This Row],[Atendidas]],0)</f>
        <v>0</v>
      </c>
      <c r="H6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6" s="21">
        <f>IFERROR(Tabla54[[#This Row],[Atendidas]]/Tabla54[[#This Row],[Recibidas]],0)</f>
        <v>0</v>
      </c>
    </row>
    <row r="697" spans="2:9" x14ac:dyDescent="0.3">
      <c r="B697" s="25">
        <f t="shared" si="28"/>
        <v>46218</v>
      </c>
      <c r="C697" s="26">
        <v>0.39583333333333298</v>
      </c>
      <c r="D697" s="19">
        <f>+SUMIFS(Regiones[Ofrecidas],Regiones[Fecha],Tabla54[[#This Row],[Fecha]],Regiones[Intervalo],Tabla54[[#This Row],[Intervalo]],Regiones[Skill],'BUPA Seguros'!$L$3)</f>
        <v>0</v>
      </c>
      <c r="E697" s="19">
        <f>+SUMIFS(Regiones[Contestadas],Regiones[Fecha],Tabla54[[#This Row],[Fecha]],Regiones[Intervalo],Tabla54[[#This Row],[Intervalo]],Regiones[Skill],'BUPA Seguros'!$L$3)</f>
        <v>0</v>
      </c>
      <c r="F697" s="20">
        <v>37.394697155963101</v>
      </c>
      <c r="G697" s="19">
        <f>IFERROR(SUMIFS(Regiones[TMO],Regiones[Fecha],Tabla54[[#This Row],[Fecha]],Regiones[Intervalo],Tabla54[[#This Row],[Intervalo]],Regiones[Skill],'BUPA Seguros'!$L$3)/Tabla54[[#This Row],[Atendidas]],0)</f>
        <v>0</v>
      </c>
      <c r="H6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7" s="21">
        <f>IFERROR(Tabla54[[#This Row],[Atendidas]]/Tabla54[[#This Row],[Recibidas]],0)</f>
        <v>0</v>
      </c>
    </row>
    <row r="698" spans="2:9" x14ac:dyDescent="0.3">
      <c r="B698" s="27">
        <f t="shared" si="28"/>
        <v>46218</v>
      </c>
      <c r="C698" s="18">
        <v>0.41666666666666702</v>
      </c>
      <c r="D698" s="19">
        <f>+SUMIFS(Regiones[Ofrecidas],Regiones[Fecha],Tabla54[[#This Row],[Fecha]],Regiones[Intervalo],Tabla54[[#This Row],[Intervalo]],Regiones[Skill],'BUPA Seguros'!$L$3)</f>
        <v>0</v>
      </c>
      <c r="E698" s="19">
        <f>+SUMIFS(Regiones[Contestadas],Regiones[Fecha],Tabla54[[#This Row],[Fecha]],Regiones[Intervalo],Tabla54[[#This Row],[Intervalo]],Regiones[Skill],'BUPA Seguros'!$L$3)</f>
        <v>0</v>
      </c>
      <c r="F698" s="20">
        <v>37.614122494432308</v>
      </c>
      <c r="G698" s="19">
        <f>IFERROR(SUMIFS(Regiones[TMO],Regiones[Fecha],Tabla54[[#This Row],[Fecha]],Regiones[Intervalo],Tabla54[[#This Row],[Intervalo]],Regiones[Skill],'BUPA Seguros'!$L$3)/Tabla54[[#This Row],[Atendidas]],0)</f>
        <v>0</v>
      </c>
      <c r="H6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8" s="21">
        <f>IFERROR(Tabla54[[#This Row],[Atendidas]]/Tabla54[[#This Row],[Recibidas]],0)</f>
        <v>0</v>
      </c>
    </row>
    <row r="699" spans="2:9" x14ac:dyDescent="0.3">
      <c r="B699" s="25">
        <f t="shared" si="28"/>
        <v>46218</v>
      </c>
      <c r="C699" s="26">
        <v>0.4375</v>
      </c>
      <c r="D699" s="19">
        <f>+SUMIFS(Regiones[Ofrecidas],Regiones[Fecha],Tabla54[[#This Row],[Fecha]],Regiones[Intervalo],Tabla54[[#This Row],[Intervalo]],Regiones[Skill],'BUPA Seguros'!$L$3)</f>
        <v>0</v>
      </c>
      <c r="E699" s="19">
        <f>+SUMIFS(Regiones[Contestadas],Regiones[Fecha],Tabla54[[#This Row],[Fecha]],Regiones[Intervalo],Tabla54[[#This Row],[Intervalo]],Regiones[Skill],'BUPA Seguros'!$L$3)</f>
        <v>0</v>
      </c>
      <c r="F699" s="20">
        <v>39.519658328507013</v>
      </c>
      <c r="G699" s="19">
        <f>IFERROR(SUMIFS(Regiones[TMO],Regiones[Fecha],Tabla54[[#This Row],[Fecha]],Regiones[Intervalo],Tabla54[[#This Row],[Intervalo]],Regiones[Skill],'BUPA Seguros'!$L$3)/Tabla54[[#This Row],[Atendidas]],0)</f>
        <v>0</v>
      </c>
      <c r="H6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699" s="21">
        <f>IFERROR(Tabla54[[#This Row],[Atendidas]]/Tabla54[[#This Row],[Recibidas]],0)</f>
        <v>0</v>
      </c>
    </row>
    <row r="700" spans="2:9" x14ac:dyDescent="0.3">
      <c r="B700" s="27">
        <f t="shared" si="28"/>
        <v>46218</v>
      </c>
      <c r="C700" s="18">
        <v>0.45833333333333298</v>
      </c>
      <c r="D700" s="19">
        <f>+SUMIFS(Regiones[Ofrecidas],Regiones[Fecha],Tabla54[[#This Row],[Fecha]],Regiones[Intervalo],Tabla54[[#This Row],[Intervalo]],Regiones[Skill],'BUPA Seguros'!$L$3)</f>
        <v>0</v>
      </c>
      <c r="E700" s="19">
        <f>+SUMIFS(Regiones[Contestadas],Regiones[Fecha],Tabla54[[#This Row],[Fecha]],Regiones[Intervalo],Tabla54[[#This Row],[Intervalo]],Regiones[Skill],'BUPA Seguros'!$L$3)</f>
        <v>0</v>
      </c>
      <c r="F700" s="20">
        <v>40.420457086433245</v>
      </c>
      <c r="G700" s="19">
        <f>IFERROR(SUMIFS(Regiones[TMO],Regiones[Fecha],Tabla54[[#This Row],[Fecha]],Regiones[Intervalo],Tabla54[[#This Row],[Intervalo]],Regiones[Skill],'BUPA Seguros'!$L$3)/Tabla54[[#This Row],[Atendidas]],0)</f>
        <v>0</v>
      </c>
      <c r="H7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0" s="21">
        <f>IFERROR(Tabla54[[#This Row],[Atendidas]]/Tabla54[[#This Row],[Recibidas]],0)</f>
        <v>0</v>
      </c>
    </row>
    <row r="701" spans="2:9" x14ac:dyDescent="0.3">
      <c r="B701" s="25">
        <f t="shared" si="28"/>
        <v>46218</v>
      </c>
      <c r="C701" s="26">
        <v>0.47916666666666702</v>
      </c>
      <c r="D701" s="19">
        <f>+SUMIFS(Regiones[Ofrecidas],Regiones[Fecha],Tabla54[[#This Row],[Fecha]],Regiones[Intervalo],Tabla54[[#This Row],[Intervalo]],Regiones[Skill],'BUPA Seguros'!$L$3)</f>
        <v>0</v>
      </c>
      <c r="E701" s="19">
        <f>+SUMIFS(Regiones[Contestadas],Regiones[Fecha],Tabla54[[#This Row],[Fecha]],Regiones[Intervalo],Tabla54[[#This Row],[Intervalo]],Regiones[Skill],'BUPA Seguros'!$L$3)</f>
        <v>0</v>
      </c>
      <c r="F701" s="20">
        <v>41.159574016013728</v>
      </c>
      <c r="G701" s="19">
        <f>IFERROR(SUMIFS(Regiones[TMO],Regiones[Fecha],Tabla54[[#This Row],[Fecha]],Regiones[Intervalo],Tabla54[[#This Row],[Intervalo]],Regiones[Skill],'BUPA Seguros'!$L$3)/Tabla54[[#This Row],[Atendidas]],0)</f>
        <v>0</v>
      </c>
      <c r="H7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1" s="21">
        <f>IFERROR(Tabla54[[#This Row],[Atendidas]]/Tabla54[[#This Row],[Recibidas]],0)</f>
        <v>0</v>
      </c>
    </row>
    <row r="702" spans="2:9" x14ac:dyDescent="0.3">
      <c r="B702" s="27">
        <f t="shared" si="28"/>
        <v>46218</v>
      </c>
      <c r="C702" s="18">
        <v>0.5</v>
      </c>
      <c r="D702" s="19">
        <f>+SUMIFS(Regiones[Ofrecidas],Regiones[Fecha],Tabla54[[#This Row],[Fecha]],Regiones[Intervalo],Tabla54[[#This Row],[Intervalo]],Regiones[Skill],'BUPA Seguros'!$L$3)</f>
        <v>0</v>
      </c>
      <c r="E702" s="19">
        <f>+SUMIFS(Regiones[Contestadas],Regiones[Fecha],Tabla54[[#This Row],[Fecha]],Regiones[Intervalo],Tabla54[[#This Row],[Intervalo]],Regiones[Skill],'BUPA Seguros'!$L$3)</f>
        <v>0</v>
      </c>
      <c r="F702" s="20">
        <v>40.220279584671871</v>
      </c>
      <c r="G702" s="19">
        <f>IFERROR(SUMIFS(Regiones[TMO],Regiones[Fecha],Tabla54[[#This Row],[Fecha]],Regiones[Intervalo],Tabla54[[#This Row],[Intervalo]],Regiones[Skill],'BUPA Seguros'!$L$3)/Tabla54[[#This Row],[Atendidas]],0)</f>
        <v>0</v>
      </c>
      <c r="H7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2" s="21">
        <f>IFERROR(Tabla54[[#This Row],[Atendidas]]/Tabla54[[#This Row],[Recibidas]],0)</f>
        <v>0</v>
      </c>
    </row>
    <row r="703" spans="2:9" x14ac:dyDescent="0.3">
      <c r="B703" s="25">
        <f t="shared" si="28"/>
        <v>46218</v>
      </c>
      <c r="C703" s="26">
        <v>0.52083333333333304</v>
      </c>
      <c r="D703" s="19">
        <f>+SUMIFS(Regiones[Ofrecidas],Regiones[Fecha],Tabla54[[#This Row],[Fecha]],Regiones[Intervalo],Tabla54[[#This Row],[Intervalo]],Regiones[Skill],'BUPA Seguros'!$L$3)</f>
        <v>0</v>
      </c>
      <c r="E703" s="19">
        <f>+SUMIFS(Regiones[Contestadas],Regiones[Fecha],Tabla54[[#This Row],[Fecha]],Regiones[Intervalo],Tabla54[[#This Row],[Intervalo]],Regiones[Skill],'BUPA Seguros'!$L$3)</f>
        <v>0</v>
      </c>
      <c r="F703" s="20">
        <v>38.695850917412095</v>
      </c>
      <c r="G703" s="19">
        <f>IFERROR(SUMIFS(Regiones[TMO],Regiones[Fecha],Tabla54[[#This Row],[Fecha]],Regiones[Intervalo],Tabla54[[#This Row],[Intervalo]],Regiones[Skill],'BUPA Seguros'!$L$3)/Tabla54[[#This Row],[Atendidas]],0)</f>
        <v>0</v>
      </c>
      <c r="H7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3" s="21">
        <f>IFERROR(Tabla54[[#This Row],[Atendidas]]/Tabla54[[#This Row],[Recibidas]],0)</f>
        <v>0</v>
      </c>
    </row>
    <row r="704" spans="2:9" x14ac:dyDescent="0.3">
      <c r="B704" s="27">
        <f t="shared" si="28"/>
        <v>46218</v>
      </c>
      <c r="C704" s="18">
        <v>0.54166666666666696</v>
      </c>
      <c r="D704" s="19">
        <f>+SUMIFS(Regiones[Ofrecidas],Regiones[Fecha],Tabla54[[#This Row],[Fecha]],Regiones[Intervalo],Tabla54[[#This Row],[Intervalo]],Regiones[Skill],'BUPA Seguros'!$L$3)</f>
        <v>0</v>
      </c>
      <c r="E704" s="19">
        <f>+SUMIFS(Regiones[Contestadas],Regiones[Fecha],Tabla54[[#This Row],[Fecha]],Regiones[Intervalo],Tabla54[[#This Row],[Intervalo]],Regiones[Skill],'BUPA Seguros'!$L$3)</f>
        <v>0</v>
      </c>
      <c r="F704" s="20">
        <v>36.355313973740522</v>
      </c>
      <c r="G704" s="19">
        <f>IFERROR(SUMIFS(Regiones[TMO],Regiones[Fecha],Tabla54[[#This Row],[Fecha]],Regiones[Intervalo],Tabla54[[#This Row],[Intervalo]],Regiones[Skill],'BUPA Seguros'!$L$3)/Tabla54[[#This Row],[Atendidas]],0)</f>
        <v>0</v>
      </c>
      <c r="H7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4" s="21">
        <f>IFERROR(Tabla54[[#This Row],[Atendidas]]/Tabla54[[#This Row],[Recibidas]],0)</f>
        <v>0</v>
      </c>
    </row>
    <row r="705" spans="2:9" x14ac:dyDescent="0.3">
      <c r="B705" s="25">
        <f t="shared" si="28"/>
        <v>46218</v>
      </c>
      <c r="C705" s="26">
        <v>0.5625</v>
      </c>
      <c r="D705" s="19">
        <f>+SUMIFS(Regiones[Ofrecidas],Regiones[Fecha],Tabla54[[#This Row],[Fecha]],Regiones[Intervalo],Tabla54[[#This Row],[Intervalo]],Regiones[Skill],'BUPA Seguros'!$L$3)</f>
        <v>0</v>
      </c>
      <c r="E705" s="19">
        <f>+SUMIFS(Regiones[Contestadas],Regiones[Fecha],Tabla54[[#This Row],[Fecha]],Regiones[Intervalo],Tabla54[[#This Row],[Intervalo]],Regiones[Skill],'BUPA Seguros'!$L$3)</f>
        <v>0</v>
      </c>
      <c r="F705" s="20">
        <v>34.630707804719371</v>
      </c>
      <c r="G705" s="19">
        <f>IFERROR(SUMIFS(Regiones[TMO],Regiones[Fecha],Tabla54[[#This Row],[Fecha]],Regiones[Intervalo],Tabla54[[#This Row],[Intervalo]],Regiones[Skill],'BUPA Seguros'!$L$3)/Tabla54[[#This Row],[Atendidas]],0)</f>
        <v>0</v>
      </c>
      <c r="H7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5" s="21">
        <f>IFERROR(Tabla54[[#This Row],[Atendidas]]/Tabla54[[#This Row],[Recibidas]],0)</f>
        <v>0</v>
      </c>
    </row>
    <row r="706" spans="2:9" x14ac:dyDescent="0.3">
      <c r="B706" s="27">
        <f t="shared" si="28"/>
        <v>46218</v>
      </c>
      <c r="C706" s="18">
        <v>0.58333333333333304</v>
      </c>
      <c r="D706" s="19">
        <f>+SUMIFS(Regiones[Ofrecidas],Regiones[Fecha],Tabla54[[#This Row],[Fecha]],Regiones[Intervalo],Tabla54[[#This Row],[Intervalo]],Regiones[Skill],'BUPA Seguros'!$L$3)</f>
        <v>0</v>
      </c>
      <c r="E706" s="19">
        <f>+SUMIFS(Regiones[Contestadas],Regiones[Fecha],Tabla54[[#This Row],[Fecha]],Regiones[Intervalo],Tabla54[[#This Row],[Intervalo]],Regiones[Skill],'BUPA Seguros'!$L$3)</f>
        <v>0</v>
      </c>
      <c r="F706" s="20">
        <v>33.106279137459602</v>
      </c>
      <c r="G706" s="19">
        <f>IFERROR(SUMIFS(Regiones[TMO],Regiones[Fecha],Tabla54[[#This Row],[Fecha]],Regiones[Intervalo],Tabla54[[#This Row],[Intervalo]],Regiones[Skill],'BUPA Seguros'!$L$3)/Tabla54[[#This Row],[Atendidas]],0)</f>
        <v>0</v>
      </c>
      <c r="H7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6" s="21">
        <f>IFERROR(Tabla54[[#This Row],[Atendidas]]/Tabla54[[#This Row],[Recibidas]],0)</f>
        <v>0</v>
      </c>
    </row>
    <row r="707" spans="2:9" x14ac:dyDescent="0.3">
      <c r="B707" s="25">
        <f t="shared" si="28"/>
        <v>46218</v>
      </c>
      <c r="C707" s="26">
        <v>0.60416666666666696</v>
      </c>
      <c r="D707" s="19">
        <f>+SUMIFS(Regiones[Ofrecidas],Regiones[Fecha],Tabla54[[#This Row],[Fecha]],Regiones[Intervalo],Tabla54[[#This Row],[Intervalo]],Regiones[Skill],'BUPA Seguros'!$L$3)</f>
        <v>0</v>
      </c>
      <c r="E707" s="19">
        <f>+SUMIFS(Regiones[Contestadas],Regiones[Fecha],Tabla54[[#This Row],[Fecha]],Regiones[Intervalo],Tabla54[[#This Row],[Intervalo]],Regiones[Skill],'BUPA Seguros'!$L$3)</f>
        <v>0</v>
      </c>
      <c r="F707" s="20">
        <v>32.166984706117724</v>
      </c>
      <c r="G707" s="19">
        <f>IFERROR(SUMIFS(Regiones[TMO],Regiones[Fecha],Tabla54[[#This Row],[Fecha]],Regiones[Intervalo],Tabla54[[#This Row],[Intervalo]],Regiones[Skill],'BUPA Seguros'!$L$3)/Tabla54[[#This Row],[Atendidas]],0)</f>
        <v>0</v>
      </c>
      <c r="H7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7" s="21">
        <f>IFERROR(Tabla54[[#This Row],[Atendidas]]/Tabla54[[#This Row],[Recibidas]],0)</f>
        <v>0</v>
      </c>
    </row>
    <row r="708" spans="2:9" x14ac:dyDescent="0.3">
      <c r="B708" s="27">
        <f t="shared" si="28"/>
        <v>46218</v>
      </c>
      <c r="C708" s="18">
        <v>0.625</v>
      </c>
      <c r="D708" s="19">
        <f>+SUMIFS(Regiones[Ofrecidas],Regiones[Fecha],Tabla54[[#This Row],[Fecha]],Regiones[Intervalo],Tabla54[[#This Row],[Intervalo]],Regiones[Skill],'BUPA Seguros'!$L$3)</f>
        <v>0</v>
      </c>
      <c r="E708" s="19">
        <f>+SUMIFS(Regiones[Contestadas],Regiones[Fecha],Tabla54[[#This Row],[Fecha]],Regiones[Intervalo],Tabla54[[#This Row],[Intervalo]],Regiones[Skill],'BUPA Seguros'!$L$3)</f>
        <v>0</v>
      </c>
      <c r="F708" s="20">
        <v>31.058309311746989</v>
      </c>
      <c r="G708" s="19">
        <f>IFERROR(SUMIFS(Regiones[TMO],Regiones[Fecha],Tabla54[[#This Row],[Fecha]],Regiones[Intervalo],Tabla54[[#This Row],[Intervalo]],Regiones[Skill],'BUPA Seguros'!$L$3)/Tabla54[[#This Row],[Atendidas]],0)</f>
        <v>0</v>
      </c>
      <c r="H7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8" s="21">
        <f>IFERROR(Tabla54[[#This Row],[Atendidas]]/Tabla54[[#This Row],[Recibidas]],0)</f>
        <v>0</v>
      </c>
    </row>
    <row r="709" spans="2:9" x14ac:dyDescent="0.3">
      <c r="B709" s="25">
        <f t="shared" si="28"/>
        <v>46218</v>
      </c>
      <c r="C709" s="26">
        <v>0.64583333333333304</v>
      </c>
      <c r="D709" s="19">
        <f>+SUMIFS(Regiones[Ofrecidas],Regiones[Fecha],Tabla54[[#This Row],[Fecha]],Regiones[Intervalo],Tabla54[[#This Row],[Intervalo]],Regiones[Skill],'BUPA Seguros'!$L$3)</f>
        <v>0</v>
      </c>
      <c r="E709" s="19">
        <f>+SUMIFS(Regiones[Contestadas],Regiones[Fecha],Tabla54[[#This Row],[Fecha]],Regiones[Intervalo],Tabla54[[#This Row],[Intervalo]],Regiones[Skill],'BUPA Seguros'!$L$3)</f>
        <v>0</v>
      </c>
      <c r="F709" s="20">
        <v>29.857244301178678</v>
      </c>
      <c r="G709" s="19">
        <f>IFERROR(SUMIFS(Regiones[TMO],Regiones[Fecha],Tabla54[[#This Row],[Fecha]],Regiones[Intervalo],Tabla54[[#This Row],[Intervalo]],Regiones[Skill],'BUPA Seguros'!$L$3)/Tabla54[[#This Row],[Atendidas]],0)</f>
        <v>0</v>
      </c>
      <c r="H7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09" s="21">
        <f>IFERROR(Tabla54[[#This Row],[Atendidas]]/Tabla54[[#This Row],[Recibidas]],0)</f>
        <v>0</v>
      </c>
    </row>
    <row r="710" spans="2:9" x14ac:dyDescent="0.3">
      <c r="B710" s="27">
        <f t="shared" si="28"/>
        <v>46218</v>
      </c>
      <c r="C710" s="18">
        <v>0.66666666666666696</v>
      </c>
      <c r="D710" s="19">
        <f>+SUMIFS(Regiones[Ofrecidas],Regiones[Fecha],Tabla54[[#This Row],[Fecha]],Regiones[Intervalo],Tabla54[[#This Row],[Intervalo]],Regiones[Skill],'BUPA Seguros'!$L$3)</f>
        <v>0</v>
      </c>
      <c r="E710" s="19">
        <f>+SUMIFS(Regiones[Contestadas],Regiones[Fecha],Tabla54[[#This Row],[Fecha]],Regiones[Intervalo],Tabla54[[#This Row],[Intervalo]],Regiones[Skill],'BUPA Seguros'!$L$3)</f>
        <v>0</v>
      </c>
      <c r="F710" s="20">
        <v>28.263523421770746</v>
      </c>
      <c r="G710" s="19">
        <f>IFERROR(SUMIFS(Regiones[TMO],Regiones[Fecha],Tabla54[[#This Row],[Fecha]],Regiones[Intervalo],Tabla54[[#This Row],[Intervalo]],Regiones[Skill],'BUPA Seguros'!$L$3)/Tabla54[[#This Row],[Atendidas]],0)</f>
        <v>0</v>
      </c>
      <c r="H7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0" s="21">
        <f>IFERROR(Tabla54[[#This Row],[Atendidas]]/Tabla54[[#This Row],[Recibidas]],0)</f>
        <v>0</v>
      </c>
    </row>
    <row r="711" spans="2:9" x14ac:dyDescent="0.3">
      <c r="B711" s="25">
        <f t="shared" si="28"/>
        <v>46218</v>
      </c>
      <c r="C711" s="26">
        <v>0.6875</v>
      </c>
      <c r="D711" s="19">
        <f>+SUMIFS(Regiones[Ofrecidas],Regiones[Fecha],Tabla54[[#This Row],[Fecha]],Regiones[Intervalo],Tabla54[[#This Row],[Intervalo]],Regiones[Skill],'BUPA Seguros'!$L$3)</f>
        <v>0</v>
      </c>
      <c r="E711" s="19">
        <f>+SUMIFS(Regiones[Contestadas],Regiones[Fecha],Tabla54[[#This Row],[Fecha]],Regiones[Intervalo],Tabla54[[#This Row],[Intervalo]],Regiones[Skill],'BUPA Seguros'!$L$3)</f>
        <v>0</v>
      </c>
      <c r="F711" s="20">
        <v>27.000865333737405</v>
      </c>
      <c r="G711" s="19">
        <f>IFERROR(SUMIFS(Regiones[TMO],Regiones[Fecha],Tabla54[[#This Row],[Fecha]],Regiones[Intervalo],Tabla54[[#This Row],[Intervalo]],Regiones[Skill],'BUPA Seguros'!$L$3)/Tabla54[[#This Row],[Atendidas]],0)</f>
        <v>0</v>
      </c>
      <c r="H7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1" s="21">
        <f>IFERROR(Tabla54[[#This Row],[Atendidas]]/Tabla54[[#This Row],[Recibidas]],0)</f>
        <v>0</v>
      </c>
    </row>
    <row r="712" spans="2:9" x14ac:dyDescent="0.3">
      <c r="B712" s="27">
        <f t="shared" si="28"/>
        <v>46218</v>
      </c>
      <c r="C712" s="18">
        <v>0.70833333333333304</v>
      </c>
      <c r="D712" s="19">
        <f>+SUMIFS(Regiones[Ofrecidas],Regiones[Fecha],Tabla54[[#This Row],[Fecha]],Regiones[Intervalo],Tabla54[[#This Row],[Intervalo]],Regiones[Skill],'BUPA Seguros'!$L$3)</f>
        <v>0</v>
      </c>
      <c r="E712" s="19">
        <f>+SUMIFS(Regiones[Contestadas],Regiones[Fecha],Tabla54[[#This Row],[Fecha]],Regiones[Intervalo],Tabla54[[#This Row],[Intervalo]],Regiones[Skill],'BUPA Seguros'!$L$3)</f>
        <v>0</v>
      </c>
      <c r="F712" s="20">
        <v>25.314754838131904</v>
      </c>
      <c r="G712" s="19">
        <f>IFERROR(SUMIFS(Regiones[TMO],Regiones[Fecha],Tabla54[[#This Row],[Fecha]],Regiones[Intervalo],Tabla54[[#This Row],[Intervalo]],Regiones[Skill],'BUPA Seguros'!$L$3)/Tabla54[[#This Row],[Atendidas]],0)</f>
        <v>0</v>
      </c>
      <c r="H7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2" s="21">
        <f>IFERROR(Tabla54[[#This Row],[Atendidas]]/Tabla54[[#This Row],[Recibidas]],0)</f>
        <v>0</v>
      </c>
    </row>
    <row r="713" spans="2:9" x14ac:dyDescent="0.3">
      <c r="B713" s="25">
        <f t="shared" si="28"/>
        <v>46218</v>
      </c>
      <c r="C713" s="26">
        <v>0.72916666666666696</v>
      </c>
      <c r="D713" s="19">
        <f>+SUMIFS(Regiones[Ofrecidas],Regiones[Fecha],Tabla54[[#This Row],[Fecha]],Regiones[Intervalo],Tabla54[[#This Row],[Intervalo]],Regiones[Skill],'BUPA Seguros'!$L$3)</f>
        <v>0</v>
      </c>
      <c r="E713" s="19">
        <f>+SUMIFS(Regiones[Contestadas],Regiones[Fecha],Tabla54[[#This Row],[Fecha]],Regiones[Intervalo],Tabla54[[#This Row],[Intervalo]],Regiones[Skill],'BUPA Seguros'!$L$3)</f>
        <v>0</v>
      </c>
      <c r="F713" s="20">
        <v>25.257011328008428</v>
      </c>
      <c r="G713" s="19">
        <f>IFERROR(SUMIFS(Regiones[TMO],Regiones[Fecha],Tabla54[[#This Row],[Fecha]],Regiones[Intervalo],Tabla54[[#This Row],[Intervalo]],Regiones[Skill],'BUPA Seguros'!$L$3)/Tabla54[[#This Row],[Atendidas]],0)</f>
        <v>0</v>
      </c>
      <c r="H7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3" s="21">
        <f>IFERROR(Tabla54[[#This Row],[Atendidas]]/Tabla54[[#This Row],[Recibidas]],0)</f>
        <v>0</v>
      </c>
    </row>
    <row r="714" spans="2:9" x14ac:dyDescent="0.3">
      <c r="B714" s="27">
        <f t="shared" si="28"/>
        <v>46218</v>
      </c>
      <c r="C714" s="18">
        <v>0.75</v>
      </c>
      <c r="D714" s="19">
        <f>+SUMIFS(Regiones[Ofrecidas],Regiones[Fecha],Tabla54[[#This Row],[Fecha]],Regiones[Intervalo],Tabla54[[#This Row],[Intervalo]],Regiones[Skill],'BUPA Seguros'!$L$3)</f>
        <v>0</v>
      </c>
      <c r="E714" s="19">
        <f>+SUMIFS(Regiones[Contestadas],Regiones[Fecha],Tabla54[[#This Row],[Fecha]],Regiones[Intervalo],Tabla54[[#This Row],[Intervalo]],Regiones[Skill],'BUPA Seguros'!$L$3)</f>
        <v>0</v>
      </c>
      <c r="F714" s="20">
        <v>0</v>
      </c>
      <c r="G714" s="19">
        <f>IFERROR(SUMIFS(Regiones[TMO],Regiones[Fecha],Tabla54[[#This Row],[Fecha]],Regiones[Intervalo],Tabla54[[#This Row],[Intervalo]],Regiones[Skill],'BUPA Seguros'!$L$3)/Tabla54[[#This Row],[Atendidas]],0)</f>
        <v>0</v>
      </c>
      <c r="H7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4" s="21">
        <f>IFERROR(Tabla54[[#This Row],[Atendidas]]/Tabla54[[#This Row],[Recibidas]],0)</f>
        <v>0</v>
      </c>
    </row>
    <row r="715" spans="2:9" x14ac:dyDescent="0.3">
      <c r="B715" s="25">
        <f t="shared" si="28"/>
        <v>46218</v>
      </c>
      <c r="C715" s="26">
        <v>0.77083333333333304</v>
      </c>
      <c r="D715" s="19">
        <f>+SUMIFS(Regiones[Ofrecidas],Regiones[Fecha],Tabla54[[#This Row],[Fecha]],Regiones[Intervalo],Tabla54[[#This Row],[Intervalo]],Regiones[Skill],'BUPA Seguros'!$L$3)</f>
        <v>0</v>
      </c>
      <c r="E715" s="19">
        <f>+SUMIFS(Regiones[Contestadas],Regiones[Fecha],Tabla54[[#This Row],[Fecha]],Regiones[Intervalo],Tabla54[[#This Row],[Intervalo]],Regiones[Skill],'BUPA Seguros'!$L$3)</f>
        <v>0</v>
      </c>
      <c r="F715" s="20">
        <v>0</v>
      </c>
      <c r="G715" s="19">
        <f>IFERROR(SUMIFS(Regiones[TMO],Regiones[Fecha],Tabla54[[#This Row],[Fecha]],Regiones[Intervalo],Tabla54[[#This Row],[Intervalo]],Regiones[Skill],'BUPA Seguros'!$L$3)/Tabla54[[#This Row],[Atendidas]],0)</f>
        <v>0</v>
      </c>
      <c r="H7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5" s="21">
        <f>IFERROR(Tabla54[[#This Row],[Atendidas]]/Tabla54[[#This Row],[Recibidas]],0)</f>
        <v>0</v>
      </c>
    </row>
    <row r="716" spans="2:9" x14ac:dyDescent="0.3">
      <c r="B716" s="27">
        <f t="shared" si="28"/>
        <v>46218</v>
      </c>
      <c r="C716" s="18">
        <v>0.79166666666666696</v>
      </c>
      <c r="D716" s="19">
        <f>+SUMIFS(Regiones[Ofrecidas],Regiones[Fecha],Tabla54[[#This Row],[Fecha]],Regiones[Intervalo],Tabla54[[#This Row],[Intervalo]],Regiones[Skill],'BUPA Seguros'!$L$3)</f>
        <v>0</v>
      </c>
      <c r="E716" s="19">
        <f>+SUMIFS(Regiones[Contestadas],Regiones[Fecha],Tabla54[[#This Row],[Fecha]],Regiones[Intervalo],Tabla54[[#This Row],[Intervalo]],Regiones[Skill],'BUPA Seguros'!$L$3)</f>
        <v>0</v>
      </c>
      <c r="F716" s="20">
        <v>0</v>
      </c>
      <c r="G716" s="19">
        <f>IFERROR(SUMIFS(Regiones[TMO],Regiones[Fecha],Tabla54[[#This Row],[Fecha]],Regiones[Intervalo],Tabla54[[#This Row],[Intervalo]],Regiones[Skill],'BUPA Seguros'!$L$3)/Tabla54[[#This Row],[Atendidas]],0)</f>
        <v>0</v>
      </c>
      <c r="H7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6" s="21">
        <f>IFERROR(Tabla54[[#This Row],[Atendidas]]/Tabla54[[#This Row],[Recibidas]],0)</f>
        <v>0</v>
      </c>
    </row>
    <row r="717" spans="2:9" x14ac:dyDescent="0.3">
      <c r="B717" s="25">
        <f t="shared" si="28"/>
        <v>46218</v>
      </c>
      <c r="C717" s="26">
        <v>0.8125</v>
      </c>
      <c r="D717" s="19">
        <f>+SUMIFS(Regiones[Ofrecidas],Regiones[Fecha],Tabla54[[#This Row],[Fecha]],Regiones[Intervalo],Tabla54[[#This Row],[Intervalo]],Regiones[Skill],'BUPA Seguros'!$L$3)</f>
        <v>0</v>
      </c>
      <c r="E717" s="19">
        <f>+SUMIFS(Regiones[Contestadas],Regiones[Fecha],Tabla54[[#This Row],[Fecha]],Regiones[Intervalo],Tabla54[[#This Row],[Intervalo]],Regiones[Skill],'BUPA Seguros'!$L$3)</f>
        <v>0</v>
      </c>
      <c r="F717" s="20">
        <v>0</v>
      </c>
      <c r="G717" s="19">
        <f>IFERROR(SUMIFS(Regiones[TMO],Regiones[Fecha],Tabla54[[#This Row],[Fecha]],Regiones[Intervalo],Tabla54[[#This Row],[Intervalo]],Regiones[Skill],'BUPA Seguros'!$L$3)/Tabla54[[#This Row],[Atendidas]],0)</f>
        <v>0</v>
      </c>
      <c r="H7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7" s="21">
        <f>IFERROR(Tabla54[[#This Row],[Atendidas]]/Tabla54[[#This Row],[Recibidas]],0)</f>
        <v>0</v>
      </c>
    </row>
    <row r="718" spans="2:9" x14ac:dyDescent="0.3">
      <c r="B718" s="27">
        <f t="shared" si="28"/>
        <v>46218</v>
      </c>
      <c r="C718" s="18">
        <v>0.83333333333333304</v>
      </c>
      <c r="D718" s="19">
        <f>+SUMIFS(Regiones[Ofrecidas],Regiones[Fecha],Tabla54[[#This Row],[Fecha]],Regiones[Intervalo],Tabla54[[#This Row],[Intervalo]],Regiones[Skill],'BUPA Seguros'!$L$3)</f>
        <v>0</v>
      </c>
      <c r="E718" s="19">
        <f>+SUMIFS(Regiones[Contestadas],Regiones[Fecha],Tabla54[[#This Row],[Fecha]],Regiones[Intervalo],Tabla54[[#This Row],[Intervalo]],Regiones[Skill],'BUPA Seguros'!$L$3)</f>
        <v>0</v>
      </c>
      <c r="F718" s="20">
        <v>0</v>
      </c>
      <c r="G718" s="19">
        <f>IFERROR(SUMIFS(Regiones[TMO],Regiones[Fecha],Tabla54[[#This Row],[Fecha]],Regiones[Intervalo],Tabla54[[#This Row],[Intervalo]],Regiones[Skill],'BUPA Seguros'!$L$3)/Tabla54[[#This Row],[Atendidas]],0)</f>
        <v>0</v>
      </c>
      <c r="H7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8" s="21">
        <f>IFERROR(Tabla54[[#This Row],[Atendidas]]/Tabla54[[#This Row],[Recibidas]],0)</f>
        <v>0</v>
      </c>
    </row>
    <row r="719" spans="2:9" x14ac:dyDescent="0.3">
      <c r="B719" s="25">
        <f t="shared" si="28"/>
        <v>46218</v>
      </c>
      <c r="C719" s="26">
        <v>0.85416666666666696</v>
      </c>
      <c r="D719" s="19">
        <f>+SUMIFS(Regiones[Ofrecidas],Regiones[Fecha],Tabla54[[#This Row],[Fecha]],Regiones[Intervalo],Tabla54[[#This Row],[Intervalo]],Regiones[Skill],'BUPA Seguros'!$L$3)</f>
        <v>0</v>
      </c>
      <c r="E719" s="19">
        <f>+SUMIFS(Regiones[Contestadas],Regiones[Fecha],Tabla54[[#This Row],[Fecha]],Regiones[Intervalo],Tabla54[[#This Row],[Intervalo]],Regiones[Skill],'BUPA Seguros'!$L$3)</f>
        <v>0</v>
      </c>
      <c r="F719" s="20">
        <v>0</v>
      </c>
      <c r="G719" s="19">
        <f>IFERROR(SUMIFS(Regiones[TMO],Regiones[Fecha],Tabla54[[#This Row],[Fecha]],Regiones[Intervalo],Tabla54[[#This Row],[Intervalo]],Regiones[Skill],'BUPA Seguros'!$L$3)/Tabla54[[#This Row],[Atendidas]],0)</f>
        <v>0</v>
      </c>
      <c r="H7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19" s="21">
        <f>IFERROR(Tabla54[[#This Row],[Atendidas]]/Tabla54[[#This Row],[Recibidas]],0)</f>
        <v>0</v>
      </c>
    </row>
    <row r="720" spans="2:9" x14ac:dyDescent="0.3">
      <c r="B720" s="27">
        <f t="shared" si="28"/>
        <v>46218</v>
      </c>
      <c r="C720" s="18">
        <v>0.875</v>
      </c>
      <c r="D720" s="19">
        <f>+SUMIFS(Regiones[Ofrecidas],Regiones[Fecha],Tabla54[[#This Row],[Fecha]],Regiones[Intervalo],Tabla54[[#This Row],[Intervalo]],Regiones[Skill],'BUPA Seguros'!$L$3)</f>
        <v>0</v>
      </c>
      <c r="E720" s="19">
        <f>+SUMIFS(Regiones[Contestadas],Regiones[Fecha],Tabla54[[#This Row],[Fecha]],Regiones[Intervalo],Tabla54[[#This Row],[Intervalo]],Regiones[Skill],'BUPA Seguros'!$L$3)</f>
        <v>0</v>
      </c>
      <c r="F720" s="20">
        <v>0</v>
      </c>
      <c r="G720" s="19">
        <f>IFERROR(SUMIFS(Regiones[TMO],Regiones[Fecha],Tabla54[[#This Row],[Fecha]],Regiones[Intervalo],Tabla54[[#This Row],[Intervalo]],Regiones[Skill],'BUPA Seguros'!$L$3)/Tabla54[[#This Row],[Atendidas]],0)</f>
        <v>0</v>
      </c>
      <c r="H7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0" s="21">
        <f>IFERROR(Tabla54[[#This Row],[Atendidas]]/Tabla54[[#This Row],[Recibidas]],0)</f>
        <v>0</v>
      </c>
    </row>
    <row r="721" spans="2:9" x14ac:dyDescent="0.3">
      <c r="B721" s="25">
        <f t="shared" si="28"/>
        <v>46218</v>
      </c>
      <c r="C721" s="26">
        <v>0.89583333333333304</v>
      </c>
      <c r="D721" s="19">
        <f>+SUMIFS(Regiones[Ofrecidas],Regiones[Fecha],Tabla54[[#This Row],[Fecha]],Regiones[Intervalo],Tabla54[[#This Row],[Intervalo]],Regiones[Skill],'BUPA Seguros'!$L$3)</f>
        <v>0</v>
      </c>
      <c r="E721" s="19">
        <f>+SUMIFS(Regiones[Contestadas],Regiones[Fecha],Tabla54[[#This Row],[Fecha]],Regiones[Intervalo],Tabla54[[#This Row],[Intervalo]],Regiones[Skill],'BUPA Seguros'!$L$3)</f>
        <v>0</v>
      </c>
      <c r="F721" s="20">
        <v>0</v>
      </c>
      <c r="G721" s="19">
        <f>IFERROR(SUMIFS(Regiones[TMO],Regiones[Fecha],Tabla54[[#This Row],[Fecha]],Regiones[Intervalo],Tabla54[[#This Row],[Intervalo]],Regiones[Skill],'BUPA Seguros'!$L$3)/Tabla54[[#This Row],[Atendidas]],0)</f>
        <v>0</v>
      </c>
      <c r="H7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1" s="21">
        <f>IFERROR(Tabla54[[#This Row],[Atendidas]]/Tabla54[[#This Row],[Recibidas]],0)</f>
        <v>0</v>
      </c>
    </row>
    <row r="722" spans="2:9" x14ac:dyDescent="0.3">
      <c r="B722" s="27">
        <f t="shared" si="28"/>
        <v>46218</v>
      </c>
      <c r="C722" s="18">
        <v>0.91666666666666696</v>
      </c>
      <c r="D722" s="19">
        <f>+SUMIFS(Regiones[Ofrecidas],Regiones[Fecha],Tabla54[[#This Row],[Fecha]],Regiones[Intervalo],Tabla54[[#This Row],[Intervalo]],Regiones[Skill],'BUPA Seguros'!$L$3)</f>
        <v>0</v>
      </c>
      <c r="E722" s="19">
        <f>+SUMIFS(Regiones[Contestadas],Regiones[Fecha],Tabla54[[#This Row],[Fecha]],Regiones[Intervalo],Tabla54[[#This Row],[Intervalo]],Regiones[Skill],'BUPA Seguros'!$L$3)</f>
        <v>0</v>
      </c>
      <c r="F722" s="20">
        <v>0</v>
      </c>
      <c r="G722" s="19">
        <f>IFERROR(SUMIFS(Regiones[TMO],Regiones[Fecha],Tabla54[[#This Row],[Fecha]],Regiones[Intervalo],Tabla54[[#This Row],[Intervalo]],Regiones[Skill],'BUPA Seguros'!$L$3)/Tabla54[[#This Row],[Atendidas]],0)</f>
        <v>0</v>
      </c>
      <c r="H7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2" s="21">
        <f>IFERROR(Tabla54[[#This Row],[Atendidas]]/Tabla54[[#This Row],[Recibidas]],0)</f>
        <v>0</v>
      </c>
    </row>
    <row r="723" spans="2:9" x14ac:dyDescent="0.3">
      <c r="B723" s="25">
        <f t="shared" si="28"/>
        <v>46218</v>
      </c>
      <c r="C723" s="26">
        <v>0.9375</v>
      </c>
      <c r="D723" s="19">
        <f>+SUMIFS(Regiones[Ofrecidas],Regiones[Fecha],Tabla54[[#This Row],[Fecha]],Regiones[Intervalo],Tabla54[[#This Row],[Intervalo]],Regiones[Skill],'BUPA Seguros'!$L$3)</f>
        <v>0</v>
      </c>
      <c r="E723" s="19">
        <f>+SUMIFS(Regiones[Contestadas],Regiones[Fecha],Tabla54[[#This Row],[Fecha]],Regiones[Intervalo],Tabla54[[#This Row],[Intervalo]],Regiones[Skill],'BUPA Seguros'!$L$3)</f>
        <v>0</v>
      </c>
      <c r="F723" s="20">
        <v>0</v>
      </c>
      <c r="G723" s="19">
        <f>IFERROR(SUMIFS(Regiones[TMO],Regiones[Fecha],Tabla54[[#This Row],[Fecha]],Regiones[Intervalo],Tabla54[[#This Row],[Intervalo]],Regiones[Skill],'BUPA Seguros'!$L$3)/Tabla54[[#This Row],[Atendidas]],0)</f>
        <v>0</v>
      </c>
      <c r="H7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3" s="21">
        <f>IFERROR(Tabla54[[#This Row],[Atendidas]]/Tabla54[[#This Row],[Recibidas]],0)</f>
        <v>0</v>
      </c>
    </row>
    <row r="724" spans="2:9" x14ac:dyDescent="0.3">
      <c r="B724" s="27">
        <f t="shared" si="28"/>
        <v>46218</v>
      </c>
      <c r="C724" s="18">
        <v>0.95833333333333304</v>
      </c>
      <c r="D724" s="19">
        <f>+SUMIFS(Regiones[Ofrecidas],Regiones[Fecha],Tabla54[[#This Row],[Fecha]],Regiones[Intervalo],Tabla54[[#This Row],[Intervalo]],Regiones[Skill],'BUPA Seguros'!$L$3)</f>
        <v>0</v>
      </c>
      <c r="E724" s="19">
        <f>+SUMIFS(Regiones[Contestadas],Regiones[Fecha],Tabla54[[#This Row],[Fecha]],Regiones[Intervalo],Tabla54[[#This Row],[Intervalo]],Regiones[Skill],'BUPA Seguros'!$L$3)</f>
        <v>0</v>
      </c>
      <c r="F724" s="20">
        <v>0</v>
      </c>
      <c r="G724" s="19">
        <f>IFERROR(SUMIFS(Regiones[TMO],Regiones[Fecha],Tabla54[[#This Row],[Fecha]],Regiones[Intervalo],Tabla54[[#This Row],[Intervalo]],Regiones[Skill],'BUPA Seguros'!$L$3)/Tabla54[[#This Row],[Atendidas]],0)</f>
        <v>0</v>
      </c>
      <c r="H7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4" s="21">
        <f>IFERROR(Tabla54[[#This Row],[Atendidas]]/Tabla54[[#This Row],[Recibidas]],0)</f>
        <v>0</v>
      </c>
    </row>
    <row r="725" spans="2:9" x14ac:dyDescent="0.3">
      <c r="B725" s="25">
        <f t="shared" si="28"/>
        <v>46218</v>
      </c>
      <c r="C725" s="26">
        <v>0.97916666666666696</v>
      </c>
      <c r="D725" s="19">
        <f>+SUMIFS(Regiones[Ofrecidas],Regiones[Fecha],Tabla54[[#This Row],[Fecha]],Regiones[Intervalo],Tabla54[[#This Row],[Intervalo]],Regiones[Skill],'BUPA Seguros'!$L$3)</f>
        <v>0</v>
      </c>
      <c r="E725" s="19">
        <f>+SUMIFS(Regiones[Contestadas],Regiones[Fecha],Tabla54[[#This Row],[Fecha]],Regiones[Intervalo],Tabla54[[#This Row],[Intervalo]],Regiones[Skill],'BUPA Seguros'!$L$3)</f>
        <v>0</v>
      </c>
      <c r="F725" s="20">
        <v>0</v>
      </c>
      <c r="G725" s="19">
        <f>IFERROR(SUMIFS(Regiones[TMO],Regiones[Fecha],Tabla54[[#This Row],[Fecha]],Regiones[Intervalo],Tabla54[[#This Row],[Intervalo]],Regiones[Skill],'BUPA Seguros'!$L$3)/Tabla54[[#This Row],[Atendidas]],0)</f>
        <v>0</v>
      </c>
      <c r="H7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5" s="21">
        <f>IFERROR(Tabla54[[#This Row],[Atendidas]]/Tabla54[[#This Row],[Recibidas]],0)</f>
        <v>0</v>
      </c>
    </row>
    <row r="726" spans="2:9" x14ac:dyDescent="0.3">
      <c r="B726" s="27">
        <f t="shared" ref="B726" si="29">+B725+1</f>
        <v>46219</v>
      </c>
      <c r="C726" s="18">
        <v>0</v>
      </c>
      <c r="D726" s="19">
        <f>+SUMIFS(Regiones[Ofrecidas],Regiones[Fecha],Tabla54[[#This Row],[Fecha]],Regiones[Intervalo],Tabla54[[#This Row],[Intervalo]],Regiones[Skill],'BUPA Seguros'!$L$3)</f>
        <v>0</v>
      </c>
      <c r="E726" s="19">
        <f>+SUMIFS(Regiones[Contestadas],Regiones[Fecha],Tabla54[[#This Row],[Fecha]],Regiones[Intervalo],Tabla54[[#This Row],[Intervalo]],Regiones[Skill],'BUPA Seguros'!$L$3)</f>
        <v>0</v>
      </c>
      <c r="F726" s="20">
        <v>0</v>
      </c>
      <c r="G726" s="19">
        <f>IFERROR(SUMIFS(Regiones[TMO],Regiones[Fecha],Tabla54[[#This Row],[Fecha]],Regiones[Intervalo],Tabla54[[#This Row],[Intervalo]],Regiones[Skill],'BUPA Seguros'!$L$3)/Tabla54[[#This Row],[Atendidas]],0)</f>
        <v>0</v>
      </c>
      <c r="H7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6" s="21">
        <f>IFERROR(Tabla54[[#This Row],[Atendidas]]/Tabla54[[#This Row],[Recibidas]],0)</f>
        <v>0</v>
      </c>
    </row>
    <row r="727" spans="2:9" x14ac:dyDescent="0.3">
      <c r="B727" s="25">
        <f t="shared" ref="B727" si="30">+B726</f>
        <v>46219</v>
      </c>
      <c r="C727" s="26">
        <v>2.0833333333333332E-2</v>
      </c>
      <c r="D727" s="19">
        <f>+SUMIFS(Regiones[Ofrecidas],Regiones[Fecha],Tabla54[[#This Row],[Fecha]],Regiones[Intervalo],Tabla54[[#This Row],[Intervalo]],Regiones[Skill],'BUPA Seguros'!$L$3)</f>
        <v>0</v>
      </c>
      <c r="E727" s="19">
        <f>+SUMIFS(Regiones[Contestadas],Regiones[Fecha],Tabla54[[#This Row],[Fecha]],Regiones[Intervalo],Tabla54[[#This Row],[Intervalo]],Regiones[Skill],'BUPA Seguros'!$L$3)</f>
        <v>0</v>
      </c>
      <c r="F727" s="20">
        <v>0</v>
      </c>
      <c r="G727" s="19">
        <f>IFERROR(SUMIFS(Regiones[TMO],Regiones[Fecha],Tabla54[[#This Row],[Fecha]],Regiones[Intervalo],Tabla54[[#This Row],[Intervalo]],Regiones[Skill],'BUPA Seguros'!$L$3)/Tabla54[[#This Row],[Atendidas]],0)</f>
        <v>0</v>
      </c>
      <c r="H7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7" s="21">
        <f>IFERROR(Tabla54[[#This Row],[Atendidas]]/Tabla54[[#This Row],[Recibidas]],0)</f>
        <v>0</v>
      </c>
    </row>
    <row r="728" spans="2:9" x14ac:dyDescent="0.3">
      <c r="B728" s="27">
        <f t="shared" si="28"/>
        <v>46219</v>
      </c>
      <c r="C728" s="18">
        <v>4.1666666666666699E-2</v>
      </c>
      <c r="D728" s="19">
        <f>+SUMIFS(Regiones[Ofrecidas],Regiones[Fecha],Tabla54[[#This Row],[Fecha]],Regiones[Intervalo],Tabla54[[#This Row],[Intervalo]],Regiones[Skill],'BUPA Seguros'!$L$3)</f>
        <v>0</v>
      </c>
      <c r="E728" s="19">
        <f>+SUMIFS(Regiones[Contestadas],Regiones[Fecha],Tabla54[[#This Row],[Fecha]],Regiones[Intervalo],Tabla54[[#This Row],[Intervalo]],Regiones[Skill],'BUPA Seguros'!$L$3)</f>
        <v>0</v>
      </c>
      <c r="F728" s="20">
        <v>0</v>
      </c>
      <c r="G728" s="19">
        <f>IFERROR(SUMIFS(Regiones[TMO],Regiones[Fecha],Tabla54[[#This Row],[Fecha]],Regiones[Intervalo],Tabla54[[#This Row],[Intervalo]],Regiones[Skill],'BUPA Seguros'!$L$3)/Tabla54[[#This Row],[Atendidas]],0)</f>
        <v>0</v>
      </c>
      <c r="H7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8" s="21">
        <f>IFERROR(Tabla54[[#This Row],[Atendidas]]/Tabla54[[#This Row],[Recibidas]],0)</f>
        <v>0</v>
      </c>
    </row>
    <row r="729" spans="2:9" x14ac:dyDescent="0.3">
      <c r="B729" s="25">
        <f t="shared" si="28"/>
        <v>46219</v>
      </c>
      <c r="C729" s="26">
        <v>6.25E-2</v>
      </c>
      <c r="D729" s="19">
        <f>+SUMIFS(Regiones[Ofrecidas],Regiones[Fecha],Tabla54[[#This Row],[Fecha]],Regiones[Intervalo],Tabla54[[#This Row],[Intervalo]],Regiones[Skill],'BUPA Seguros'!$L$3)</f>
        <v>0</v>
      </c>
      <c r="E729" s="19">
        <f>+SUMIFS(Regiones[Contestadas],Regiones[Fecha],Tabla54[[#This Row],[Fecha]],Regiones[Intervalo],Tabla54[[#This Row],[Intervalo]],Regiones[Skill],'BUPA Seguros'!$L$3)</f>
        <v>0</v>
      </c>
      <c r="F729" s="20">
        <v>0</v>
      </c>
      <c r="G729" s="19">
        <f>IFERROR(SUMIFS(Regiones[TMO],Regiones[Fecha],Tabla54[[#This Row],[Fecha]],Regiones[Intervalo],Tabla54[[#This Row],[Intervalo]],Regiones[Skill],'BUPA Seguros'!$L$3)/Tabla54[[#This Row],[Atendidas]],0)</f>
        <v>0</v>
      </c>
      <c r="H7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29" s="21">
        <f>IFERROR(Tabla54[[#This Row],[Atendidas]]/Tabla54[[#This Row],[Recibidas]],0)</f>
        <v>0</v>
      </c>
    </row>
    <row r="730" spans="2:9" x14ac:dyDescent="0.3">
      <c r="B730" s="27">
        <f t="shared" si="28"/>
        <v>46219</v>
      </c>
      <c r="C730" s="18">
        <v>8.3333333333333301E-2</v>
      </c>
      <c r="D730" s="19">
        <f>+SUMIFS(Regiones[Ofrecidas],Regiones[Fecha],Tabla54[[#This Row],[Fecha]],Regiones[Intervalo],Tabla54[[#This Row],[Intervalo]],Regiones[Skill],'BUPA Seguros'!$L$3)</f>
        <v>0</v>
      </c>
      <c r="E730" s="19">
        <f>+SUMIFS(Regiones[Contestadas],Regiones[Fecha],Tabla54[[#This Row],[Fecha]],Regiones[Intervalo],Tabla54[[#This Row],[Intervalo]],Regiones[Skill],'BUPA Seguros'!$L$3)</f>
        <v>0</v>
      </c>
      <c r="F730" s="20">
        <v>0</v>
      </c>
      <c r="G730" s="19">
        <f>IFERROR(SUMIFS(Regiones[TMO],Regiones[Fecha],Tabla54[[#This Row],[Fecha]],Regiones[Intervalo],Tabla54[[#This Row],[Intervalo]],Regiones[Skill],'BUPA Seguros'!$L$3)/Tabla54[[#This Row],[Atendidas]],0)</f>
        <v>0</v>
      </c>
      <c r="H7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0" s="21">
        <f>IFERROR(Tabla54[[#This Row],[Atendidas]]/Tabla54[[#This Row],[Recibidas]],0)</f>
        <v>0</v>
      </c>
    </row>
    <row r="731" spans="2:9" x14ac:dyDescent="0.3">
      <c r="B731" s="25">
        <f t="shared" si="28"/>
        <v>46219</v>
      </c>
      <c r="C731" s="26">
        <v>0.104166666666667</v>
      </c>
      <c r="D731" s="19">
        <f>+SUMIFS(Regiones[Ofrecidas],Regiones[Fecha],Tabla54[[#This Row],[Fecha]],Regiones[Intervalo],Tabla54[[#This Row],[Intervalo]],Regiones[Skill],'BUPA Seguros'!$L$3)</f>
        <v>0</v>
      </c>
      <c r="E731" s="19">
        <f>+SUMIFS(Regiones[Contestadas],Regiones[Fecha],Tabla54[[#This Row],[Fecha]],Regiones[Intervalo],Tabla54[[#This Row],[Intervalo]],Regiones[Skill],'BUPA Seguros'!$L$3)</f>
        <v>0</v>
      </c>
      <c r="F731" s="20">
        <v>0</v>
      </c>
      <c r="G731" s="19">
        <f>IFERROR(SUMIFS(Regiones[TMO],Regiones[Fecha],Tabla54[[#This Row],[Fecha]],Regiones[Intervalo],Tabla54[[#This Row],[Intervalo]],Regiones[Skill],'BUPA Seguros'!$L$3)/Tabla54[[#This Row],[Atendidas]],0)</f>
        <v>0</v>
      </c>
      <c r="H7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1" s="21">
        <f>IFERROR(Tabla54[[#This Row],[Atendidas]]/Tabla54[[#This Row],[Recibidas]],0)</f>
        <v>0</v>
      </c>
    </row>
    <row r="732" spans="2:9" x14ac:dyDescent="0.3">
      <c r="B732" s="27">
        <f t="shared" si="28"/>
        <v>46219</v>
      </c>
      <c r="C732" s="18">
        <v>0.125</v>
      </c>
      <c r="D732" s="19">
        <f>+SUMIFS(Regiones[Ofrecidas],Regiones[Fecha],Tabla54[[#This Row],[Fecha]],Regiones[Intervalo],Tabla54[[#This Row],[Intervalo]],Regiones[Skill],'BUPA Seguros'!$L$3)</f>
        <v>0</v>
      </c>
      <c r="E732" s="19">
        <f>+SUMIFS(Regiones[Contestadas],Regiones[Fecha],Tabla54[[#This Row],[Fecha]],Regiones[Intervalo],Tabla54[[#This Row],[Intervalo]],Regiones[Skill],'BUPA Seguros'!$L$3)</f>
        <v>0</v>
      </c>
      <c r="F732" s="20">
        <v>0</v>
      </c>
      <c r="G732" s="19">
        <f>IFERROR(SUMIFS(Regiones[TMO],Regiones[Fecha],Tabla54[[#This Row],[Fecha]],Regiones[Intervalo],Tabla54[[#This Row],[Intervalo]],Regiones[Skill],'BUPA Seguros'!$L$3)/Tabla54[[#This Row],[Atendidas]],0)</f>
        <v>0</v>
      </c>
      <c r="H7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2" s="21">
        <f>IFERROR(Tabla54[[#This Row],[Atendidas]]/Tabla54[[#This Row],[Recibidas]],0)</f>
        <v>0</v>
      </c>
    </row>
    <row r="733" spans="2:9" x14ac:dyDescent="0.3">
      <c r="B733" s="25">
        <f t="shared" si="28"/>
        <v>46219</v>
      </c>
      <c r="C733" s="26">
        <v>0.14583333333333301</v>
      </c>
      <c r="D733" s="19">
        <f>+SUMIFS(Regiones[Ofrecidas],Regiones[Fecha],Tabla54[[#This Row],[Fecha]],Regiones[Intervalo],Tabla54[[#This Row],[Intervalo]],Regiones[Skill],'BUPA Seguros'!$L$3)</f>
        <v>0</v>
      </c>
      <c r="E733" s="19">
        <f>+SUMIFS(Regiones[Contestadas],Regiones[Fecha],Tabla54[[#This Row],[Fecha]],Regiones[Intervalo],Tabla54[[#This Row],[Intervalo]],Regiones[Skill],'BUPA Seguros'!$L$3)</f>
        <v>0</v>
      </c>
      <c r="F733" s="20">
        <v>0</v>
      </c>
      <c r="G733" s="19">
        <f>IFERROR(SUMIFS(Regiones[TMO],Regiones[Fecha],Tabla54[[#This Row],[Fecha]],Regiones[Intervalo],Tabla54[[#This Row],[Intervalo]],Regiones[Skill],'BUPA Seguros'!$L$3)/Tabla54[[#This Row],[Atendidas]],0)</f>
        <v>0</v>
      </c>
      <c r="H7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3" s="21">
        <f>IFERROR(Tabla54[[#This Row],[Atendidas]]/Tabla54[[#This Row],[Recibidas]],0)</f>
        <v>0</v>
      </c>
    </row>
    <row r="734" spans="2:9" x14ac:dyDescent="0.3">
      <c r="B734" s="27">
        <f t="shared" si="28"/>
        <v>46219</v>
      </c>
      <c r="C734" s="18">
        <v>0.16666666666666699</v>
      </c>
      <c r="D734" s="19">
        <f>+SUMIFS(Regiones[Ofrecidas],Regiones[Fecha],Tabla54[[#This Row],[Fecha]],Regiones[Intervalo],Tabla54[[#This Row],[Intervalo]],Regiones[Skill],'BUPA Seguros'!$L$3)</f>
        <v>0</v>
      </c>
      <c r="E734" s="19">
        <f>+SUMIFS(Regiones[Contestadas],Regiones[Fecha],Tabla54[[#This Row],[Fecha]],Regiones[Intervalo],Tabla54[[#This Row],[Intervalo]],Regiones[Skill],'BUPA Seguros'!$L$3)</f>
        <v>0</v>
      </c>
      <c r="F734" s="20">
        <v>0</v>
      </c>
      <c r="G734" s="19">
        <f>IFERROR(SUMIFS(Regiones[TMO],Regiones[Fecha],Tabla54[[#This Row],[Fecha]],Regiones[Intervalo],Tabla54[[#This Row],[Intervalo]],Regiones[Skill],'BUPA Seguros'!$L$3)/Tabla54[[#This Row],[Atendidas]],0)</f>
        <v>0</v>
      </c>
      <c r="H7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4" s="21">
        <f>IFERROR(Tabla54[[#This Row],[Atendidas]]/Tabla54[[#This Row],[Recibidas]],0)</f>
        <v>0</v>
      </c>
    </row>
    <row r="735" spans="2:9" x14ac:dyDescent="0.3">
      <c r="B735" s="25">
        <f t="shared" si="28"/>
        <v>46219</v>
      </c>
      <c r="C735" s="26">
        <v>0.1875</v>
      </c>
      <c r="D735" s="19">
        <f>+SUMIFS(Regiones[Ofrecidas],Regiones[Fecha],Tabla54[[#This Row],[Fecha]],Regiones[Intervalo],Tabla54[[#This Row],[Intervalo]],Regiones[Skill],'BUPA Seguros'!$L$3)</f>
        <v>0</v>
      </c>
      <c r="E735" s="19">
        <f>+SUMIFS(Regiones[Contestadas],Regiones[Fecha],Tabla54[[#This Row],[Fecha]],Regiones[Intervalo],Tabla54[[#This Row],[Intervalo]],Regiones[Skill],'BUPA Seguros'!$L$3)</f>
        <v>0</v>
      </c>
      <c r="F735" s="20">
        <v>0</v>
      </c>
      <c r="G735" s="19">
        <f>IFERROR(SUMIFS(Regiones[TMO],Regiones[Fecha],Tabla54[[#This Row],[Fecha]],Regiones[Intervalo],Tabla54[[#This Row],[Intervalo]],Regiones[Skill],'BUPA Seguros'!$L$3)/Tabla54[[#This Row],[Atendidas]],0)</f>
        <v>0</v>
      </c>
      <c r="H7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5" s="21">
        <f>IFERROR(Tabla54[[#This Row],[Atendidas]]/Tabla54[[#This Row],[Recibidas]],0)</f>
        <v>0</v>
      </c>
    </row>
    <row r="736" spans="2:9" x14ac:dyDescent="0.3">
      <c r="B736" s="27">
        <f t="shared" si="28"/>
        <v>46219</v>
      </c>
      <c r="C736" s="18">
        <v>0.20833333333333301</v>
      </c>
      <c r="D736" s="19">
        <f>+SUMIFS(Regiones[Ofrecidas],Regiones[Fecha],Tabla54[[#This Row],[Fecha]],Regiones[Intervalo],Tabla54[[#This Row],[Intervalo]],Regiones[Skill],'BUPA Seguros'!$L$3)</f>
        <v>0</v>
      </c>
      <c r="E736" s="19">
        <f>+SUMIFS(Regiones[Contestadas],Regiones[Fecha],Tabla54[[#This Row],[Fecha]],Regiones[Intervalo],Tabla54[[#This Row],[Intervalo]],Regiones[Skill],'BUPA Seguros'!$L$3)</f>
        <v>0</v>
      </c>
      <c r="F736" s="20">
        <v>0</v>
      </c>
      <c r="G736" s="19">
        <f>IFERROR(SUMIFS(Regiones[TMO],Regiones[Fecha],Tabla54[[#This Row],[Fecha]],Regiones[Intervalo],Tabla54[[#This Row],[Intervalo]],Regiones[Skill],'BUPA Seguros'!$L$3)/Tabla54[[#This Row],[Atendidas]],0)</f>
        <v>0</v>
      </c>
      <c r="H7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6" s="21">
        <f>IFERROR(Tabla54[[#This Row],[Atendidas]]/Tabla54[[#This Row],[Recibidas]],0)</f>
        <v>0</v>
      </c>
    </row>
    <row r="737" spans="2:9" x14ac:dyDescent="0.3">
      <c r="B737" s="25">
        <f t="shared" si="28"/>
        <v>46219</v>
      </c>
      <c r="C737" s="26">
        <v>0.22916666666666699</v>
      </c>
      <c r="D737" s="19">
        <f>+SUMIFS(Regiones[Ofrecidas],Regiones[Fecha],Tabla54[[#This Row],[Fecha]],Regiones[Intervalo],Tabla54[[#This Row],[Intervalo]],Regiones[Skill],'BUPA Seguros'!$L$3)</f>
        <v>0</v>
      </c>
      <c r="E737" s="19">
        <f>+SUMIFS(Regiones[Contestadas],Regiones[Fecha],Tabla54[[#This Row],[Fecha]],Regiones[Intervalo],Tabla54[[#This Row],[Intervalo]],Regiones[Skill],'BUPA Seguros'!$L$3)</f>
        <v>0</v>
      </c>
      <c r="F737" s="20">
        <v>0</v>
      </c>
      <c r="G737" s="19">
        <f>IFERROR(SUMIFS(Regiones[TMO],Regiones[Fecha],Tabla54[[#This Row],[Fecha]],Regiones[Intervalo],Tabla54[[#This Row],[Intervalo]],Regiones[Skill],'BUPA Seguros'!$L$3)/Tabla54[[#This Row],[Atendidas]],0)</f>
        <v>0</v>
      </c>
      <c r="H7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7" s="21">
        <f>IFERROR(Tabla54[[#This Row],[Atendidas]]/Tabla54[[#This Row],[Recibidas]],0)</f>
        <v>0</v>
      </c>
    </row>
    <row r="738" spans="2:9" x14ac:dyDescent="0.3">
      <c r="B738" s="27">
        <f t="shared" si="28"/>
        <v>46219</v>
      </c>
      <c r="C738" s="18">
        <v>0.25</v>
      </c>
      <c r="D738" s="19">
        <f>+SUMIFS(Regiones[Ofrecidas],Regiones[Fecha],Tabla54[[#This Row],[Fecha]],Regiones[Intervalo],Tabla54[[#This Row],[Intervalo]],Regiones[Skill],'BUPA Seguros'!$L$3)</f>
        <v>0</v>
      </c>
      <c r="E738" s="19">
        <f>+SUMIFS(Regiones[Contestadas],Regiones[Fecha],Tabla54[[#This Row],[Fecha]],Regiones[Intervalo],Tabla54[[#This Row],[Intervalo]],Regiones[Skill],'BUPA Seguros'!$L$3)</f>
        <v>0</v>
      </c>
      <c r="F738" s="20">
        <v>0</v>
      </c>
      <c r="G738" s="19">
        <f>IFERROR(SUMIFS(Regiones[TMO],Regiones[Fecha],Tabla54[[#This Row],[Fecha]],Regiones[Intervalo],Tabla54[[#This Row],[Intervalo]],Regiones[Skill],'BUPA Seguros'!$L$3)/Tabla54[[#This Row],[Atendidas]],0)</f>
        <v>0</v>
      </c>
      <c r="H7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8" s="21">
        <f>IFERROR(Tabla54[[#This Row],[Atendidas]]/Tabla54[[#This Row],[Recibidas]],0)</f>
        <v>0</v>
      </c>
    </row>
    <row r="739" spans="2:9" x14ac:dyDescent="0.3">
      <c r="B739" s="25">
        <f t="shared" si="28"/>
        <v>46219</v>
      </c>
      <c r="C739" s="26">
        <v>0.27083333333333298</v>
      </c>
      <c r="D739" s="19">
        <f>+SUMIFS(Regiones[Ofrecidas],Regiones[Fecha],Tabla54[[#This Row],[Fecha]],Regiones[Intervalo],Tabla54[[#This Row],[Intervalo]],Regiones[Skill],'BUPA Seguros'!$L$3)</f>
        <v>0</v>
      </c>
      <c r="E739" s="19">
        <f>+SUMIFS(Regiones[Contestadas],Regiones[Fecha],Tabla54[[#This Row],[Fecha]],Regiones[Intervalo],Tabla54[[#This Row],[Intervalo]],Regiones[Skill],'BUPA Seguros'!$L$3)</f>
        <v>0</v>
      </c>
      <c r="F739" s="20">
        <v>0</v>
      </c>
      <c r="G739" s="19">
        <f>IFERROR(SUMIFS(Regiones[TMO],Regiones[Fecha],Tabla54[[#This Row],[Fecha]],Regiones[Intervalo],Tabla54[[#This Row],[Intervalo]],Regiones[Skill],'BUPA Seguros'!$L$3)/Tabla54[[#This Row],[Atendidas]],0)</f>
        <v>0</v>
      </c>
      <c r="H7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39" s="21">
        <f>IFERROR(Tabla54[[#This Row],[Atendidas]]/Tabla54[[#This Row],[Recibidas]],0)</f>
        <v>0</v>
      </c>
    </row>
    <row r="740" spans="2:9" x14ac:dyDescent="0.3">
      <c r="B740" s="27">
        <f t="shared" si="28"/>
        <v>46219</v>
      </c>
      <c r="C740" s="18">
        <v>0.29166666666666702</v>
      </c>
      <c r="D740" s="19">
        <f>+SUMIFS(Regiones[Ofrecidas],Regiones[Fecha],Tabla54[[#This Row],[Fecha]],Regiones[Intervalo],Tabla54[[#This Row],[Intervalo]],Regiones[Skill],'BUPA Seguros'!$L$3)</f>
        <v>0</v>
      </c>
      <c r="E740" s="19">
        <f>+SUMIFS(Regiones[Contestadas],Regiones[Fecha],Tabla54[[#This Row],[Fecha]],Regiones[Intervalo],Tabla54[[#This Row],[Intervalo]],Regiones[Skill],'BUPA Seguros'!$L$3)</f>
        <v>0</v>
      </c>
      <c r="F740" s="20">
        <v>0</v>
      </c>
      <c r="G740" s="19">
        <f>IFERROR(SUMIFS(Regiones[TMO],Regiones[Fecha],Tabla54[[#This Row],[Fecha]],Regiones[Intervalo],Tabla54[[#This Row],[Intervalo]],Regiones[Skill],'BUPA Seguros'!$L$3)/Tabla54[[#This Row],[Atendidas]],0)</f>
        <v>0</v>
      </c>
      <c r="H7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0" s="21">
        <f>IFERROR(Tabla54[[#This Row],[Atendidas]]/Tabla54[[#This Row],[Recibidas]],0)</f>
        <v>0</v>
      </c>
    </row>
    <row r="741" spans="2:9" x14ac:dyDescent="0.3">
      <c r="B741" s="25">
        <f t="shared" si="28"/>
        <v>46219</v>
      </c>
      <c r="C741" s="26">
        <v>0.3125</v>
      </c>
      <c r="D741" s="19">
        <f>+SUMIFS(Regiones[Ofrecidas],Regiones[Fecha],Tabla54[[#This Row],[Fecha]],Regiones[Intervalo],Tabla54[[#This Row],[Intervalo]],Regiones[Skill],'BUPA Seguros'!$L$3)</f>
        <v>0</v>
      </c>
      <c r="E741" s="19">
        <f>+SUMIFS(Regiones[Contestadas],Regiones[Fecha],Tabla54[[#This Row],[Fecha]],Regiones[Intervalo],Tabla54[[#This Row],[Intervalo]],Regiones[Skill],'BUPA Seguros'!$L$3)</f>
        <v>0</v>
      </c>
      <c r="F741" s="20">
        <v>0</v>
      </c>
      <c r="G741" s="19">
        <f>IFERROR(SUMIFS(Regiones[TMO],Regiones[Fecha],Tabla54[[#This Row],[Fecha]],Regiones[Intervalo],Tabla54[[#This Row],[Intervalo]],Regiones[Skill],'BUPA Seguros'!$L$3)/Tabla54[[#This Row],[Atendidas]],0)</f>
        <v>0</v>
      </c>
      <c r="H7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1" s="21">
        <f>IFERROR(Tabla54[[#This Row],[Atendidas]]/Tabla54[[#This Row],[Recibidas]],0)</f>
        <v>0</v>
      </c>
    </row>
    <row r="742" spans="2:9" x14ac:dyDescent="0.3">
      <c r="B742" s="27">
        <f t="shared" si="28"/>
        <v>46219</v>
      </c>
      <c r="C742" s="18">
        <v>0.33333333333333298</v>
      </c>
      <c r="D742" s="19">
        <f>+SUMIFS(Regiones[Ofrecidas],Regiones[Fecha],Tabla54[[#This Row],[Fecha]],Regiones[Intervalo],Tabla54[[#This Row],[Intervalo]],Regiones[Skill],'BUPA Seguros'!$L$3)</f>
        <v>0</v>
      </c>
      <c r="E742" s="19">
        <f>+SUMIFS(Regiones[Contestadas],Regiones[Fecha],Tabla54[[#This Row],[Fecha]],Regiones[Intervalo],Tabla54[[#This Row],[Intervalo]],Regiones[Skill],'BUPA Seguros'!$L$3)</f>
        <v>0</v>
      </c>
      <c r="F742" s="20">
        <v>0</v>
      </c>
      <c r="G742" s="19">
        <f>IFERROR(SUMIFS(Regiones[TMO],Regiones[Fecha],Tabla54[[#This Row],[Fecha]],Regiones[Intervalo],Tabla54[[#This Row],[Intervalo]],Regiones[Skill],'BUPA Seguros'!$L$3)/Tabla54[[#This Row],[Atendidas]],0)</f>
        <v>0</v>
      </c>
      <c r="H7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2" s="21">
        <f>IFERROR(Tabla54[[#This Row],[Atendidas]]/Tabla54[[#This Row],[Recibidas]],0)</f>
        <v>0</v>
      </c>
    </row>
    <row r="743" spans="2:9" x14ac:dyDescent="0.3">
      <c r="B743" s="25">
        <f t="shared" si="28"/>
        <v>46219</v>
      </c>
      <c r="C743" s="26">
        <v>0.35416666666666702</v>
      </c>
      <c r="D743" s="19">
        <f>+SUMIFS(Regiones[Ofrecidas],Regiones[Fecha],Tabla54[[#This Row],[Fecha]],Regiones[Intervalo],Tabla54[[#This Row],[Intervalo]],Regiones[Skill],'BUPA Seguros'!$L$3)</f>
        <v>0</v>
      </c>
      <c r="E743" s="19">
        <f>+SUMIFS(Regiones[Contestadas],Regiones[Fecha],Tabla54[[#This Row],[Fecha]],Regiones[Intervalo],Tabla54[[#This Row],[Intervalo]],Regiones[Skill],'BUPA Seguros'!$L$3)</f>
        <v>0</v>
      </c>
      <c r="F743" s="20">
        <v>0</v>
      </c>
      <c r="G743" s="19">
        <f>IFERROR(SUMIFS(Regiones[TMO],Regiones[Fecha],Tabla54[[#This Row],[Fecha]],Regiones[Intervalo],Tabla54[[#This Row],[Intervalo]],Regiones[Skill],'BUPA Seguros'!$L$3)/Tabla54[[#This Row],[Atendidas]],0)</f>
        <v>0</v>
      </c>
      <c r="H7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3" s="21">
        <f>IFERROR(Tabla54[[#This Row],[Atendidas]]/Tabla54[[#This Row],[Recibidas]],0)</f>
        <v>0</v>
      </c>
    </row>
    <row r="744" spans="2:9" x14ac:dyDescent="0.3">
      <c r="B744" s="27">
        <f t="shared" si="28"/>
        <v>46219</v>
      </c>
      <c r="C744" s="18">
        <v>0.375</v>
      </c>
      <c r="D744" s="19">
        <f>+SUMIFS(Regiones[Ofrecidas],Regiones[Fecha],Tabla54[[#This Row],[Fecha]],Regiones[Intervalo],Tabla54[[#This Row],[Intervalo]],Regiones[Skill],'BUPA Seguros'!$L$3)</f>
        <v>0</v>
      </c>
      <c r="E744" s="19">
        <f>+SUMIFS(Regiones[Contestadas],Regiones[Fecha],Tabla54[[#This Row],[Fecha]],Regiones[Intervalo],Tabla54[[#This Row],[Intervalo]],Regiones[Skill],'BUPA Seguros'!$L$3)</f>
        <v>0</v>
      </c>
      <c r="F744" s="20">
        <v>0</v>
      </c>
      <c r="G744" s="19">
        <f>IFERROR(SUMIFS(Regiones[TMO],Regiones[Fecha],Tabla54[[#This Row],[Fecha]],Regiones[Intervalo],Tabla54[[#This Row],[Intervalo]],Regiones[Skill],'BUPA Seguros'!$L$3)/Tabla54[[#This Row],[Atendidas]],0)</f>
        <v>0</v>
      </c>
      <c r="H7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4" s="21">
        <f>IFERROR(Tabla54[[#This Row],[Atendidas]]/Tabla54[[#This Row],[Recibidas]],0)</f>
        <v>0</v>
      </c>
    </row>
    <row r="745" spans="2:9" x14ac:dyDescent="0.3">
      <c r="B745" s="25">
        <f t="shared" si="28"/>
        <v>46219</v>
      </c>
      <c r="C745" s="26">
        <v>0.39583333333333298</v>
      </c>
      <c r="D745" s="19">
        <f>+SUMIFS(Regiones[Ofrecidas],Regiones[Fecha],Tabla54[[#This Row],[Fecha]],Regiones[Intervalo],Tabla54[[#This Row],[Intervalo]],Regiones[Skill],'BUPA Seguros'!$L$3)</f>
        <v>0</v>
      </c>
      <c r="E745" s="19">
        <f>+SUMIFS(Regiones[Contestadas],Regiones[Fecha],Tabla54[[#This Row],[Fecha]],Regiones[Intervalo],Tabla54[[#This Row],[Intervalo]],Regiones[Skill],'BUPA Seguros'!$L$3)</f>
        <v>0</v>
      </c>
      <c r="F745" s="20">
        <v>0</v>
      </c>
      <c r="G745" s="19">
        <f>IFERROR(SUMIFS(Regiones[TMO],Regiones[Fecha],Tabla54[[#This Row],[Fecha]],Regiones[Intervalo],Tabla54[[#This Row],[Intervalo]],Regiones[Skill],'BUPA Seguros'!$L$3)/Tabla54[[#This Row],[Atendidas]],0)</f>
        <v>0</v>
      </c>
      <c r="H7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5" s="21">
        <f>IFERROR(Tabla54[[#This Row],[Atendidas]]/Tabla54[[#This Row],[Recibidas]],0)</f>
        <v>0</v>
      </c>
    </row>
    <row r="746" spans="2:9" x14ac:dyDescent="0.3">
      <c r="B746" s="27">
        <f t="shared" si="28"/>
        <v>46219</v>
      </c>
      <c r="C746" s="18">
        <v>0.41666666666666702</v>
      </c>
      <c r="D746" s="19">
        <f>+SUMIFS(Regiones[Ofrecidas],Regiones[Fecha],Tabla54[[#This Row],[Fecha]],Regiones[Intervalo],Tabla54[[#This Row],[Intervalo]],Regiones[Skill],'BUPA Seguros'!$L$3)</f>
        <v>0</v>
      </c>
      <c r="E746" s="19">
        <f>+SUMIFS(Regiones[Contestadas],Regiones[Fecha],Tabla54[[#This Row],[Fecha]],Regiones[Intervalo],Tabla54[[#This Row],[Intervalo]],Regiones[Skill],'BUPA Seguros'!$L$3)</f>
        <v>0</v>
      </c>
      <c r="F746" s="20">
        <v>0</v>
      </c>
      <c r="G746" s="19">
        <f>IFERROR(SUMIFS(Regiones[TMO],Regiones[Fecha],Tabla54[[#This Row],[Fecha]],Regiones[Intervalo],Tabla54[[#This Row],[Intervalo]],Regiones[Skill],'BUPA Seguros'!$L$3)/Tabla54[[#This Row],[Atendidas]],0)</f>
        <v>0</v>
      </c>
      <c r="H7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6" s="21">
        <f>IFERROR(Tabla54[[#This Row],[Atendidas]]/Tabla54[[#This Row],[Recibidas]],0)</f>
        <v>0</v>
      </c>
    </row>
    <row r="747" spans="2:9" x14ac:dyDescent="0.3">
      <c r="B747" s="25">
        <f t="shared" si="28"/>
        <v>46219</v>
      </c>
      <c r="C747" s="26">
        <v>0.4375</v>
      </c>
      <c r="D747" s="19">
        <f>+SUMIFS(Regiones[Ofrecidas],Regiones[Fecha],Tabla54[[#This Row],[Fecha]],Regiones[Intervalo],Tabla54[[#This Row],[Intervalo]],Regiones[Skill],'BUPA Seguros'!$L$3)</f>
        <v>0</v>
      </c>
      <c r="E747" s="19">
        <f>+SUMIFS(Regiones[Contestadas],Regiones[Fecha],Tabla54[[#This Row],[Fecha]],Regiones[Intervalo],Tabla54[[#This Row],[Intervalo]],Regiones[Skill],'BUPA Seguros'!$L$3)</f>
        <v>0</v>
      </c>
      <c r="F747" s="20">
        <v>0</v>
      </c>
      <c r="G747" s="19">
        <f>IFERROR(SUMIFS(Regiones[TMO],Regiones[Fecha],Tabla54[[#This Row],[Fecha]],Regiones[Intervalo],Tabla54[[#This Row],[Intervalo]],Regiones[Skill],'BUPA Seguros'!$L$3)/Tabla54[[#This Row],[Atendidas]],0)</f>
        <v>0</v>
      </c>
      <c r="H7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7" s="21">
        <f>IFERROR(Tabla54[[#This Row],[Atendidas]]/Tabla54[[#This Row],[Recibidas]],0)</f>
        <v>0</v>
      </c>
    </row>
    <row r="748" spans="2:9" x14ac:dyDescent="0.3">
      <c r="B748" s="27">
        <f t="shared" si="28"/>
        <v>46219</v>
      </c>
      <c r="C748" s="18">
        <v>0.45833333333333298</v>
      </c>
      <c r="D748" s="19">
        <f>+SUMIFS(Regiones[Ofrecidas],Regiones[Fecha],Tabla54[[#This Row],[Fecha]],Regiones[Intervalo],Tabla54[[#This Row],[Intervalo]],Regiones[Skill],'BUPA Seguros'!$L$3)</f>
        <v>0</v>
      </c>
      <c r="E748" s="19">
        <f>+SUMIFS(Regiones[Contestadas],Regiones[Fecha],Tabla54[[#This Row],[Fecha]],Regiones[Intervalo],Tabla54[[#This Row],[Intervalo]],Regiones[Skill],'BUPA Seguros'!$L$3)</f>
        <v>0</v>
      </c>
      <c r="F748" s="20">
        <v>0</v>
      </c>
      <c r="G748" s="19">
        <f>IFERROR(SUMIFS(Regiones[TMO],Regiones[Fecha],Tabla54[[#This Row],[Fecha]],Regiones[Intervalo],Tabla54[[#This Row],[Intervalo]],Regiones[Skill],'BUPA Seguros'!$L$3)/Tabla54[[#This Row],[Atendidas]],0)</f>
        <v>0</v>
      </c>
      <c r="H7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8" s="21">
        <f>IFERROR(Tabla54[[#This Row],[Atendidas]]/Tabla54[[#This Row],[Recibidas]],0)</f>
        <v>0</v>
      </c>
    </row>
    <row r="749" spans="2:9" x14ac:dyDescent="0.3">
      <c r="B749" s="25">
        <f t="shared" si="28"/>
        <v>46219</v>
      </c>
      <c r="C749" s="26">
        <v>0.47916666666666702</v>
      </c>
      <c r="D749" s="19">
        <f>+SUMIFS(Regiones[Ofrecidas],Regiones[Fecha],Tabla54[[#This Row],[Fecha]],Regiones[Intervalo],Tabla54[[#This Row],[Intervalo]],Regiones[Skill],'BUPA Seguros'!$L$3)</f>
        <v>0</v>
      </c>
      <c r="E749" s="19">
        <f>+SUMIFS(Regiones[Contestadas],Regiones[Fecha],Tabla54[[#This Row],[Fecha]],Regiones[Intervalo],Tabla54[[#This Row],[Intervalo]],Regiones[Skill],'BUPA Seguros'!$L$3)</f>
        <v>0</v>
      </c>
      <c r="F749" s="20">
        <v>0</v>
      </c>
      <c r="G749" s="19">
        <f>IFERROR(SUMIFS(Regiones[TMO],Regiones[Fecha],Tabla54[[#This Row],[Fecha]],Regiones[Intervalo],Tabla54[[#This Row],[Intervalo]],Regiones[Skill],'BUPA Seguros'!$L$3)/Tabla54[[#This Row],[Atendidas]],0)</f>
        <v>0</v>
      </c>
      <c r="H7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49" s="21">
        <f>IFERROR(Tabla54[[#This Row],[Atendidas]]/Tabla54[[#This Row],[Recibidas]],0)</f>
        <v>0</v>
      </c>
    </row>
    <row r="750" spans="2:9" x14ac:dyDescent="0.3">
      <c r="B750" s="27">
        <f t="shared" si="28"/>
        <v>46219</v>
      </c>
      <c r="C750" s="18">
        <v>0.5</v>
      </c>
      <c r="D750" s="19">
        <f>+SUMIFS(Regiones[Ofrecidas],Regiones[Fecha],Tabla54[[#This Row],[Fecha]],Regiones[Intervalo],Tabla54[[#This Row],[Intervalo]],Regiones[Skill],'BUPA Seguros'!$L$3)</f>
        <v>0</v>
      </c>
      <c r="E750" s="19">
        <f>+SUMIFS(Regiones[Contestadas],Regiones[Fecha],Tabla54[[#This Row],[Fecha]],Regiones[Intervalo],Tabla54[[#This Row],[Intervalo]],Regiones[Skill],'BUPA Seguros'!$L$3)</f>
        <v>0</v>
      </c>
      <c r="F750" s="20">
        <v>0</v>
      </c>
      <c r="G750" s="19">
        <f>IFERROR(SUMIFS(Regiones[TMO],Regiones[Fecha],Tabla54[[#This Row],[Fecha]],Regiones[Intervalo],Tabla54[[#This Row],[Intervalo]],Regiones[Skill],'BUPA Seguros'!$L$3)/Tabla54[[#This Row],[Atendidas]],0)</f>
        <v>0</v>
      </c>
      <c r="H7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0" s="21">
        <f>IFERROR(Tabla54[[#This Row],[Atendidas]]/Tabla54[[#This Row],[Recibidas]],0)</f>
        <v>0</v>
      </c>
    </row>
    <row r="751" spans="2:9" x14ac:dyDescent="0.3">
      <c r="B751" s="25">
        <f t="shared" si="28"/>
        <v>46219</v>
      </c>
      <c r="C751" s="26">
        <v>0.52083333333333304</v>
      </c>
      <c r="D751" s="19">
        <f>+SUMIFS(Regiones[Ofrecidas],Regiones[Fecha],Tabla54[[#This Row],[Fecha]],Regiones[Intervalo],Tabla54[[#This Row],[Intervalo]],Regiones[Skill],'BUPA Seguros'!$L$3)</f>
        <v>0</v>
      </c>
      <c r="E751" s="19">
        <f>+SUMIFS(Regiones[Contestadas],Regiones[Fecha],Tabla54[[#This Row],[Fecha]],Regiones[Intervalo],Tabla54[[#This Row],[Intervalo]],Regiones[Skill],'BUPA Seguros'!$L$3)</f>
        <v>0</v>
      </c>
      <c r="F751" s="20">
        <v>0</v>
      </c>
      <c r="G751" s="19">
        <f>IFERROR(SUMIFS(Regiones[TMO],Regiones[Fecha],Tabla54[[#This Row],[Fecha]],Regiones[Intervalo],Tabla54[[#This Row],[Intervalo]],Regiones[Skill],'BUPA Seguros'!$L$3)/Tabla54[[#This Row],[Atendidas]],0)</f>
        <v>0</v>
      </c>
      <c r="H7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1" s="21">
        <f>IFERROR(Tabla54[[#This Row],[Atendidas]]/Tabla54[[#This Row],[Recibidas]],0)</f>
        <v>0</v>
      </c>
    </row>
    <row r="752" spans="2:9" x14ac:dyDescent="0.3">
      <c r="B752" s="27">
        <f t="shared" si="28"/>
        <v>46219</v>
      </c>
      <c r="C752" s="18">
        <v>0.54166666666666696</v>
      </c>
      <c r="D752" s="19">
        <f>+SUMIFS(Regiones[Ofrecidas],Regiones[Fecha],Tabla54[[#This Row],[Fecha]],Regiones[Intervalo],Tabla54[[#This Row],[Intervalo]],Regiones[Skill],'BUPA Seguros'!$L$3)</f>
        <v>0</v>
      </c>
      <c r="E752" s="19">
        <f>+SUMIFS(Regiones[Contestadas],Regiones[Fecha],Tabla54[[#This Row],[Fecha]],Regiones[Intervalo],Tabla54[[#This Row],[Intervalo]],Regiones[Skill],'BUPA Seguros'!$L$3)</f>
        <v>0</v>
      </c>
      <c r="F752" s="20">
        <v>0</v>
      </c>
      <c r="G752" s="19">
        <f>IFERROR(SUMIFS(Regiones[TMO],Regiones[Fecha],Tabla54[[#This Row],[Fecha]],Regiones[Intervalo],Tabla54[[#This Row],[Intervalo]],Regiones[Skill],'BUPA Seguros'!$L$3)/Tabla54[[#This Row],[Atendidas]],0)</f>
        <v>0</v>
      </c>
      <c r="H7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2" s="21">
        <f>IFERROR(Tabla54[[#This Row],[Atendidas]]/Tabla54[[#This Row],[Recibidas]],0)</f>
        <v>0</v>
      </c>
    </row>
    <row r="753" spans="2:9" x14ac:dyDescent="0.3">
      <c r="B753" s="25">
        <f t="shared" si="28"/>
        <v>46219</v>
      </c>
      <c r="C753" s="26">
        <v>0.5625</v>
      </c>
      <c r="D753" s="19">
        <f>+SUMIFS(Regiones[Ofrecidas],Regiones[Fecha],Tabla54[[#This Row],[Fecha]],Regiones[Intervalo],Tabla54[[#This Row],[Intervalo]],Regiones[Skill],'BUPA Seguros'!$L$3)</f>
        <v>0</v>
      </c>
      <c r="E753" s="19">
        <f>+SUMIFS(Regiones[Contestadas],Regiones[Fecha],Tabla54[[#This Row],[Fecha]],Regiones[Intervalo],Tabla54[[#This Row],[Intervalo]],Regiones[Skill],'BUPA Seguros'!$L$3)</f>
        <v>0</v>
      </c>
      <c r="F753" s="20">
        <v>0</v>
      </c>
      <c r="G753" s="19">
        <f>IFERROR(SUMIFS(Regiones[TMO],Regiones[Fecha],Tabla54[[#This Row],[Fecha]],Regiones[Intervalo],Tabla54[[#This Row],[Intervalo]],Regiones[Skill],'BUPA Seguros'!$L$3)/Tabla54[[#This Row],[Atendidas]],0)</f>
        <v>0</v>
      </c>
      <c r="H7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3" s="21">
        <f>IFERROR(Tabla54[[#This Row],[Atendidas]]/Tabla54[[#This Row],[Recibidas]],0)</f>
        <v>0</v>
      </c>
    </row>
    <row r="754" spans="2:9" x14ac:dyDescent="0.3">
      <c r="B754" s="27">
        <f t="shared" si="28"/>
        <v>46219</v>
      </c>
      <c r="C754" s="18">
        <v>0.58333333333333304</v>
      </c>
      <c r="D754" s="19">
        <f>+SUMIFS(Regiones[Ofrecidas],Regiones[Fecha],Tabla54[[#This Row],[Fecha]],Regiones[Intervalo],Tabla54[[#This Row],[Intervalo]],Regiones[Skill],'BUPA Seguros'!$L$3)</f>
        <v>0</v>
      </c>
      <c r="E754" s="19">
        <f>+SUMIFS(Regiones[Contestadas],Regiones[Fecha],Tabla54[[#This Row],[Fecha]],Regiones[Intervalo],Tabla54[[#This Row],[Intervalo]],Regiones[Skill],'BUPA Seguros'!$L$3)</f>
        <v>0</v>
      </c>
      <c r="F754" s="20">
        <v>0</v>
      </c>
      <c r="G754" s="19">
        <f>IFERROR(SUMIFS(Regiones[TMO],Regiones[Fecha],Tabla54[[#This Row],[Fecha]],Regiones[Intervalo],Tabla54[[#This Row],[Intervalo]],Regiones[Skill],'BUPA Seguros'!$L$3)/Tabla54[[#This Row],[Atendidas]],0)</f>
        <v>0</v>
      </c>
      <c r="H7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4" s="21">
        <f>IFERROR(Tabla54[[#This Row],[Atendidas]]/Tabla54[[#This Row],[Recibidas]],0)</f>
        <v>0</v>
      </c>
    </row>
    <row r="755" spans="2:9" x14ac:dyDescent="0.3">
      <c r="B755" s="25">
        <f t="shared" si="28"/>
        <v>46219</v>
      </c>
      <c r="C755" s="26">
        <v>0.60416666666666696</v>
      </c>
      <c r="D755" s="19">
        <f>+SUMIFS(Regiones[Ofrecidas],Regiones[Fecha],Tabla54[[#This Row],[Fecha]],Regiones[Intervalo],Tabla54[[#This Row],[Intervalo]],Regiones[Skill],'BUPA Seguros'!$L$3)</f>
        <v>0</v>
      </c>
      <c r="E755" s="19">
        <f>+SUMIFS(Regiones[Contestadas],Regiones[Fecha],Tabla54[[#This Row],[Fecha]],Regiones[Intervalo],Tabla54[[#This Row],[Intervalo]],Regiones[Skill],'BUPA Seguros'!$L$3)</f>
        <v>0</v>
      </c>
      <c r="F755" s="20">
        <v>0</v>
      </c>
      <c r="G755" s="19">
        <f>IFERROR(SUMIFS(Regiones[TMO],Regiones[Fecha],Tabla54[[#This Row],[Fecha]],Regiones[Intervalo],Tabla54[[#This Row],[Intervalo]],Regiones[Skill],'BUPA Seguros'!$L$3)/Tabla54[[#This Row],[Atendidas]],0)</f>
        <v>0</v>
      </c>
      <c r="H7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5" s="21">
        <f>IFERROR(Tabla54[[#This Row],[Atendidas]]/Tabla54[[#This Row],[Recibidas]],0)</f>
        <v>0</v>
      </c>
    </row>
    <row r="756" spans="2:9" x14ac:dyDescent="0.3">
      <c r="B756" s="27">
        <f t="shared" si="28"/>
        <v>46219</v>
      </c>
      <c r="C756" s="18">
        <v>0.625</v>
      </c>
      <c r="D756" s="19">
        <f>+SUMIFS(Regiones[Ofrecidas],Regiones[Fecha],Tabla54[[#This Row],[Fecha]],Regiones[Intervalo],Tabla54[[#This Row],[Intervalo]],Regiones[Skill],'BUPA Seguros'!$L$3)</f>
        <v>0</v>
      </c>
      <c r="E756" s="19">
        <f>+SUMIFS(Regiones[Contestadas],Regiones[Fecha],Tabla54[[#This Row],[Fecha]],Regiones[Intervalo],Tabla54[[#This Row],[Intervalo]],Regiones[Skill],'BUPA Seguros'!$L$3)</f>
        <v>0</v>
      </c>
      <c r="F756" s="20">
        <v>0</v>
      </c>
      <c r="G756" s="19">
        <f>IFERROR(SUMIFS(Regiones[TMO],Regiones[Fecha],Tabla54[[#This Row],[Fecha]],Regiones[Intervalo],Tabla54[[#This Row],[Intervalo]],Regiones[Skill],'BUPA Seguros'!$L$3)/Tabla54[[#This Row],[Atendidas]],0)</f>
        <v>0</v>
      </c>
      <c r="H7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6" s="21">
        <f>IFERROR(Tabla54[[#This Row],[Atendidas]]/Tabla54[[#This Row],[Recibidas]],0)</f>
        <v>0</v>
      </c>
    </row>
    <row r="757" spans="2:9" x14ac:dyDescent="0.3">
      <c r="B757" s="25">
        <f t="shared" si="28"/>
        <v>46219</v>
      </c>
      <c r="C757" s="26">
        <v>0.64583333333333304</v>
      </c>
      <c r="D757" s="19">
        <f>+SUMIFS(Regiones[Ofrecidas],Regiones[Fecha],Tabla54[[#This Row],[Fecha]],Regiones[Intervalo],Tabla54[[#This Row],[Intervalo]],Regiones[Skill],'BUPA Seguros'!$L$3)</f>
        <v>0</v>
      </c>
      <c r="E757" s="19">
        <f>+SUMIFS(Regiones[Contestadas],Regiones[Fecha],Tabla54[[#This Row],[Fecha]],Regiones[Intervalo],Tabla54[[#This Row],[Intervalo]],Regiones[Skill],'BUPA Seguros'!$L$3)</f>
        <v>0</v>
      </c>
      <c r="F757" s="20">
        <v>0</v>
      </c>
      <c r="G757" s="19">
        <f>IFERROR(SUMIFS(Regiones[TMO],Regiones[Fecha],Tabla54[[#This Row],[Fecha]],Regiones[Intervalo],Tabla54[[#This Row],[Intervalo]],Regiones[Skill],'BUPA Seguros'!$L$3)/Tabla54[[#This Row],[Atendidas]],0)</f>
        <v>0</v>
      </c>
      <c r="H7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7" s="21">
        <f>IFERROR(Tabla54[[#This Row],[Atendidas]]/Tabla54[[#This Row],[Recibidas]],0)</f>
        <v>0</v>
      </c>
    </row>
    <row r="758" spans="2:9" x14ac:dyDescent="0.3">
      <c r="B758" s="27">
        <f t="shared" si="28"/>
        <v>46219</v>
      </c>
      <c r="C758" s="18">
        <v>0.66666666666666696</v>
      </c>
      <c r="D758" s="19">
        <f>+SUMIFS(Regiones[Ofrecidas],Regiones[Fecha],Tabla54[[#This Row],[Fecha]],Regiones[Intervalo],Tabla54[[#This Row],[Intervalo]],Regiones[Skill],'BUPA Seguros'!$L$3)</f>
        <v>0</v>
      </c>
      <c r="E758" s="19">
        <f>+SUMIFS(Regiones[Contestadas],Regiones[Fecha],Tabla54[[#This Row],[Fecha]],Regiones[Intervalo],Tabla54[[#This Row],[Intervalo]],Regiones[Skill],'BUPA Seguros'!$L$3)</f>
        <v>0</v>
      </c>
      <c r="F758" s="20">
        <v>0</v>
      </c>
      <c r="G758" s="19">
        <f>IFERROR(SUMIFS(Regiones[TMO],Regiones[Fecha],Tabla54[[#This Row],[Fecha]],Regiones[Intervalo],Tabla54[[#This Row],[Intervalo]],Regiones[Skill],'BUPA Seguros'!$L$3)/Tabla54[[#This Row],[Atendidas]],0)</f>
        <v>0</v>
      </c>
      <c r="H7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8" s="21">
        <f>IFERROR(Tabla54[[#This Row],[Atendidas]]/Tabla54[[#This Row],[Recibidas]],0)</f>
        <v>0</v>
      </c>
    </row>
    <row r="759" spans="2:9" x14ac:dyDescent="0.3">
      <c r="B759" s="25">
        <f t="shared" ref="B759:B821" si="31">+B758</f>
        <v>46219</v>
      </c>
      <c r="C759" s="26">
        <v>0.6875</v>
      </c>
      <c r="D759" s="19">
        <f>+SUMIFS(Regiones[Ofrecidas],Regiones[Fecha],Tabla54[[#This Row],[Fecha]],Regiones[Intervalo],Tabla54[[#This Row],[Intervalo]],Regiones[Skill],'BUPA Seguros'!$L$3)</f>
        <v>0</v>
      </c>
      <c r="E759" s="19">
        <f>+SUMIFS(Regiones[Contestadas],Regiones[Fecha],Tabla54[[#This Row],[Fecha]],Regiones[Intervalo],Tabla54[[#This Row],[Intervalo]],Regiones[Skill],'BUPA Seguros'!$L$3)</f>
        <v>0</v>
      </c>
      <c r="F759" s="20">
        <v>0</v>
      </c>
      <c r="G759" s="19">
        <f>IFERROR(SUMIFS(Regiones[TMO],Regiones[Fecha],Tabla54[[#This Row],[Fecha]],Regiones[Intervalo],Tabla54[[#This Row],[Intervalo]],Regiones[Skill],'BUPA Seguros'!$L$3)/Tabla54[[#This Row],[Atendidas]],0)</f>
        <v>0</v>
      </c>
      <c r="H7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59" s="21">
        <f>IFERROR(Tabla54[[#This Row],[Atendidas]]/Tabla54[[#This Row],[Recibidas]],0)</f>
        <v>0</v>
      </c>
    </row>
    <row r="760" spans="2:9" x14ac:dyDescent="0.3">
      <c r="B760" s="27">
        <f t="shared" si="31"/>
        <v>46219</v>
      </c>
      <c r="C760" s="18">
        <v>0.70833333333333304</v>
      </c>
      <c r="D760" s="19">
        <f>+SUMIFS(Regiones[Ofrecidas],Regiones[Fecha],Tabla54[[#This Row],[Fecha]],Regiones[Intervalo],Tabla54[[#This Row],[Intervalo]],Regiones[Skill],'BUPA Seguros'!$L$3)</f>
        <v>0</v>
      </c>
      <c r="E760" s="19">
        <f>+SUMIFS(Regiones[Contestadas],Regiones[Fecha],Tabla54[[#This Row],[Fecha]],Regiones[Intervalo],Tabla54[[#This Row],[Intervalo]],Regiones[Skill],'BUPA Seguros'!$L$3)</f>
        <v>0</v>
      </c>
      <c r="F760" s="20">
        <v>0</v>
      </c>
      <c r="G760" s="19">
        <f>IFERROR(SUMIFS(Regiones[TMO],Regiones[Fecha],Tabla54[[#This Row],[Fecha]],Regiones[Intervalo],Tabla54[[#This Row],[Intervalo]],Regiones[Skill],'BUPA Seguros'!$L$3)/Tabla54[[#This Row],[Atendidas]],0)</f>
        <v>0</v>
      </c>
      <c r="H7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0" s="21">
        <f>IFERROR(Tabla54[[#This Row],[Atendidas]]/Tabla54[[#This Row],[Recibidas]],0)</f>
        <v>0</v>
      </c>
    </row>
    <row r="761" spans="2:9" x14ac:dyDescent="0.3">
      <c r="B761" s="25">
        <f t="shared" si="31"/>
        <v>46219</v>
      </c>
      <c r="C761" s="26">
        <v>0.72916666666666696</v>
      </c>
      <c r="D761" s="19">
        <f>+SUMIFS(Regiones[Ofrecidas],Regiones[Fecha],Tabla54[[#This Row],[Fecha]],Regiones[Intervalo],Tabla54[[#This Row],[Intervalo]],Regiones[Skill],'BUPA Seguros'!$L$3)</f>
        <v>0</v>
      </c>
      <c r="E761" s="19">
        <f>+SUMIFS(Regiones[Contestadas],Regiones[Fecha],Tabla54[[#This Row],[Fecha]],Regiones[Intervalo],Tabla54[[#This Row],[Intervalo]],Regiones[Skill],'BUPA Seguros'!$L$3)</f>
        <v>0</v>
      </c>
      <c r="F761" s="20">
        <v>0</v>
      </c>
      <c r="G761" s="19">
        <f>IFERROR(SUMIFS(Regiones[TMO],Regiones[Fecha],Tabla54[[#This Row],[Fecha]],Regiones[Intervalo],Tabla54[[#This Row],[Intervalo]],Regiones[Skill],'BUPA Seguros'!$L$3)/Tabla54[[#This Row],[Atendidas]],0)</f>
        <v>0</v>
      </c>
      <c r="H7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1" s="21">
        <f>IFERROR(Tabla54[[#This Row],[Atendidas]]/Tabla54[[#This Row],[Recibidas]],0)</f>
        <v>0</v>
      </c>
    </row>
    <row r="762" spans="2:9" x14ac:dyDescent="0.3">
      <c r="B762" s="27">
        <f t="shared" si="31"/>
        <v>46219</v>
      </c>
      <c r="C762" s="18">
        <v>0.75</v>
      </c>
      <c r="D762" s="19">
        <f>+SUMIFS(Regiones[Ofrecidas],Regiones[Fecha],Tabla54[[#This Row],[Fecha]],Regiones[Intervalo],Tabla54[[#This Row],[Intervalo]],Regiones[Skill],'BUPA Seguros'!$L$3)</f>
        <v>0</v>
      </c>
      <c r="E762" s="19">
        <f>+SUMIFS(Regiones[Contestadas],Regiones[Fecha],Tabla54[[#This Row],[Fecha]],Regiones[Intervalo],Tabla54[[#This Row],[Intervalo]],Regiones[Skill],'BUPA Seguros'!$L$3)</f>
        <v>0</v>
      </c>
      <c r="F762" s="20">
        <v>0</v>
      </c>
      <c r="G762" s="19">
        <f>IFERROR(SUMIFS(Regiones[TMO],Regiones[Fecha],Tabla54[[#This Row],[Fecha]],Regiones[Intervalo],Tabla54[[#This Row],[Intervalo]],Regiones[Skill],'BUPA Seguros'!$L$3)/Tabla54[[#This Row],[Atendidas]],0)</f>
        <v>0</v>
      </c>
      <c r="H7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2" s="21">
        <f>IFERROR(Tabla54[[#This Row],[Atendidas]]/Tabla54[[#This Row],[Recibidas]],0)</f>
        <v>0</v>
      </c>
    </row>
    <row r="763" spans="2:9" x14ac:dyDescent="0.3">
      <c r="B763" s="25">
        <f t="shared" si="31"/>
        <v>46219</v>
      </c>
      <c r="C763" s="26">
        <v>0.77083333333333304</v>
      </c>
      <c r="D763" s="19">
        <f>+SUMIFS(Regiones[Ofrecidas],Regiones[Fecha],Tabla54[[#This Row],[Fecha]],Regiones[Intervalo],Tabla54[[#This Row],[Intervalo]],Regiones[Skill],'BUPA Seguros'!$L$3)</f>
        <v>0</v>
      </c>
      <c r="E763" s="19">
        <f>+SUMIFS(Regiones[Contestadas],Regiones[Fecha],Tabla54[[#This Row],[Fecha]],Regiones[Intervalo],Tabla54[[#This Row],[Intervalo]],Regiones[Skill],'BUPA Seguros'!$L$3)</f>
        <v>0</v>
      </c>
      <c r="F763" s="20">
        <v>0</v>
      </c>
      <c r="G763" s="19">
        <f>IFERROR(SUMIFS(Regiones[TMO],Regiones[Fecha],Tabla54[[#This Row],[Fecha]],Regiones[Intervalo],Tabla54[[#This Row],[Intervalo]],Regiones[Skill],'BUPA Seguros'!$L$3)/Tabla54[[#This Row],[Atendidas]],0)</f>
        <v>0</v>
      </c>
      <c r="H7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3" s="21">
        <f>IFERROR(Tabla54[[#This Row],[Atendidas]]/Tabla54[[#This Row],[Recibidas]],0)</f>
        <v>0</v>
      </c>
    </row>
    <row r="764" spans="2:9" x14ac:dyDescent="0.3">
      <c r="B764" s="27">
        <f t="shared" si="31"/>
        <v>46219</v>
      </c>
      <c r="C764" s="18">
        <v>0.79166666666666696</v>
      </c>
      <c r="D764" s="19">
        <f>+SUMIFS(Regiones[Ofrecidas],Regiones[Fecha],Tabla54[[#This Row],[Fecha]],Regiones[Intervalo],Tabla54[[#This Row],[Intervalo]],Regiones[Skill],'BUPA Seguros'!$L$3)</f>
        <v>0</v>
      </c>
      <c r="E764" s="19">
        <f>+SUMIFS(Regiones[Contestadas],Regiones[Fecha],Tabla54[[#This Row],[Fecha]],Regiones[Intervalo],Tabla54[[#This Row],[Intervalo]],Regiones[Skill],'BUPA Seguros'!$L$3)</f>
        <v>0</v>
      </c>
      <c r="F764" s="20">
        <v>0</v>
      </c>
      <c r="G764" s="19">
        <f>IFERROR(SUMIFS(Regiones[TMO],Regiones[Fecha],Tabla54[[#This Row],[Fecha]],Regiones[Intervalo],Tabla54[[#This Row],[Intervalo]],Regiones[Skill],'BUPA Seguros'!$L$3)/Tabla54[[#This Row],[Atendidas]],0)</f>
        <v>0</v>
      </c>
      <c r="H7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4" s="21">
        <f>IFERROR(Tabla54[[#This Row],[Atendidas]]/Tabla54[[#This Row],[Recibidas]],0)</f>
        <v>0</v>
      </c>
    </row>
    <row r="765" spans="2:9" x14ac:dyDescent="0.3">
      <c r="B765" s="25">
        <f t="shared" si="31"/>
        <v>46219</v>
      </c>
      <c r="C765" s="26">
        <v>0.8125</v>
      </c>
      <c r="D765" s="19">
        <f>+SUMIFS(Regiones[Ofrecidas],Regiones[Fecha],Tabla54[[#This Row],[Fecha]],Regiones[Intervalo],Tabla54[[#This Row],[Intervalo]],Regiones[Skill],'BUPA Seguros'!$L$3)</f>
        <v>0</v>
      </c>
      <c r="E765" s="19">
        <f>+SUMIFS(Regiones[Contestadas],Regiones[Fecha],Tabla54[[#This Row],[Fecha]],Regiones[Intervalo],Tabla54[[#This Row],[Intervalo]],Regiones[Skill],'BUPA Seguros'!$L$3)</f>
        <v>0</v>
      </c>
      <c r="F765" s="20">
        <v>0</v>
      </c>
      <c r="G765" s="19">
        <f>IFERROR(SUMIFS(Regiones[TMO],Regiones[Fecha],Tabla54[[#This Row],[Fecha]],Regiones[Intervalo],Tabla54[[#This Row],[Intervalo]],Regiones[Skill],'BUPA Seguros'!$L$3)/Tabla54[[#This Row],[Atendidas]],0)</f>
        <v>0</v>
      </c>
      <c r="H7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5" s="21">
        <f>IFERROR(Tabla54[[#This Row],[Atendidas]]/Tabla54[[#This Row],[Recibidas]],0)</f>
        <v>0</v>
      </c>
    </row>
    <row r="766" spans="2:9" x14ac:dyDescent="0.3">
      <c r="B766" s="27">
        <f t="shared" si="31"/>
        <v>46219</v>
      </c>
      <c r="C766" s="18">
        <v>0.83333333333333304</v>
      </c>
      <c r="D766" s="19">
        <f>+SUMIFS(Regiones[Ofrecidas],Regiones[Fecha],Tabla54[[#This Row],[Fecha]],Regiones[Intervalo],Tabla54[[#This Row],[Intervalo]],Regiones[Skill],'BUPA Seguros'!$L$3)</f>
        <v>0</v>
      </c>
      <c r="E766" s="19">
        <f>+SUMIFS(Regiones[Contestadas],Regiones[Fecha],Tabla54[[#This Row],[Fecha]],Regiones[Intervalo],Tabla54[[#This Row],[Intervalo]],Regiones[Skill],'BUPA Seguros'!$L$3)</f>
        <v>0</v>
      </c>
      <c r="F766" s="20">
        <v>0</v>
      </c>
      <c r="G766" s="19">
        <f>IFERROR(SUMIFS(Regiones[TMO],Regiones[Fecha],Tabla54[[#This Row],[Fecha]],Regiones[Intervalo],Tabla54[[#This Row],[Intervalo]],Regiones[Skill],'BUPA Seguros'!$L$3)/Tabla54[[#This Row],[Atendidas]],0)</f>
        <v>0</v>
      </c>
      <c r="H7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6" s="21">
        <f>IFERROR(Tabla54[[#This Row],[Atendidas]]/Tabla54[[#This Row],[Recibidas]],0)</f>
        <v>0</v>
      </c>
    </row>
    <row r="767" spans="2:9" x14ac:dyDescent="0.3">
      <c r="B767" s="25">
        <f t="shared" si="31"/>
        <v>46219</v>
      </c>
      <c r="C767" s="26">
        <v>0.85416666666666696</v>
      </c>
      <c r="D767" s="19">
        <f>+SUMIFS(Regiones[Ofrecidas],Regiones[Fecha],Tabla54[[#This Row],[Fecha]],Regiones[Intervalo],Tabla54[[#This Row],[Intervalo]],Regiones[Skill],'BUPA Seguros'!$L$3)</f>
        <v>0</v>
      </c>
      <c r="E767" s="19">
        <f>+SUMIFS(Regiones[Contestadas],Regiones[Fecha],Tabla54[[#This Row],[Fecha]],Regiones[Intervalo],Tabla54[[#This Row],[Intervalo]],Regiones[Skill],'BUPA Seguros'!$L$3)</f>
        <v>0</v>
      </c>
      <c r="F767" s="20">
        <v>0</v>
      </c>
      <c r="G767" s="19">
        <f>IFERROR(SUMIFS(Regiones[TMO],Regiones[Fecha],Tabla54[[#This Row],[Fecha]],Regiones[Intervalo],Tabla54[[#This Row],[Intervalo]],Regiones[Skill],'BUPA Seguros'!$L$3)/Tabla54[[#This Row],[Atendidas]],0)</f>
        <v>0</v>
      </c>
      <c r="H7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7" s="21">
        <f>IFERROR(Tabla54[[#This Row],[Atendidas]]/Tabla54[[#This Row],[Recibidas]],0)</f>
        <v>0</v>
      </c>
    </row>
    <row r="768" spans="2:9" x14ac:dyDescent="0.3">
      <c r="B768" s="27">
        <f t="shared" si="31"/>
        <v>46219</v>
      </c>
      <c r="C768" s="18">
        <v>0.875</v>
      </c>
      <c r="D768" s="19">
        <f>+SUMIFS(Regiones[Ofrecidas],Regiones[Fecha],Tabla54[[#This Row],[Fecha]],Regiones[Intervalo],Tabla54[[#This Row],[Intervalo]],Regiones[Skill],'BUPA Seguros'!$L$3)</f>
        <v>0</v>
      </c>
      <c r="E768" s="19">
        <f>+SUMIFS(Regiones[Contestadas],Regiones[Fecha],Tabla54[[#This Row],[Fecha]],Regiones[Intervalo],Tabla54[[#This Row],[Intervalo]],Regiones[Skill],'BUPA Seguros'!$L$3)</f>
        <v>0</v>
      </c>
      <c r="F768" s="20">
        <v>0</v>
      </c>
      <c r="G768" s="19">
        <f>IFERROR(SUMIFS(Regiones[TMO],Regiones[Fecha],Tabla54[[#This Row],[Fecha]],Regiones[Intervalo],Tabla54[[#This Row],[Intervalo]],Regiones[Skill],'BUPA Seguros'!$L$3)/Tabla54[[#This Row],[Atendidas]],0)</f>
        <v>0</v>
      </c>
      <c r="H7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8" s="21">
        <f>IFERROR(Tabla54[[#This Row],[Atendidas]]/Tabla54[[#This Row],[Recibidas]],0)</f>
        <v>0</v>
      </c>
    </row>
    <row r="769" spans="2:9" x14ac:dyDescent="0.3">
      <c r="B769" s="25">
        <f t="shared" si="31"/>
        <v>46219</v>
      </c>
      <c r="C769" s="26">
        <v>0.89583333333333304</v>
      </c>
      <c r="D769" s="19">
        <f>+SUMIFS(Regiones[Ofrecidas],Regiones[Fecha],Tabla54[[#This Row],[Fecha]],Regiones[Intervalo],Tabla54[[#This Row],[Intervalo]],Regiones[Skill],'BUPA Seguros'!$L$3)</f>
        <v>0</v>
      </c>
      <c r="E769" s="19">
        <f>+SUMIFS(Regiones[Contestadas],Regiones[Fecha],Tabla54[[#This Row],[Fecha]],Regiones[Intervalo],Tabla54[[#This Row],[Intervalo]],Regiones[Skill],'BUPA Seguros'!$L$3)</f>
        <v>0</v>
      </c>
      <c r="F769" s="20">
        <v>0</v>
      </c>
      <c r="G769" s="19">
        <f>IFERROR(SUMIFS(Regiones[TMO],Regiones[Fecha],Tabla54[[#This Row],[Fecha]],Regiones[Intervalo],Tabla54[[#This Row],[Intervalo]],Regiones[Skill],'BUPA Seguros'!$L$3)/Tabla54[[#This Row],[Atendidas]],0)</f>
        <v>0</v>
      </c>
      <c r="H7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69" s="21">
        <f>IFERROR(Tabla54[[#This Row],[Atendidas]]/Tabla54[[#This Row],[Recibidas]],0)</f>
        <v>0</v>
      </c>
    </row>
    <row r="770" spans="2:9" x14ac:dyDescent="0.3">
      <c r="B770" s="27">
        <f t="shared" si="31"/>
        <v>46219</v>
      </c>
      <c r="C770" s="18">
        <v>0.91666666666666696</v>
      </c>
      <c r="D770" s="19">
        <f>+SUMIFS(Regiones[Ofrecidas],Regiones[Fecha],Tabla54[[#This Row],[Fecha]],Regiones[Intervalo],Tabla54[[#This Row],[Intervalo]],Regiones[Skill],'BUPA Seguros'!$L$3)</f>
        <v>0</v>
      </c>
      <c r="E770" s="19">
        <f>+SUMIFS(Regiones[Contestadas],Regiones[Fecha],Tabla54[[#This Row],[Fecha]],Regiones[Intervalo],Tabla54[[#This Row],[Intervalo]],Regiones[Skill],'BUPA Seguros'!$L$3)</f>
        <v>0</v>
      </c>
      <c r="F770" s="20">
        <v>0</v>
      </c>
      <c r="G770" s="19">
        <f>IFERROR(SUMIFS(Regiones[TMO],Regiones[Fecha],Tabla54[[#This Row],[Fecha]],Regiones[Intervalo],Tabla54[[#This Row],[Intervalo]],Regiones[Skill],'BUPA Seguros'!$L$3)/Tabla54[[#This Row],[Atendidas]],0)</f>
        <v>0</v>
      </c>
      <c r="H7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0" s="21">
        <f>IFERROR(Tabla54[[#This Row],[Atendidas]]/Tabla54[[#This Row],[Recibidas]],0)</f>
        <v>0</v>
      </c>
    </row>
    <row r="771" spans="2:9" x14ac:dyDescent="0.3">
      <c r="B771" s="25">
        <f t="shared" si="31"/>
        <v>46219</v>
      </c>
      <c r="C771" s="26">
        <v>0.9375</v>
      </c>
      <c r="D771" s="19">
        <f>+SUMIFS(Regiones[Ofrecidas],Regiones[Fecha],Tabla54[[#This Row],[Fecha]],Regiones[Intervalo],Tabla54[[#This Row],[Intervalo]],Regiones[Skill],'BUPA Seguros'!$L$3)</f>
        <v>0</v>
      </c>
      <c r="E771" s="19">
        <f>+SUMIFS(Regiones[Contestadas],Regiones[Fecha],Tabla54[[#This Row],[Fecha]],Regiones[Intervalo],Tabla54[[#This Row],[Intervalo]],Regiones[Skill],'BUPA Seguros'!$L$3)</f>
        <v>0</v>
      </c>
      <c r="F771" s="20">
        <v>0</v>
      </c>
      <c r="G771" s="19">
        <f>IFERROR(SUMIFS(Regiones[TMO],Regiones[Fecha],Tabla54[[#This Row],[Fecha]],Regiones[Intervalo],Tabla54[[#This Row],[Intervalo]],Regiones[Skill],'BUPA Seguros'!$L$3)/Tabla54[[#This Row],[Atendidas]],0)</f>
        <v>0</v>
      </c>
      <c r="H7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1" s="21">
        <f>IFERROR(Tabla54[[#This Row],[Atendidas]]/Tabla54[[#This Row],[Recibidas]],0)</f>
        <v>0</v>
      </c>
    </row>
    <row r="772" spans="2:9" x14ac:dyDescent="0.3">
      <c r="B772" s="27">
        <f t="shared" si="31"/>
        <v>46219</v>
      </c>
      <c r="C772" s="18">
        <v>0.95833333333333304</v>
      </c>
      <c r="D772" s="19">
        <f>+SUMIFS(Regiones[Ofrecidas],Regiones[Fecha],Tabla54[[#This Row],[Fecha]],Regiones[Intervalo],Tabla54[[#This Row],[Intervalo]],Regiones[Skill],'BUPA Seguros'!$L$3)</f>
        <v>0</v>
      </c>
      <c r="E772" s="19">
        <f>+SUMIFS(Regiones[Contestadas],Regiones[Fecha],Tabla54[[#This Row],[Fecha]],Regiones[Intervalo],Tabla54[[#This Row],[Intervalo]],Regiones[Skill],'BUPA Seguros'!$L$3)</f>
        <v>0</v>
      </c>
      <c r="F772" s="20">
        <v>0</v>
      </c>
      <c r="G772" s="19">
        <f>IFERROR(SUMIFS(Regiones[TMO],Regiones[Fecha],Tabla54[[#This Row],[Fecha]],Regiones[Intervalo],Tabla54[[#This Row],[Intervalo]],Regiones[Skill],'BUPA Seguros'!$L$3)/Tabla54[[#This Row],[Atendidas]],0)</f>
        <v>0</v>
      </c>
      <c r="H7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2" s="21">
        <f>IFERROR(Tabla54[[#This Row],[Atendidas]]/Tabla54[[#This Row],[Recibidas]],0)</f>
        <v>0</v>
      </c>
    </row>
    <row r="773" spans="2:9" x14ac:dyDescent="0.3">
      <c r="B773" s="25">
        <f t="shared" si="31"/>
        <v>46219</v>
      </c>
      <c r="C773" s="26">
        <v>0.97916666666666696</v>
      </c>
      <c r="D773" s="19">
        <f>+SUMIFS(Regiones[Ofrecidas],Regiones[Fecha],Tabla54[[#This Row],[Fecha]],Regiones[Intervalo],Tabla54[[#This Row],[Intervalo]],Regiones[Skill],'BUPA Seguros'!$L$3)</f>
        <v>0</v>
      </c>
      <c r="E773" s="19">
        <f>+SUMIFS(Regiones[Contestadas],Regiones[Fecha],Tabla54[[#This Row],[Fecha]],Regiones[Intervalo],Tabla54[[#This Row],[Intervalo]],Regiones[Skill],'BUPA Seguros'!$L$3)</f>
        <v>0</v>
      </c>
      <c r="F773" s="20">
        <v>0</v>
      </c>
      <c r="G773" s="19">
        <f>IFERROR(SUMIFS(Regiones[TMO],Regiones[Fecha],Tabla54[[#This Row],[Fecha]],Regiones[Intervalo],Tabla54[[#This Row],[Intervalo]],Regiones[Skill],'BUPA Seguros'!$L$3)/Tabla54[[#This Row],[Atendidas]],0)</f>
        <v>0</v>
      </c>
      <c r="H7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3" s="21">
        <f>IFERROR(Tabla54[[#This Row],[Atendidas]]/Tabla54[[#This Row],[Recibidas]],0)</f>
        <v>0</v>
      </c>
    </row>
    <row r="774" spans="2:9" x14ac:dyDescent="0.3">
      <c r="B774" s="27">
        <f t="shared" ref="B774" si="32">+B773+1</f>
        <v>46220</v>
      </c>
      <c r="C774" s="18">
        <v>0</v>
      </c>
      <c r="D774" s="19">
        <f>+SUMIFS(Regiones[Ofrecidas],Regiones[Fecha],Tabla54[[#This Row],[Fecha]],Regiones[Intervalo],Tabla54[[#This Row],[Intervalo]],Regiones[Skill],'BUPA Seguros'!$L$3)</f>
        <v>0</v>
      </c>
      <c r="E774" s="19">
        <f>+SUMIFS(Regiones[Contestadas],Regiones[Fecha],Tabla54[[#This Row],[Fecha]],Regiones[Intervalo],Tabla54[[#This Row],[Intervalo]],Regiones[Skill],'BUPA Seguros'!$L$3)</f>
        <v>0</v>
      </c>
      <c r="F774" s="20">
        <v>0</v>
      </c>
      <c r="G774" s="19">
        <f>IFERROR(SUMIFS(Regiones[TMO],Regiones[Fecha],Tabla54[[#This Row],[Fecha]],Regiones[Intervalo],Tabla54[[#This Row],[Intervalo]],Regiones[Skill],'BUPA Seguros'!$L$3)/Tabla54[[#This Row],[Atendidas]],0)</f>
        <v>0</v>
      </c>
      <c r="H7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4" s="21">
        <f>IFERROR(Tabla54[[#This Row],[Atendidas]]/Tabla54[[#This Row],[Recibidas]],0)</f>
        <v>0</v>
      </c>
    </row>
    <row r="775" spans="2:9" x14ac:dyDescent="0.3">
      <c r="B775" s="25">
        <f t="shared" ref="B775" si="33">+B774</f>
        <v>46220</v>
      </c>
      <c r="C775" s="26">
        <v>2.0833333333333332E-2</v>
      </c>
      <c r="D775" s="19">
        <f>+SUMIFS(Regiones[Ofrecidas],Regiones[Fecha],Tabla54[[#This Row],[Fecha]],Regiones[Intervalo],Tabla54[[#This Row],[Intervalo]],Regiones[Skill],'BUPA Seguros'!$L$3)</f>
        <v>0</v>
      </c>
      <c r="E775" s="19">
        <f>+SUMIFS(Regiones[Contestadas],Regiones[Fecha],Tabla54[[#This Row],[Fecha]],Regiones[Intervalo],Tabla54[[#This Row],[Intervalo]],Regiones[Skill],'BUPA Seguros'!$L$3)</f>
        <v>0</v>
      </c>
      <c r="F775" s="20">
        <v>0</v>
      </c>
      <c r="G775" s="19">
        <f>IFERROR(SUMIFS(Regiones[TMO],Regiones[Fecha],Tabla54[[#This Row],[Fecha]],Regiones[Intervalo],Tabla54[[#This Row],[Intervalo]],Regiones[Skill],'BUPA Seguros'!$L$3)/Tabla54[[#This Row],[Atendidas]],0)</f>
        <v>0</v>
      </c>
      <c r="H7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5" s="21">
        <f>IFERROR(Tabla54[[#This Row],[Atendidas]]/Tabla54[[#This Row],[Recibidas]],0)</f>
        <v>0</v>
      </c>
    </row>
    <row r="776" spans="2:9" x14ac:dyDescent="0.3">
      <c r="B776" s="27">
        <f t="shared" si="31"/>
        <v>46220</v>
      </c>
      <c r="C776" s="18">
        <v>4.1666666666666699E-2</v>
      </c>
      <c r="D776" s="19">
        <f>+SUMIFS(Regiones[Ofrecidas],Regiones[Fecha],Tabla54[[#This Row],[Fecha]],Regiones[Intervalo],Tabla54[[#This Row],[Intervalo]],Regiones[Skill],'BUPA Seguros'!$L$3)</f>
        <v>0</v>
      </c>
      <c r="E776" s="19">
        <f>+SUMIFS(Regiones[Contestadas],Regiones[Fecha],Tabla54[[#This Row],[Fecha]],Regiones[Intervalo],Tabla54[[#This Row],[Intervalo]],Regiones[Skill],'BUPA Seguros'!$L$3)</f>
        <v>0</v>
      </c>
      <c r="F776" s="20">
        <v>0</v>
      </c>
      <c r="G776" s="19">
        <f>IFERROR(SUMIFS(Regiones[TMO],Regiones[Fecha],Tabla54[[#This Row],[Fecha]],Regiones[Intervalo],Tabla54[[#This Row],[Intervalo]],Regiones[Skill],'BUPA Seguros'!$L$3)/Tabla54[[#This Row],[Atendidas]],0)</f>
        <v>0</v>
      </c>
      <c r="H7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6" s="21">
        <f>IFERROR(Tabla54[[#This Row],[Atendidas]]/Tabla54[[#This Row],[Recibidas]],0)</f>
        <v>0</v>
      </c>
    </row>
    <row r="777" spans="2:9" x14ac:dyDescent="0.3">
      <c r="B777" s="25">
        <f t="shared" si="31"/>
        <v>46220</v>
      </c>
      <c r="C777" s="26">
        <v>6.25E-2</v>
      </c>
      <c r="D777" s="19">
        <f>+SUMIFS(Regiones[Ofrecidas],Regiones[Fecha],Tabla54[[#This Row],[Fecha]],Regiones[Intervalo],Tabla54[[#This Row],[Intervalo]],Regiones[Skill],'BUPA Seguros'!$L$3)</f>
        <v>0</v>
      </c>
      <c r="E777" s="19">
        <f>+SUMIFS(Regiones[Contestadas],Regiones[Fecha],Tabla54[[#This Row],[Fecha]],Regiones[Intervalo],Tabla54[[#This Row],[Intervalo]],Regiones[Skill],'BUPA Seguros'!$L$3)</f>
        <v>0</v>
      </c>
      <c r="F777" s="20">
        <v>0</v>
      </c>
      <c r="G777" s="19">
        <f>IFERROR(SUMIFS(Regiones[TMO],Regiones[Fecha],Tabla54[[#This Row],[Fecha]],Regiones[Intervalo],Tabla54[[#This Row],[Intervalo]],Regiones[Skill],'BUPA Seguros'!$L$3)/Tabla54[[#This Row],[Atendidas]],0)</f>
        <v>0</v>
      </c>
      <c r="H7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7" s="21">
        <f>IFERROR(Tabla54[[#This Row],[Atendidas]]/Tabla54[[#This Row],[Recibidas]],0)</f>
        <v>0</v>
      </c>
    </row>
    <row r="778" spans="2:9" x14ac:dyDescent="0.3">
      <c r="B778" s="27">
        <f t="shared" si="31"/>
        <v>46220</v>
      </c>
      <c r="C778" s="18">
        <v>8.3333333333333301E-2</v>
      </c>
      <c r="D778" s="19">
        <f>+SUMIFS(Regiones[Ofrecidas],Regiones[Fecha],Tabla54[[#This Row],[Fecha]],Regiones[Intervalo],Tabla54[[#This Row],[Intervalo]],Regiones[Skill],'BUPA Seguros'!$L$3)</f>
        <v>0</v>
      </c>
      <c r="E778" s="19">
        <f>+SUMIFS(Regiones[Contestadas],Regiones[Fecha],Tabla54[[#This Row],[Fecha]],Regiones[Intervalo],Tabla54[[#This Row],[Intervalo]],Regiones[Skill],'BUPA Seguros'!$L$3)</f>
        <v>0</v>
      </c>
      <c r="F778" s="20">
        <v>0</v>
      </c>
      <c r="G778" s="19">
        <f>IFERROR(SUMIFS(Regiones[TMO],Regiones[Fecha],Tabla54[[#This Row],[Fecha]],Regiones[Intervalo],Tabla54[[#This Row],[Intervalo]],Regiones[Skill],'BUPA Seguros'!$L$3)/Tabla54[[#This Row],[Atendidas]],0)</f>
        <v>0</v>
      </c>
      <c r="H7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8" s="21">
        <f>IFERROR(Tabla54[[#This Row],[Atendidas]]/Tabla54[[#This Row],[Recibidas]],0)</f>
        <v>0</v>
      </c>
    </row>
    <row r="779" spans="2:9" x14ac:dyDescent="0.3">
      <c r="B779" s="25">
        <f t="shared" si="31"/>
        <v>46220</v>
      </c>
      <c r="C779" s="26">
        <v>0.104166666666667</v>
      </c>
      <c r="D779" s="19">
        <f>+SUMIFS(Regiones[Ofrecidas],Regiones[Fecha],Tabla54[[#This Row],[Fecha]],Regiones[Intervalo],Tabla54[[#This Row],[Intervalo]],Regiones[Skill],'BUPA Seguros'!$L$3)</f>
        <v>0</v>
      </c>
      <c r="E779" s="19">
        <f>+SUMIFS(Regiones[Contestadas],Regiones[Fecha],Tabla54[[#This Row],[Fecha]],Regiones[Intervalo],Tabla54[[#This Row],[Intervalo]],Regiones[Skill],'BUPA Seguros'!$L$3)</f>
        <v>0</v>
      </c>
      <c r="F779" s="20">
        <v>0</v>
      </c>
      <c r="G779" s="19">
        <f>IFERROR(SUMIFS(Regiones[TMO],Regiones[Fecha],Tabla54[[#This Row],[Fecha]],Regiones[Intervalo],Tabla54[[#This Row],[Intervalo]],Regiones[Skill],'BUPA Seguros'!$L$3)/Tabla54[[#This Row],[Atendidas]],0)</f>
        <v>0</v>
      </c>
      <c r="H7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79" s="21">
        <f>IFERROR(Tabla54[[#This Row],[Atendidas]]/Tabla54[[#This Row],[Recibidas]],0)</f>
        <v>0</v>
      </c>
    </row>
    <row r="780" spans="2:9" x14ac:dyDescent="0.3">
      <c r="B780" s="27">
        <f t="shared" si="31"/>
        <v>46220</v>
      </c>
      <c r="C780" s="18">
        <v>0.125</v>
      </c>
      <c r="D780" s="19">
        <f>+SUMIFS(Regiones[Ofrecidas],Regiones[Fecha],Tabla54[[#This Row],[Fecha]],Regiones[Intervalo],Tabla54[[#This Row],[Intervalo]],Regiones[Skill],'BUPA Seguros'!$L$3)</f>
        <v>0</v>
      </c>
      <c r="E780" s="19">
        <f>+SUMIFS(Regiones[Contestadas],Regiones[Fecha],Tabla54[[#This Row],[Fecha]],Regiones[Intervalo],Tabla54[[#This Row],[Intervalo]],Regiones[Skill],'BUPA Seguros'!$L$3)</f>
        <v>0</v>
      </c>
      <c r="F780" s="20">
        <v>0</v>
      </c>
      <c r="G780" s="19">
        <f>IFERROR(SUMIFS(Regiones[TMO],Regiones[Fecha],Tabla54[[#This Row],[Fecha]],Regiones[Intervalo],Tabla54[[#This Row],[Intervalo]],Regiones[Skill],'BUPA Seguros'!$L$3)/Tabla54[[#This Row],[Atendidas]],0)</f>
        <v>0</v>
      </c>
      <c r="H7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0" s="21">
        <f>IFERROR(Tabla54[[#This Row],[Atendidas]]/Tabla54[[#This Row],[Recibidas]],0)</f>
        <v>0</v>
      </c>
    </row>
    <row r="781" spans="2:9" x14ac:dyDescent="0.3">
      <c r="B781" s="25">
        <f t="shared" si="31"/>
        <v>46220</v>
      </c>
      <c r="C781" s="26">
        <v>0.14583333333333301</v>
      </c>
      <c r="D781" s="19">
        <f>+SUMIFS(Regiones[Ofrecidas],Regiones[Fecha],Tabla54[[#This Row],[Fecha]],Regiones[Intervalo],Tabla54[[#This Row],[Intervalo]],Regiones[Skill],'BUPA Seguros'!$L$3)</f>
        <v>0</v>
      </c>
      <c r="E781" s="19">
        <f>+SUMIFS(Regiones[Contestadas],Regiones[Fecha],Tabla54[[#This Row],[Fecha]],Regiones[Intervalo],Tabla54[[#This Row],[Intervalo]],Regiones[Skill],'BUPA Seguros'!$L$3)</f>
        <v>0</v>
      </c>
      <c r="F781" s="20">
        <v>0</v>
      </c>
      <c r="G781" s="19">
        <f>IFERROR(SUMIFS(Regiones[TMO],Regiones[Fecha],Tabla54[[#This Row],[Fecha]],Regiones[Intervalo],Tabla54[[#This Row],[Intervalo]],Regiones[Skill],'BUPA Seguros'!$L$3)/Tabla54[[#This Row],[Atendidas]],0)</f>
        <v>0</v>
      </c>
      <c r="H7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1" s="21">
        <f>IFERROR(Tabla54[[#This Row],[Atendidas]]/Tabla54[[#This Row],[Recibidas]],0)</f>
        <v>0</v>
      </c>
    </row>
    <row r="782" spans="2:9" x14ac:dyDescent="0.3">
      <c r="B782" s="27">
        <f t="shared" si="31"/>
        <v>46220</v>
      </c>
      <c r="C782" s="18">
        <v>0.16666666666666699</v>
      </c>
      <c r="D782" s="19">
        <f>+SUMIFS(Regiones[Ofrecidas],Regiones[Fecha],Tabla54[[#This Row],[Fecha]],Regiones[Intervalo],Tabla54[[#This Row],[Intervalo]],Regiones[Skill],'BUPA Seguros'!$L$3)</f>
        <v>0</v>
      </c>
      <c r="E782" s="19">
        <f>+SUMIFS(Regiones[Contestadas],Regiones[Fecha],Tabla54[[#This Row],[Fecha]],Regiones[Intervalo],Tabla54[[#This Row],[Intervalo]],Regiones[Skill],'BUPA Seguros'!$L$3)</f>
        <v>0</v>
      </c>
      <c r="F782" s="20">
        <v>0</v>
      </c>
      <c r="G782" s="19">
        <f>IFERROR(SUMIFS(Regiones[TMO],Regiones[Fecha],Tabla54[[#This Row],[Fecha]],Regiones[Intervalo],Tabla54[[#This Row],[Intervalo]],Regiones[Skill],'BUPA Seguros'!$L$3)/Tabla54[[#This Row],[Atendidas]],0)</f>
        <v>0</v>
      </c>
      <c r="H7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2" s="21">
        <f>IFERROR(Tabla54[[#This Row],[Atendidas]]/Tabla54[[#This Row],[Recibidas]],0)</f>
        <v>0</v>
      </c>
    </row>
    <row r="783" spans="2:9" x14ac:dyDescent="0.3">
      <c r="B783" s="25">
        <f t="shared" si="31"/>
        <v>46220</v>
      </c>
      <c r="C783" s="26">
        <v>0.1875</v>
      </c>
      <c r="D783" s="19">
        <f>+SUMIFS(Regiones[Ofrecidas],Regiones[Fecha],Tabla54[[#This Row],[Fecha]],Regiones[Intervalo],Tabla54[[#This Row],[Intervalo]],Regiones[Skill],'BUPA Seguros'!$L$3)</f>
        <v>0</v>
      </c>
      <c r="E783" s="19">
        <f>+SUMIFS(Regiones[Contestadas],Regiones[Fecha],Tabla54[[#This Row],[Fecha]],Regiones[Intervalo],Tabla54[[#This Row],[Intervalo]],Regiones[Skill],'BUPA Seguros'!$L$3)</f>
        <v>0</v>
      </c>
      <c r="F783" s="20">
        <v>0</v>
      </c>
      <c r="G783" s="19">
        <f>IFERROR(SUMIFS(Regiones[TMO],Regiones[Fecha],Tabla54[[#This Row],[Fecha]],Regiones[Intervalo],Tabla54[[#This Row],[Intervalo]],Regiones[Skill],'BUPA Seguros'!$L$3)/Tabla54[[#This Row],[Atendidas]],0)</f>
        <v>0</v>
      </c>
      <c r="H7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3" s="21">
        <f>IFERROR(Tabla54[[#This Row],[Atendidas]]/Tabla54[[#This Row],[Recibidas]],0)</f>
        <v>0</v>
      </c>
    </row>
    <row r="784" spans="2:9" x14ac:dyDescent="0.3">
      <c r="B784" s="27">
        <f t="shared" si="31"/>
        <v>46220</v>
      </c>
      <c r="C784" s="18">
        <v>0.20833333333333301</v>
      </c>
      <c r="D784" s="19">
        <f>+SUMIFS(Regiones[Ofrecidas],Regiones[Fecha],Tabla54[[#This Row],[Fecha]],Regiones[Intervalo],Tabla54[[#This Row],[Intervalo]],Regiones[Skill],'BUPA Seguros'!$L$3)</f>
        <v>0</v>
      </c>
      <c r="E784" s="19">
        <f>+SUMIFS(Regiones[Contestadas],Regiones[Fecha],Tabla54[[#This Row],[Fecha]],Regiones[Intervalo],Tabla54[[#This Row],[Intervalo]],Regiones[Skill],'BUPA Seguros'!$L$3)</f>
        <v>0</v>
      </c>
      <c r="F784" s="20">
        <v>0</v>
      </c>
      <c r="G784" s="19">
        <f>IFERROR(SUMIFS(Regiones[TMO],Regiones[Fecha],Tabla54[[#This Row],[Fecha]],Regiones[Intervalo],Tabla54[[#This Row],[Intervalo]],Regiones[Skill],'BUPA Seguros'!$L$3)/Tabla54[[#This Row],[Atendidas]],0)</f>
        <v>0</v>
      </c>
      <c r="H7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4" s="21">
        <f>IFERROR(Tabla54[[#This Row],[Atendidas]]/Tabla54[[#This Row],[Recibidas]],0)</f>
        <v>0</v>
      </c>
    </row>
    <row r="785" spans="2:9" x14ac:dyDescent="0.3">
      <c r="B785" s="25">
        <f t="shared" si="31"/>
        <v>46220</v>
      </c>
      <c r="C785" s="26">
        <v>0.22916666666666699</v>
      </c>
      <c r="D785" s="19">
        <f>+SUMIFS(Regiones[Ofrecidas],Regiones[Fecha],Tabla54[[#This Row],[Fecha]],Regiones[Intervalo],Tabla54[[#This Row],[Intervalo]],Regiones[Skill],'BUPA Seguros'!$L$3)</f>
        <v>0</v>
      </c>
      <c r="E785" s="19">
        <f>+SUMIFS(Regiones[Contestadas],Regiones[Fecha],Tabla54[[#This Row],[Fecha]],Regiones[Intervalo],Tabla54[[#This Row],[Intervalo]],Regiones[Skill],'BUPA Seguros'!$L$3)</f>
        <v>0</v>
      </c>
      <c r="F785" s="20">
        <v>0</v>
      </c>
      <c r="G785" s="19">
        <f>IFERROR(SUMIFS(Regiones[TMO],Regiones[Fecha],Tabla54[[#This Row],[Fecha]],Regiones[Intervalo],Tabla54[[#This Row],[Intervalo]],Regiones[Skill],'BUPA Seguros'!$L$3)/Tabla54[[#This Row],[Atendidas]],0)</f>
        <v>0</v>
      </c>
      <c r="H7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5" s="21">
        <f>IFERROR(Tabla54[[#This Row],[Atendidas]]/Tabla54[[#This Row],[Recibidas]],0)</f>
        <v>0</v>
      </c>
    </row>
    <row r="786" spans="2:9" x14ac:dyDescent="0.3">
      <c r="B786" s="27">
        <f t="shared" si="31"/>
        <v>46220</v>
      </c>
      <c r="C786" s="18">
        <v>0.25</v>
      </c>
      <c r="D786" s="19">
        <f>+SUMIFS(Regiones[Ofrecidas],Regiones[Fecha],Tabla54[[#This Row],[Fecha]],Regiones[Intervalo],Tabla54[[#This Row],[Intervalo]],Regiones[Skill],'BUPA Seguros'!$L$3)</f>
        <v>0</v>
      </c>
      <c r="E786" s="19">
        <f>+SUMIFS(Regiones[Contestadas],Regiones[Fecha],Tabla54[[#This Row],[Fecha]],Regiones[Intervalo],Tabla54[[#This Row],[Intervalo]],Regiones[Skill],'BUPA Seguros'!$L$3)</f>
        <v>0</v>
      </c>
      <c r="F786" s="20">
        <v>0</v>
      </c>
      <c r="G786" s="19">
        <f>IFERROR(SUMIFS(Regiones[TMO],Regiones[Fecha],Tabla54[[#This Row],[Fecha]],Regiones[Intervalo],Tabla54[[#This Row],[Intervalo]],Regiones[Skill],'BUPA Seguros'!$L$3)/Tabla54[[#This Row],[Atendidas]],0)</f>
        <v>0</v>
      </c>
      <c r="H7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6" s="21">
        <f>IFERROR(Tabla54[[#This Row],[Atendidas]]/Tabla54[[#This Row],[Recibidas]],0)</f>
        <v>0</v>
      </c>
    </row>
    <row r="787" spans="2:9" x14ac:dyDescent="0.3">
      <c r="B787" s="25">
        <f t="shared" si="31"/>
        <v>46220</v>
      </c>
      <c r="C787" s="26">
        <v>0.27083333333333298</v>
      </c>
      <c r="D787" s="19">
        <f>+SUMIFS(Regiones[Ofrecidas],Regiones[Fecha],Tabla54[[#This Row],[Fecha]],Regiones[Intervalo],Tabla54[[#This Row],[Intervalo]],Regiones[Skill],'BUPA Seguros'!$L$3)</f>
        <v>0</v>
      </c>
      <c r="E787" s="19">
        <f>+SUMIFS(Regiones[Contestadas],Regiones[Fecha],Tabla54[[#This Row],[Fecha]],Regiones[Intervalo],Tabla54[[#This Row],[Intervalo]],Regiones[Skill],'BUPA Seguros'!$L$3)</f>
        <v>0</v>
      </c>
      <c r="F787" s="20">
        <v>0</v>
      </c>
      <c r="G787" s="19">
        <f>IFERROR(SUMIFS(Regiones[TMO],Regiones[Fecha],Tabla54[[#This Row],[Fecha]],Regiones[Intervalo],Tabla54[[#This Row],[Intervalo]],Regiones[Skill],'BUPA Seguros'!$L$3)/Tabla54[[#This Row],[Atendidas]],0)</f>
        <v>0</v>
      </c>
      <c r="H7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7" s="21">
        <f>IFERROR(Tabla54[[#This Row],[Atendidas]]/Tabla54[[#This Row],[Recibidas]],0)</f>
        <v>0</v>
      </c>
    </row>
    <row r="788" spans="2:9" x14ac:dyDescent="0.3">
      <c r="B788" s="27">
        <f t="shared" si="31"/>
        <v>46220</v>
      </c>
      <c r="C788" s="18">
        <v>0.29166666666666702</v>
      </c>
      <c r="D788" s="19">
        <f>+SUMIFS(Regiones[Ofrecidas],Regiones[Fecha],Tabla54[[#This Row],[Fecha]],Regiones[Intervalo],Tabla54[[#This Row],[Intervalo]],Regiones[Skill],'BUPA Seguros'!$L$3)</f>
        <v>0</v>
      </c>
      <c r="E788" s="19">
        <f>+SUMIFS(Regiones[Contestadas],Regiones[Fecha],Tabla54[[#This Row],[Fecha]],Regiones[Intervalo],Tabla54[[#This Row],[Intervalo]],Regiones[Skill],'BUPA Seguros'!$L$3)</f>
        <v>0</v>
      </c>
      <c r="F788" s="20">
        <v>0</v>
      </c>
      <c r="G788" s="19">
        <f>IFERROR(SUMIFS(Regiones[TMO],Regiones[Fecha],Tabla54[[#This Row],[Fecha]],Regiones[Intervalo],Tabla54[[#This Row],[Intervalo]],Regiones[Skill],'BUPA Seguros'!$L$3)/Tabla54[[#This Row],[Atendidas]],0)</f>
        <v>0</v>
      </c>
      <c r="H7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8" s="21">
        <f>IFERROR(Tabla54[[#This Row],[Atendidas]]/Tabla54[[#This Row],[Recibidas]],0)</f>
        <v>0</v>
      </c>
    </row>
    <row r="789" spans="2:9" x14ac:dyDescent="0.3">
      <c r="B789" s="25">
        <f t="shared" si="31"/>
        <v>46220</v>
      </c>
      <c r="C789" s="26">
        <v>0.3125</v>
      </c>
      <c r="D789" s="19">
        <f>+SUMIFS(Regiones[Ofrecidas],Regiones[Fecha],Tabla54[[#This Row],[Fecha]],Regiones[Intervalo],Tabla54[[#This Row],[Intervalo]],Regiones[Skill],'BUPA Seguros'!$L$3)</f>
        <v>0</v>
      </c>
      <c r="E789" s="19">
        <f>+SUMIFS(Regiones[Contestadas],Regiones[Fecha],Tabla54[[#This Row],[Fecha]],Regiones[Intervalo],Tabla54[[#This Row],[Intervalo]],Regiones[Skill],'BUPA Seguros'!$L$3)</f>
        <v>0</v>
      </c>
      <c r="F789" s="20">
        <v>0</v>
      </c>
      <c r="G789" s="19">
        <f>IFERROR(SUMIFS(Regiones[TMO],Regiones[Fecha],Tabla54[[#This Row],[Fecha]],Regiones[Intervalo],Tabla54[[#This Row],[Intervalo]],Regiones[Skill],'BUPA Seguros'!$L$3)/Tabla54[[#This Row],[Atendidas]],0)</f>
        <v>0</v>
      </c>
      <c r="H7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89" s="21">
        <f>IFERROR(Tabla54[[#This Row],[Atendidas]]/Tabla54[[#This Row],[Recibidas]],0)</f>
        <v>0</v>
      </c>
    </row>
    <row r="790" spans="2:9" x14ac:dyDescent="0.3">
      <c r="B790" s="27">
        <f t="shared" si="31"/>
        <v>46220</v>
      </c>
      <c r="C790" s="18">
        <v>0.33333333333333298</v>
      </c>
      <c r="D790" s="19">
        <f>+SUMIFS(Regiones[Ofrecidas],Regiones[Fecha],Tabla54[[#This Row],[Fecha]],Regiones[Intervalo],Tabla54[[#This Row],[Intervalo]],Regiones[Skill],'BUPA Seguros'!$L$3)</f>
        <v>0</v>
      </c>
      <c r="E790" s="19">
        <f>+SUMIFS(Regiones[Contestadas],Regiones[Fecha],Tabla54[[#This Row],[Fecha]],Regiones[Intervalo],Tabla54[[#This Row],[Intervalo]],Regiones[Skill],'BUPA Seguros'!$L$3)</f>
        <v>0</v>
      </c>
      <c r="F790" s="20">
        <v>0</v>
      </c>
      <c r="G790" s="19">
        <f>IFERROR(SUMIFS(Regiones[TMO],Regiones[Fecha],Tabla54[[#This Row],[Fecha]],Regiones[Intervalo],Tabla54[[#This Row],[Intervalo]],Regiones[Skill],'BUPA Seguros'!$L$3)/Tabla54[[#This Row],[Atendidas]],0)</f>
        <v>0</v>
      </c>
      <c r="H7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0" s="21">
        <f>IFERROR(Tabla54[[#This Row],[Atendidas]]/Tabla54[[#This Row],[Recibidas]],0)</f>
        <v>0</v>
      </c>
    </row>
    <row r="791" spans="2:9" x14ac:dyDescent="0.3">
      <c r="B791" s="25">
        <f t="shared" si="31"/>
        <v>46220</v>
      </c>
      <c r="C791" s="26">
        <v>0.35416666666666702</v>
      </c>
      <c r="D791" s="19">
        <f>+SUMIFS(Regiones[Ofrecidas],Regiones[Fecha],Tabla54[[#This Row],[Fecha]],Regiones[Intervalo],Tabla54[[#This Row],[Intervalo]],Regiones[Skill],'BUPA Seguros'!$L$3)</f>
        <v>0</v>
      </c>
      <c r="E791" s="19">
        <f>+SUMIFS(Regiones[Contestadas],Regiones[Fecha],Tabla54[[#This Row],[Fecha]],Regiones[Intervalo],Tabla54[[#This Row],[Intervalo]],Regiones[Skill],'BUPA Seguros'!$L$3)</f>
        <v>0</v>
      </c>
      <c r="F791" s="20">
        <v>0</v>
      </c>
      <c r="G791" s="19">
        <f>IFERROR(SUMIFS(Regiones[TMO],Regiones[Fecha],Tabla54[[#This Row],[Fecha]],Regiones[Intervalo],Tabla54[[#This Row],[Intervalo]],Regiones[Skill],'BUPA Seguros'!$L$3)/Tabla54[[#This Row],[Atendidas]],0)</f>
        <v>0</v>
      </c>
      <c r="H7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1" s="21">
        <f>IFERROR(Tabla54[[#This Row],[Atendidas]]/Tabla54[[#This Row],[Recibidas]],0)</f>
        <v>0</v>
      </c>
    </row>
    <row r="792" spans="2:9" x14ac:dyDescent="0.3">
      <c r="B792" s="27">
        <f t="shared" si="31"/>
        <v>46220</v>
      </c>
      <c r="C792" s="18">
        <v>0.375</v>
      </c>
      <c r="D792" s="19">
        <f>+SUMIFS(Regiones[Ofrecidas],Regiones[Fecha],Tabla54[[#This Row],[Fecha]],Regiones[Intervalo],Tabla54[[#This Row],[Intervalo]],Regiones[Skill],'BUPA Seguros'!$L$3)</f>
        <v>0</v>
      </c>
      <c r="E792" s="19">
        <f>+SUMIFS(Regiones[Contestadas],Regiones[Fecha],Tabla54[[#This Row],[Fecha]],Regiones[Intervalo],Tabla54[[#This Row],[Intervalo]],Regiones[Skill],'BUPA Seguros'!$L$3)</f>
        <v>0</v>
      </c>
      <c r="F792" s="20">
        <v>26.758008324004049</v>
      </c>
      <c r="G792" s="19">
        <f>IFERROR(SUMIFS(Regiones[TMO],Regiones[Fecha],Tabla54[[#This Row],[Fecha]],Regiones[Intervalo],Tabla54[[#This Row],[Intervalo]],Regiones[Skill],'BUPA Seguros'!$L$3)/Tabla54[[#This Row],[Atendidas]],0)</f>
        <v>0</v>
      </c>
      <c r="H7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2" s="21">
        <f>IFERROR(Tabla54[[#This Row],[Atendidas]]/Tabla54[[#This Row],[Recibidas]],0)</f>
        <v>0</v>
      </c>
    </row>
    <row r="793" spans="2:9" x14ac:dyDescent="0.3">
      <c r="B793" s="25">
        <f t="shared" si="31"/>
        <v>46220</v>
      </c>
      <c r="C793" s="26">
        <v>0.39583333333333298</v>
      </c>
      <c r="D793" s="19">
        <f>+SUMIFS(Regiones[Ofrecidas],Regiones[Fecha],Tabla54[[#This Row],[Fecha]],Regiones[Intervalo],Tabla54[[#This Row],[Intervalo]],Regiones[Skill],'BUPA Seguros'!$L$3)</f>
        <v>0</v>
      </c>
      <c r="E793" s="19">
        <f>+SUMIFS(Regiones[Contestadas],Regiones[Fecha],Tabla54[[#This Row],[Fecha]],Regiones[Intervalo],Tabla54[[#This Row],[Intervalo]],Regiones[Skill],'BUPA Seguros'!$L$3)</f>
        <v>0</v>
      </c>
      <c r="F793" s="20">
        <v>27.804233767952073</v>
      </c>
      <c r="G793" s="19">
        <f>IFERROR(SUMIFS(Regiones[TMO],Regiones[Fecha],Tabla54[[#This Row],[Fecha]],Regiones[Intervalo],Tabla54[[#This Row],[Intervalo]],Regiones[Skill],'BUPA Seguros'!$L$3)/Tabla54[[#This Row],[Atendidas]],0)</f>
        <v>0</v>
      </c>
      <c r="H7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3" s="21">
        <f>IFERROR(Tabla54[[#This Row],[Atendidas]]/Tabla54[[#This Row],[Recibidas]],0)</f>
        <v>0</v>
      </c>
    </row>
    <row r="794" spans="2:9" x14ac:dyDescent="0.3">
      <c r="B794" s="27">
        <f t="shared" si="31"/>
        <v>46220</v>
      </c>
      <c r="C794" s="18">
        <v>0.41666666666666702</v>
      </c>
      <c r="D794" s="19">
        <f>+SUMIFS(Regiones[Ofrecidas],Regiones[Fecha],Tabla54[[#This Row],[Fecha]],Regiones[Intervalo],Tabla54[[#This Row],[Intervalo]],Regiones[Skill],'BUPA Seguros'!$L$3)</f>
        <v>0</v>
      </c>
      <c r="E794" s="19">
        <f>+SUMIFS(Regiones[Contestadas],Regiones[Fecha],Tabla54[[#This Row],[Fecha]],Regiones[Intervalo],Tabla54[[#This Row],[Intervalo]],Regiones[Skill],'BUPA Seguros'!$L$3)</f>
        <v>0</v>
      </c>
      <c r="F794" s="20">
        <v>29.326016231876476</v>
      </c>
      <c r="G794" s="19">
        <f>IFERROR(SUMIFS(Regiones[TMO],Regiones[Fecha],Tabla54[[#This Row],[Fecha]],Regiones[Intervalo],Tabla54[[#This Row],[Intervalo]],Regiones[Skill],'BUPA Seguros'!$L$3)/Tabla54[[#This Row],[Atendidas]],0)</f>
        <v>0</v>
      </c>
      <c r="H7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4" s="21">
        <f>IFERROR(Tabla54[[#This Row],[Atendidas]]/Tabla54[[#This Row],[Recibidas]],0)</f>
        <v>0</v>
      </c>
    </row>
    <row r="795" spans="2:9" x14ac:dyDescent="0.3">
      <c r="B795" s="25">
        <f t="shared" si="31"/>
        <v>46220</v>
      </c>
      <c r="C795" s="26">
        <v>0.4375</v>
      </c>
      <c r="D795" s="19">
        <f>+SUMIFS(Regiones[Ofrecidas],Regiones[Fecha],Tabla54[[#This Row],[Fecha]],Regiones[Intervalo],Tabla54[[#This Row],[Intervalo]],Regiones[Skill],'BUPA Seguros'!$L$3)</f>
        <v>0</v>
      </c>
      <c r="E795" s="19">
        <f>+SUMIFS(Regiones[Contestadas],Regiones[Fecha],Tabla54[[#This Row],[Fecha]],Regiones[Intervalo],Tabla54[[#This Row],[Intervalo]],Regiones[Skill],'BUPA Seguros'!$L$3)</f>
        <v>0</v>
      </c>
      <c r="F795" s="20">
        <v>29.273176562990209</v>
      </c>
      <c r="G795" s="19">
        <f>IFERROR(SUMIFS(Regiones[TMO],Regiones[Fecha],Tabla54[[#This Row],[Fecha]],Regiones[Intervalo],Tabla54[[#This Row],[Intervalo]],Regiones[Skill],'BUPA Seguros'!$L$3)/Tabla54[[#This Row],[Atendidas]],0)</f>
        <v>0</v>
      </c>
      <c r="H7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5" s="21">
        <f>IFERROR(Tabla54[[#This Row],[Atendidas]]/Tabla54[[#This Row],[Recibidas]],0)</f>
        <v>0</v>
      </c>
    </row>
    <row r="796" spans="2:9" x14ac:dyDescent="0.3">
      <c r="B796" s="27">
        <f t="shared" si="31"/>
        <v>46220</v>
      </c>
      <c r="C796" s="18">
        <v>0.45833333333333298</v>
      </c>
      <c r="D796" s="19">
        <f>+SUMIFS(Regiones[Ofrecidas],Regiones[Fecha],Tabla54[[#This Row],[Fecha]],Regiones[Intervalo],Tabla54[[#This Row],[Intervalo]],Regiones[Skill],'BUPA Seguros'!$L$3)</f>
        <v>0</v>
      </c>
      <c r="E796" s="19">
        <f>+SUMIFS(Regiones[Contestadas],Regiones[Fecha],Tabla54[[#This Row],[Fecha]],Regiones[Intervalo],Tabla54[[#This Row],[Intervalo]],Regiones[Skill],'BUPA Seguros'!$L$3)</f>
        <v>0</v>
      </c>
      <c r="F796" s="20">
        <v>29.068863176629989</v>
      </c>
      <c r="G796" s="19">
        <f>IFERROR(SUMIFS(Regiones[TMO],Regiones[Fecha],Tabla54[[#This Row],[Fecha]],Regiones[Intervalo],Tabla54[[#This Row],[Intervalo]],Regiones[Skill],'BUPA Seguros'!$L$3)/Tabla54[[#This Row],[Atendidas]],0)</f>
        <v>0</v>
      </c>
      <c r="H7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6" s="21">
        <f>IFERROR(Tabla54[[#This Row],[Atendidas]]/Tabla54[[#This Row],[Recibidas]],0)</f>
        <v>0</v>
      </c>
    </row>
    <row r="797" spans="2:9" x14ac:dyDescent="0.3">
      <c r="B797" s="25">
        <f t="shared" si="31"/>
        <v>46220</v>
      </c>
      <c r="C797" s="26">
        <v>0.47916666666666702</v>
      </c>
      <c r="D797" s="19">
        <f>+SUMIFS(Regiones[Ofrecidas],Regiones[Fecha],Tabla54[[#This Row],[Fecha]],Regiones[Intervalo],Tabla54[[#This Row],[Intervalo]],Regiones[Skill],'BUPA Seguros'!$L$3)</f>
        <v>0</v>
      </c>
      <c r="E797" s="19">
        <f>+SUMIFS(Regiones[Contestadas],Regiones[Fecha],Tabla54[[#This Row],[Fecha]],Regiones[Intervalo],Tabla54[[#This Row],[Intervalo]],Regiones[Skill],'BUPA Seguros'!$L$3)</f>
        <v>0</v>
      </c>
      <c r="F797" s="20">
        <v>28.336153101407128</v>
      </c>
      <c r="G797" s="19">
        <f>IFERROR(SUMIFS(Regiones[TMO],Regiones[Fecha],Tabla54[[#This Row],[Fecha]],Regiones[Intervalo],Tabla54[[#This Row],[Intervalo]],Regiones[Skill],'BUPA Seguros'!$L$3)/Tabla54[[#This Row],[Atendidas]],0)</f>
        <v>0</v>
      </c>
      <c r="H7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7" s="21">
        <f>IFERROR(Tabla54[[#This Row],[Atendidas]]/Tabla54[[#This Row],[Recibidas]],0)</f>
        <v>0</v>
      </c>
    </row>
    <row r="798" spans="2:9" x14ac:dyDescent="0.3">
      <c r="B798" s="27">
        <f t="shared" si="31"/>
        <v>46220</v>
      </c>
      <c r="C798" s="18">
        <v>0.5</v>
      </c>
      <c r="D798" s="19">
        <f>+SUMIFS(Regiones[Ofrecidas],Regiones[Fecha],Tabla54[[#This Row],[Fecha]],Regiones[Intervalo],Tabla54[[#This Row],[Intervalo]],Regiones[Skill],'BUPA Seguros'!$L$3)</f>
        <v>0</v>
      </c>
      <c r="E798" s="19">
        <f>+SUMIFS(Regiones[Contestadas],Regiones[Fecha],Tabla54[[#This Row],[Fecha]],Regiones[Intervalo],Tabla54[[#This Row],[Intervalo]],Regiones[Skill],'BUPA Seguros'!$L$3)</f>
        <v>0</v>
      </c>
      <c r="F798" s="20">
        <v>27.57526186944493</v>
      </c>
      <c r="G798" s="19">
        <f>IFERROR(SUMIFS(Regiones[TMO],Regiones[Fecha],Tabla54[[#This Row],[Fecha]],Regiones[Intervalo],Tabla54[[#This Row],[Intervalo]],Regiones[Skill],'BUPA Seguros'!$L$3)/Tabla54[[#This Row],[Atendidas]],0)</f>
        <v>0</v>
      </c>
      <c r="H7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8" s="21">
        <f>IFERROR(Tabla54[[#This Row],[Atendidas]]/Tabla54[[#This Row],[Recibidas]],0)</f>
        <v>0</v>
      </c>
    </row>
    <row r="799" spans="2:9" x14ac:dyDescent="0.3">
      <c r="B799" s="25">
        <f t="shared" si="31"/>
        <v>46220</v>
      </c>
      <c r="C799" s="26">
        <v>0.52083333333333304</v>
      </c>
      <c r="D799" s="19">
        <f>+SUMIFS(Regiones[Ofrecidas],Regiones[Fecha],Tabla54[[#This Row],[Fecha]],Regiones[Intervalo],Tabla54[[#This Row],[Intervalo]],Regiones[Skill],'BUPA Seguros'!$L$3)</f>
        <v>0</v>
      </c>
      <c r="E799" s="19">
        <f>+SUMIFS(Regiones[Contestadas],Regiones[Fecha],Tabla54[[#This Row],[Fecha]],Regiones[Intervalo],Tabla54[[#This Row],[Intervalo]],Regiones[Skill],'BUPA Seguros'!$L$3)</f>
        <v>0</v>
      </c>
      <c r="F799" s="20">
        <v>26.80028005911306</v>
      </c>
      <c r="G799" s="19">
        <f>IFERROR(SUMIFS(Regiones[TMO],Regiones[Fecha],Tabla54[[#This Row],[Fecha]],Regiones[Intervalo],Tabla54[[#This Row],[Intervalo]],Regiones[Skill],'BUPA Seguros'!$L$3)/Tabla54[[#This Row],[Atendidas]],0)</f>
        <v>0</v>
      </c>
      <c r="H7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799" s="21">
        <f>IFERROR(Tabla54[[#This Row],[Atendidas]]/Tabla54[[#This Row],[Recibidas]],0)</f>
        <v>0</v>
      </c>
    </row>
    <row r="800" spans="2:9" x14ac:dyDescent="0.3">
      <c r="B800" s="27">
        <f t="shared" si="31"/>
        <v>46220</v>
      </c>
      <c r="C800" s="18">
        <v>0.54166666666666696</v>
      </c>
      <c r="D800" s="19">
        <f>+SUMIFS(Regiones[Ofrecidas],Regiones[Fecha],Tabla54[[#This Row],[Fecha]],Regiones[Intervalo],Tabla54[[#This Row],[Intervalo]],Regiones[Skill],'BUPA Seguros'!$L$3)</f>
        <v>0</v>
      </c>
      <c r="E800" s="19">
        <f>+SUMIFS(Regiones[Contestadas],Regiones[Fecha],Tabla54[[#This Row],[Fecha]],Regiones[Intervalo],Tabla54[[#This Row],[Intervalo]],Regiones[Skill],'BUPA Seguros'!$L$3)</f>
        <v>0</v>
      </c>
      <c r="F800" s="20">
        <v>26.123932297368881</v>
      </c>
      <c r="G800" s="19">
        <f>IFERROR(SUMIFS(Regiones[TMO],Regiones[Fecha],Tabla54[[#This Row],[Fecha]],Regiones[Intervalo],Tabla54[[#This Row],[Intervalo]],Regiones[Skill],'BUPA Seguros'!$L$3)/Tabla54[[#This Row],[Atendidas]],0)</f>
        <v>0</v>
      </c>
      <c r="H8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0" s="21">
        <f>IFERROR(Tabla54[[#This Row],[Atendidas]]/Tabla54[[#This Row],[Recibidas]],0)</f>
        <v>0</v>
      </c>
    </row>
    <row r="801" spans="2:9" x14ac:dyDescent="0.3">
      <c r="B801" s="25">
        <f t="shared" si="31"/>
        <v>46220</v>
      </c>
      <c r="C801" s="26">
        <v>0.5625</v>
      </c>
      <c r="D801" s="19">
        <f>+SUMIFS(Regiones[Ofrecidas],Regiones[Fecha],Tabla54[[#This Row],[Fecha]],Regiones[Intervalo],Tabla54[[#This Row],[Intervalo]],Regiones[Skill],'BUPA Seguros'!$L$3)</f>
        <v>0</v>
      </c>
      <c r="E801" s="19">
        <f>+SUMIFS(Regiones[Contestadas],Regiones[Fecha],Tabla54[[#This Row],[Fecha]],Regiones[Intervalo],Tabla54[[#This Row],[Intervalo]],Regiones[Skill],'BUPA Seguros'!$L$3)</f>
        <v>0</v>
      </c>
      <c r="F801" s="20">
        <v>25.208044703340306</v>
      </c>
      <c r="G801" s="19">
        <f>IFERROR(SUMIFS(Regiones[TMO],Regiones[Fecha],Tabla54[[#This Row],[Fecha]],Regiones[Intervalo],Tabla54[[#This Row],[Intervalo]],Regiones[Skill],'BUPA Seguros'!$L$3)/Tabla54[[#This Row],[Atendidas]],0)</f>
        <v>0</v>
      </c>
      <c r="H8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1" s="21">
        <f>IFERROR(Tabla54[[#This Row],[Atendidas]]/Tabla54[[#This Row],[Recibidas]],0)</f>
        <v>0</v>
      </c>
    </row>
    <row r="802" spans="2:9" x14ac:dyDescent="0.3">
      <c r="B802" s="27">
        <f t="shared" si="31"/>
        <v>46220</v>
      </c>
      <c r="C802" s="18">
        <v>0.58333333333333304</v>
      </c>
      <c r="D802" s="19">
        <f>+SUMIFS(Regiones[Ofrecidas],Regiones[Fecha],Tabla54[[#This Row],[Fecha]],Regiones[Intervalo],Tabla54[[#This Row],[Intervalo]],Regiones[Skill],'BUPA Seguros'!$L$3)</f>
        <v>0</v>
      </c>
      <c r="E802" s="19">
        <f>+SUMIFS(Regiones[Contestadas],Regiones[Fecha],Tabla54[[#This Row],[Fecha]],Regiones[Intervalo],Tabla54[[#This Row],[Intervalo]],Regiones[Skill],'BUPA Seguros'!$L$3)</f>
        <v>0</v>
      </c>
      <c r="F802" s="20">
        <v>24.517606363226456</v>
      </c>
      <c r="G802" s="19">
        <f>IFERROR(SUMIFS(Regiones[TMO],Regiones[Fecha],Tabla54[[#This Row],[Fecha]],Regiones[Intervalo],Tabla54[[#This Row],[Intervalo]],Regiones[Skill],'BUPA Seguros'!$L$3)/Tabla54[[#This Row],[Atendidas]],0)</f>
        <v>0</v>
      </c>
      <c r="H8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2" s="21">
        <f>IFERROR(Tabla54[[#This Row],[Atendidas]]/Tabla54[[#This Row],[Recibidas]],0)</f>
        <v>0</v>
      </c>
    </row>
    <row r="803" spans="2:9" x14ac:dyDescent="0.3">
      <c r="B803" s="25">
        <f t="shared" si="31"/>
        <v>46220</v>
      </c>
      <c r="C803" s="26">
        <v>0.60416666666666696</v>
      </c>
      <c r="D803" s="19">
        <f>+SUMIFS(Regiones[Ofrecidas],Regiones[Fecha],Tabla54[[#This Row],[Fecha]],Regiones[Intervalo],Tabla54[[#This Row],[Intervalo]],Regiones[Skill],'BUPA Seguros'!$L$3)</f>
        <v>0</v>
      </c>
      <c r="E803" s="19">
        <f>+SUMIFS(Regiones[Contestadas],Regiones[Fecha],Tabla54[[#This Row],[Fecha]],Regiones[Intervalo],Tabla54[[#This Row],[Intervalo]],Regiones[Skill],'BUPA Seguros'!$L$3)</f>
        <v>0</v>
      </c>
      <c r="F803" s="20">
        <v>24.038526698657662</v>
      </c>
      <c r="G803" s="19">
        <f>IFERROR(SUMIFS(Regiones[TMO],Regiones[Fecha],Tabla54[[#This Row],[Fecha]],Regiones[Intervalo],Tabla54[[#This Row],[Intervalo]],Regiones[Skill],'BUPA Seguros'!$L$3)/Tabla54[[#This Row],[Atendidas]],0)</f>
        <v>0</v>
      </c>
      <c r="H8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3" s="21">
        <f>IFERROR(Tabla54[[#This Row],[Atendidas]]/Tabla54[[#This Row],[Recibidas]],0)</f>
        <v>0</v>
      </c>
    </row>
    <row r="804" spans="2:9" x14ac:dyDescent="0.3">
      <c r="B804" s="27">
        <f t="shared" si="31"/>
        <v>46220</v>
      </c>
      <c r="C804" s="18">
        <v>0.625</v>
      </c>
      <c r="D804" s="19">
        <f>+SUMIFS(Regiones[Ofrecidas],Regiones[Fecha],Tabla54[[#This Row],[Fecha]],Regiones[Intervalo],Tabla54[[#This Row],[Intervalo]],Regiones[Skill],'BUPA Seguros'!$L$3)</f>
        <v>0</v>
      </c>
      <c r="E804" s="19">
        <f>+SUMIFS(Regiones[Contestadas],Regiones[Fecha],Tabla54[[#This Row],[Fecha]],Regiones[Intervalo],Tabla54[[#This Row],[Intervalo]],Regiones[Skill],'BUPA Seguros'!$L$3)</f>
        <v>0</v>
      </c>
      <c r="F804" s="20">
        <v>23.939892650069972</v>
      </c>
      <c r="G804" s="19">
        <f>IFERROR(SUMIFS(Regiones[TMO],Regiones[Fecha],Tabla54[[#This Row],[Fecha]],Regiones[Intervalo],Tabla54[[#This Row],[Intervalo]],Regiones[Skill],'BUPA Seguros'!$L$3)/Tabla54[[#This Row],[Atendidas]],0)</f>
        <v>0</v>
      </c>
      <c r="H8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4" s="21">
        <f>IFERROR(Tabla54[[#This Row],[Atendidas]]/Tabla54[[#This Row],[Recibidas]],0)</f>
        <v>0</v>
      </c>
    </row>
    <row r="805" spans="2:9" x14ac:dyDescent="0.3">
      <c r="B805" s="25">
        <f t="shared" si="31"/>
        <v>46220</v>
      </c>
      <c r="C805" s="26">
        <v>0.64583333333333304</v>
      </c>
      <c r="D805" s="19">
        <f>+SUMIFS(Regiones[Ofrecidas],Regiones[Fecha],Tabla54[[#This Row],[Fecha]],Regiones[Intervalo],Tabla54[[#This Row],[Intervalo]],Regiones[Skill],'BUPA Seguros'!$L$3)</f>
        <v>0</v>
      </c>
      <c r="E805" s="19">
        <f>+SUMIFS(Regiones[Contestadas],Regiones[Fecha],Tabla54[[#This Row],[Fecha]],Regiones[Intervalo],Tabla54[[#This Row],[Intervalo]],Regiones[Skill],'BUPA Seguros'!$L$3)</f>
        <v>0</v>
      </c>
      <c r="F805" s="20">
        <v>23.700352817785575</v>
      </c>
      <c r="G805" s="19">
        <f>IFERROR(SUMIFS(Regiones[TMO],Regiones[Fecha],Tabla54[[#This Row],[Fecha]],Regiones[Intervalo],Tabla54[[#This Row],[Intervalo]],Regiones[Skill],'BUPA Seguros'!$L$3)/Tabla54[[#This Row],[Atendidas]],0)</f>
        <v>0</v>
      </c>
      <c r="H8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5" s="21">
        <f>IFERROR(Tabla54[[#This Row],[Atendidas]]/Tabla54[[#This Row],[Recibidas]],0)</f>
        <v>0</v>
      </c>
    </row>
    <row r="806" spans="2:9" x14ac:dyDescent="0.3">
      <c r="B806" s="27">
        <f t="shared" si="31"/>
        <v>46220</v>
      </c>
      <c r="C806" s="18">
        <v>0.66666666666666696</v>
      </c>
      <c r="D806" s="19">
        <f>+SUMIFS(Regiones[Ofrecidas],Regiones[Fecha],Tabla54[[#This Row],[Fecha]],Regiones[Intervalo],Tabla54[[#This Row],[Intervalo]],Regiones[Skill],'BUPA Seguros'!$L$3)</f>
        <v>0</v>
      </c>
      <c r="E806" s="19">
        <f>+SUMIFS(Regiones[Contestadas],Regiones[Fecha],Tabla54[[#This Row],[Fecha]],Regiones[Intervalo],Tabla54[[#This Row],[Intervalo]],Regiones[Skill],'BUPA Seguros'!$L$3)</f>
        <v>0</v>
      </c>
      <c r="F806" s="20">
        <v>22.671740596799637</v>
      </c>
      <c r="G806" s="19">
        <f>IFERROR(SUMIFS(Regiones[TMO],Regiones[Fecha],Tabla54[[#This Row],[Fecha]],Regiones[Intervalo],Tabla54[[#This Row],[Intervalo]],Regiones[Skill],'BUPA Seguros'!$L$3)/Tabla54[[#This Row],[Atendidas]],0)</f>
        <v>0</v>
      </c>
      <c r="H8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6" s="21">
        <f>IFERROR(Tabla54[[#This Row],[Atendidas]]/Tabla54[[#This Row],[Recibidas]],0)</f>
        <v>0</v>
      </c>
    </row>
    <row r="807" spans="2:9" x14ac:dyDescent="0.3">
      <c r="B807" s="25">
        <f t="shared" si="31"/>
        <v>46220</v>
      </c>
      <c r="C807" s="26">
        <v>0.6875</v>
      </c>
      <c r="D807" s="19">
        <f>+SUMIFS(Regiones[Ofrecidas],Regiones[Fecha],Tabla54[[#This Row],[Fecha]],Regiones[Intervalo],Tabla54[[#This Row],[Intervalo]],Regiones[Skill],'BUPA Seguros'!$L$3)</f>
        <v>0</v>
      </c>
      <c r="E807" s="19">
        <f>+SUMIFS(Regiones[Contestadas],Regiones[Fecha],Tabla54[[#This Row],[Fecha]],Regiones[Intervalo],Tabla54[[#This Row],[Intervalo]],Regiones[Skill],'BUPA Seguros'!$L$3)</f>
        <v>0</v>
      </c>
      <c r="F807" s="20">
        <v>20.811784252003147</v>
      </c>
      <c r="G807" s="19">
        <f>IFERROR(SUMIFS(Regiones[TMO],Regiones[Fecha],Tabla54[[#This Row],[Fecha]],Regiones[Intervalo],Tabla54[[#This Row],[Intervalo]],Regiones[Skill],'BUPA Seguros'!$L$3)/Tabla54[[#This Row],[Atendidas]],0)</f>
        <v>0</v>
      </c>
      <c r="H8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7" s="21">
        <f>IFERROR(Tabla54[[#This Row],[Atendidas]]/Tabla54[[#This Row],[Recibidas]],0)</f>
        <v>0</v>
      </c>
    </row>
    <row r="808" spans="2:9" x14ac:dyDescent="0.3">
      <c r="B808" s="27">
        <f t="shared" si="31"/>
        <v>46220</v>
      </c>
      <c r="C808" s="18">
        <v>0.70833333333333304</v>
      </c>
      <c r="D808" s="19">
        <f>+SUMIFS(Regiones[Ofrecidas],Regiones[Fecha],Tabla54[[#This Row],[Fecha]],Regiones[Intervalo],Tabla54[[#This Row],[Intervalo]],Regiones[Skill],'BUPA Seguros'!$L$3)</f>
        <v>0</v>
      </c>
      <c r="E808" s="19">
        <f>+SUMIFS(Regiones[Contestadas],Regiones[Fecha],Tabla54[[#This Row],[Fecha]],Regiones[Intervalo],Tabla54[[#This Row],[Intervalo]],Regiones[Skill],'BUPA Seguros'!$L$3)</f>
        <v>0</v>
      </c>
      <c r="F808" s="20">
        <v>18.050030891547756</v>
      </c>
      <c r="G808" s="19">
        <f>IFERROR(SUMIFS(Regiones[TMO],Regiones[Fecha],Tabla54[[#This Row],[Fecha]],Regiones[Intervalo],Tabla54[[#This Row],[Intervalo]],Regiones[Skill],'BUPA Seguros'!$L$3)/Tabla54[[#This Row],[Atendidas]],0)</f>
        <v>0</v>
      </c>
      <c r="H8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8" s="21">
        <f>IFERROR(Tabla54[[#This Row],[Atendidas]]/Tabla54[[#This Row],[Recibidas]],0)</f>
        <v>0</v>
      </c>
    </row>
    <row r="809" spans="2:9" x14ac:dyDescent="0.3">
      <c r="B809" s="25">
        <f t="shared" si="31"/>
        <v>46220</v>
      </c>
      <c r="C809" s="26">
        <v>0.72916666666666696</v>
      </c>
      <c r="D809" s="19">
        <f>+SUMIFS(Regiones[Ofrecidas],Regiones[Fecha],Tabla54[[#This Row],[Fecha]],Regiones[Intervalo],Tabla54[[#This Row],[Intervalo]],Regiones[Skill],'BUPA Seguros'!$L$3)</f>
        <v>0</v>
      </c>
      <c r="E809" s="19">
        <f>+SUMIFS(Regiones[Contestadas],Regiones[Fecha],Tabla54[[#This Row],[Fecha]],Regiones[Intervalo],Tabla54[[#This Row],[Intervalo]],Regiones[Skill],'BUPA Seguros'!$L$3)</f>
        <v>0</v>
      </c>
      <c r="F809" s="20">
        <v>15.661677857888623</v>
      </c>
      <c r="G809" s="19">
        <f>IFERROR(SUMIFS(Regiones[TMO],Regiones[Fecha],Tabla54[[#This Row],[Fecha]],Regiones[Intervalo],Tabla54[[#This Row],[Intervalo]],Regiones[Skill],'BUPA Seguros'!$L$3)/Tabla54[[#This Row],[Atendidas]],0)</f>
        <v>0</v>
      </c>
      <c r="H8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09" s="21">
        <f>IFERROR(Tabla54[[#This Row],[Atendidas]]/Tabla54[[#This Row],[Recibidas]],0)</f>
        <v>0</v>
      </c>
    </row>
    <row r="810" spans="2:9" x14ac:dyDescent="0.3">
      <c r="B810" s="27">
        <f t="shared" si="31"/>
        <v>46220</v>
      </c>
      <c r="C810" s="18">
        <v>0.75</v>
      </c>
      <c r="D810" s="19">
        <f>+SUMIFS(Regiones[Ofrecidas],Regiones[Fecha],Tabla54[[#This Row],[Fecha]],Regiones[Intervalo],Tabla54[[#This Row],[Intervalo]],Regiones[Skill],'BUPA Seguros'!$L$3)</f>
        <v>0</v>
      </c>
      <c r="E810" s="19">
        <f>+SUMIFS(Regiones[Contestadas],Regiones[Fecha],Tabla54[[#This Row],[Fecha]],Regiones[Intervalo],Tabla54[[#This Row],[Intervalo]],Regiones[Skill],'BUPA Seguros'!$L$3)</f>
        <v>0</v>
      </c>
      <c r="F810" s="20">
        <v>0</v>
      </c>
      <c r="G810" s="19">
        <f>IFERROR(SUMIFS(Regiones[TMO],Regiones[Fecha],Tabla54[[#This Row],[Fecha]],Regiones[Intervalo],Tabla54[[#This Row],[Intervalo]],Regiones[Skill],'BUPA Seguros'!$L$3)/Tabla54[[#This Row],[Atendidas]],0)</f>
        <v>0</v>
      </c>
      <c r="H8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0" s="21">
        <f>IFERROR(Tabla54[[#This Row],[Atendidas]]/Tabla54[[#This Row],[Recibidas]],0)</f>
        <v>0</v>
      </c>
    </row>
    <row r="811" spans="2:9" x14ac:dyDescent="0.3">
      <c r="B811" s="25">
        <f t="shared" si="31"/>
        <v>46220</v>
      </c>
      <c r="C811" s="26">
        <v>0.77083333333333304</v>
      </c>
      <c r="D811" s="19">
        <f>+SUMIFS(Regiones[Ofrecidas],Regiones[Fecha],Tabla54[[#This Row],[Fecha]],Regiones[Intervalo],Tabla54[[#This Row],[Intervalo]],Regiones[Skill],'BUPA Seguros'!$L$3)</f>
        <v>0</v>
      </c>
      <c r="E811" s="19">
        <f>+SUMIFS(Regiones[Contestadas],Regiones[Fecha],Tabla54[[#This Row],[Fecha]],Regiones[Intervalo],Tabla54[[#This Row],[Intervalo]],Regiones[Skill],'BUPA Seguros'!$L$3)</f>
        <v>0</v>
      </c>
      <c r="F811" s="20">
        <v>0</v>
      </c>
      <c r="G811" s="19">
        <f>IFERROR(SUMIFS(Regiones[TMO],Regiones[Fecha],Tabla54[[#This Row],[Fecha]],Regiones[Intervalo],Tabla54[[#This Row],[Intervalo]],Regiones[Skill],'BUPA Seguros'!$L$3)/Tabla54[[#This Row],[Atendidas]],0)</f>
        <v>0</v>
      </c>
      <c r="H8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1" s="21">
        <f>IFERROR(Tabla54[[#This Row],[Atendidas]]/Tabla54[[#This Row],[Recibidas]],0)</f>
        <v>0</v>
      </c>
    </row>
    <row r="812" spans="2:9" x14ac:dyDescent="0.3">
      <c r="B812" s="27">
        <f t="shared" si="31"/>
        <v>46220</v>
      </c>
      <c r="C812" s="18">
        <v>0.79166666666666696</v>
      </c>
      <c r="D812" s="19">
        <f>+SUMIFS(Regiones[Ofrecidas],Regiones[Fecha],Tabla54[[#This Row],[Fecha]],Regiones[Intervalo],Tabla54[[#This Row],[Intervalo]],Regiones[Skill],'BUPA Seguros'!$L$3)</f>
        <v>0</v>
      </c>
      <c r="E812" s="19">
        <f>+SUMIFS(Regiones[Contestadas],Regiones[Fecha],Tabla54[[#This Row],[Fecha]],Regiones[Intervalo],Tabla54[[#This Row],[Intervalo]],Regiones[Skill],'BUPA Seguros'!$L$3)</f>
        <v>0</v>
      </c>
      <c r="F812" s="20">
        <v>0</v>
      </c>
      <c r="G812" s="19">
        <f>IFERROR(SUMIFS(Regiones[TMO],Regiones[Fecha],Tabla54[[#This Row],[Fecha]],Regiones[Intervalo],Tabla54[[#This Row],[Intervalo]],Regiones[Skill],'BUPA Seguros'!$L$3)/Tabla54[[#This Row],[Atendidas]],0)</f>
        <v>0</v>
      </c>
      <c r="H8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2" s="21">
        <f>IFERROR(Tabla54[[#This Row],[Atendidas]]/Tabla54[[#This Row],[Recibidas]],0)</f>
        <v>0</v>
      </c>
    </row>
    <row r="813" spans="2:9" x14ac:dyDescent="0.3">
      <c r="B813" s="25">
        <f t="shared" si="31"/>
        <v>46220</v>
      </c>
      <c r="C813" s="26">
        <v>0.8125</v>
      </c>
      <c r="D813" s="19">
        <f>+SUMIFS(Regiones[Ofrecidas],Regiones[Fecha],Tabla54[[#This Row],[Fecha]],Regiones[Intervalo],Tabla54[[#This Row],[Intervalo]],Regiones[Skill],'BUPA Seguros'!$L$3)</f>
        <v>0</v>
      </c>
      <c r="E813" s="19">
        <f>+SUMIFS(Regiones[Contestadas],Regiones[Fecha],Tabla54[[#This Row],[Fecha]],Regiones[Intervalo],Tabla54[[#This Row],[Intervalo]],Regiones[Skill],'BUPA Seguros'!$L$3)</f>
        <v>0</v>
      </c>
      <c r="F813" s="20">
        <v>0</v>
      </c>
      <c r="G813" s="19">
        <f>IFERROR(SUMIFS(Regiones[TMO],Regiones[Fecha],Tabla54[[#This Row],[Fecha]],Regiones[Intervalo],Tabla54[[#This Row],[Intervalo]],Regiones[Skill],'BUPA Seguros'!$L$3)/Tabla54[[#This Row],[Atendidas]],0)</f>
        <v>0</v>
      </c>
      <c r="H8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3" s="21">
        <f>IFERROR(Tabla54[[#This Row],[Atendidas]]/Tabla54[[#This Row],[Recibidas]],0)</f>
        <v>0</v>
      </c>
    </row>
    <row r="814" spans="2:9" x14ac:dyDescent="0.3">
      <c r="B814" s="27">
        <f t="shared" si="31"/>
        <v>46220</v>
      </c>
      <c r="C814" s="18">
        <v>0.83333333333333304</v>
      </c>
      <c r="D814" s="19">
        <f>+SUMIFS(Regiones[Ofrecidas],Regiones[Fecha],Tabla54[[#This Row],[Fecha]],Regiones[Intervalo],Tabla54[[#This Row],[Intervalo]],Regiones[Skill],'BUPA Seguros'!$L$3)</f>
        <v>0</v>
      </c>
      <c r="E814" s="19">
        <f>+SUMIFS(Regiones[Contestadas],Regiones[Fecha],Tabla54[[#This Row],[Fecha]],Regiones[Intervalo],Tabla54[[#This Row],[Intervalo]],Regiones[Skill],'BUPA Seguros'!$L$3)</f>
        <v>0</v>
      </c>
      <c r="F814" s="20">
        <v>0</v>
      </c>
      <c r="G814" s="19">
        <f>IFERROR(SUMIFS(Regiones[TMO],Regiones[Fecha],Tabla54[[#This Row],[Fecha]],Regiones[Intervalo],Tabla54[[#This Row],[Intervalo]],Regiones[Skill],'BUPA Seguros'!$L$3)/Tabla54[[#This Row],[Atendidas]],0)</f>
        <v>0</v>
      </c>
      <c r="H8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4" s="21">
        <f>IFERROR(Tabla54[[#This Row],[Atendidas]]/Tabla54[[#This Row],[Recibidas]],0)</f>
        <v>0</v>
      </c>
    </row>
    <row r="815" spans="2:9" x14ac:dyDescent="0.3">
      <c r="B815" s="25">
        <f t="shared" si="31"/>
        <v>46220</v>
      </c>
      <c r="C815" s="26">
        <v>0.85416666666666696</v>
      </c>
      <c r="D815" s="19">
        <f>+SUMIFS(Regiones[Ofrecidas],Regiones[Fecha],Tabla54[[#This Row],[Fecha]],Regiones[Intervalo],Tabla54[[#This Row],[Intervalo]],Regiones[Skill],'BUPA Seguros'!$L$3)</f>
        <v>0</v>
      </c>
      <c r="E815" s="19">
        <f>+SUMIFS(Regiones[Contestadas],Regiones[Fecha],Tabla54[[#This Row],[Fecha]],Regiones[Intervalo],Tabla54[[#This Row],[Intervalo]],Regiones[Skill],'BUPA Seguros'!$L$3)</f>
        <v>0</v>
      </c>
      <c r="F815" s="20">
        <v>0</v>
      </c>
      <c r="G815" s="19">
        <f>IFERROR(SUMIFS(Regiones[TMO],Regiones[Fecha],Tabla54[[#This Row],[Fecha]],Regiones[Intervalo],Tabla54[[#This Row],[Intervalo]],Regiones[Skill],'BUPA Seguros'!$L$3)/Tabla54[[#This Row],[Atendidas]],0)</f>
        <v>0</v>
      </c>
      <c r="H8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5" s="21">
        <f>IFERROR(Tabla54[[#This Row],[Atendidas]]/Tabla54[[#This Row],[Recibidas]],0)</f>
        <v>0</v>
      </c>
    </row>
    <row r="816" spans="2:9" x14ac:dyDescent="0.3">
      <c r="B816" s="27">
        <f t="shared" si="31"/>
        <v>46220</v>
      </c>
      <c r="C816" s="18">
        <v>0.875</v>
      </c>
      <c r="D816" s="19">
        <f>+SUMIFS(Regiones[Ofrecidas],Regiones[Fecha],Tabla54[[#This Row],[Fecha]],Regiones[Intervalo],Tabla54[[#This Row],[Intervalo]],Regiones[Skill],'BUPA Seguros'!$L$3)</f>
        <v>0</v>
      </c>
      <c r="E816" s="19">
        <f>+SUMIFS(Regiones[Contestadas],Regiones[Fecha],Tabla54[[#This Row],[Fecha]],Regiones[Intervalo],Tabla54[[#This Row],[Intervalo]],Regiones[Skill],'BUPA Seguros'!$L$3)</f>
        <v>0</v>
      </c>
      <c r="F816" s="20">
        <v>0</v>
      </c>
      <c r="G816" s="19">
        <f>IFERROR(SUMIFS(Regiones[TMO],Regiones[Fecha],Tabla54[[#This Row],[Fecha]],Regiones[Intervalo],Tabla54[[#This Row],[Intervalo]],Regiones[Skill],'BUPA Seguros'!$L$3)/Tabla54[[#This Row],[Atendidas]],0)</f>
        <v>0</v>
      </c>
      <c r="H8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6" s="21">
        <f>IFERROR(Tabla54[[#This Row],[Atendidas]]/Tabla54[[#This Row],[Recibidas]],0)</f>
        <v>0</v>
      </c>
    </row>
    <row r="817" spans="2:9" x14ac:dyDescent="0.3">
      <c r="B817" s="25">
        <f t="shared" si="31"/>
        <v>46220</v>
      </c>
      <c r="C817" s="26">
        <v>0.89583333333333304</v>
      </c>
      <c r="D817" s="19">
        <f>+SUMIFS(Regiones[Ofrecidas],Regiones[Fecha],Tabla54[[#This Row],[Fecha]],Regiones[Intervalo],Tabla54[[#This Row],[Intervalo]],Regiones[Skill],'BUPA Seguros'!$L$3)</f>
        <v>0</v>
      </c>
      <c r="E817" s="19">
        <f>+SUMIFS(Regiones[Contestadas],Regiones[Fecha],Tabla54[[#This Row],[Fecha]],Regiones[Intervalo],Tabla54[[#This Row],[Intervalo]],Regiones[Skill],'BUPA Seguros'!$L$3)</f>
        <v>0</v>
      </c>
      <c r="F817" s="20">
        <v>0</v>
      </c>
      <c r="G817" s="19">
        <f>IFERROR(SUMIFS(Regiones[TMO],Regiones[Fecha],Tabla54[[#This Row],[Fecha]],Regiones[Intervalo],Tabla54[[#This Row],[Intervalo]],Regiones[Skill],'BUPA Seguros'!$L$3)/Tabla54[[#This Row],[Atendidas]],0)</f>
        <v>0</v>
      </c>
      <c r="H8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7" s="21">
        <f>IFERROR(Tabla54[[#This Row],[Atendidas]]/Tabla54[[#This Row],[Recibidas]],0)</f>
        <v>0</v>
      </c>
    </row>
    <row r="818" spans="2:9" x14ac:dyDescent="0.3">
      <c r="B818" s="27">
        <f t="shared" si="31"/>
        <v>46220</v>
      </c>
      <c r="C818" s="18">
        <v>0.91666666666666696</v>
      </c>
      <c r="D818" s="19">
        <f>+SUMIFS(Regiones[Ofrecidas],Regiones[Fecha],Tabla54[[#This Row],[Fecha]],Regiones[Intervalo],Tabla54[[#This Row],[Intervalo]],Regiones[Skill],'BUPA Seguros'!$L$3)</f>
        <v>0</v>
      </c>
      <c r="E818" s="19">
        <f>+SUMIFS(Regiones[Contestadas],Regiones[Fecha],Tabla54[[#This Row],[Fecha]],Regiones[Intervalo],Tabla54[[#This Row],[Intervalo]],Regiones[Skill],'BUPA Seguros'!$L$3)</f>
        <v>0</v>
      </c>
      <c r="F818" s="20">
        <v>0</v>
      </c>
      <c r="G818" s="19">
        <f>IFERROR(SUMIFS(Regiones[TMO],Regiones[Fecha],Tabla54[[#This Row],[Fecha]],Regiones[Intervalo],Tabla54[[#This Row],[Intervalo]],Regiones[Skill],'BUPA Seguros'!$L$3)/Tabla54[[#This Row],[Atendidas]],0)</f>
        <v>0</v>
      </c>
      <c r="H8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8" s="21">
        <f>IFERROR(Tabla54[[#This Row],[Atendidas]]/Tabla54[[#This Row],[Recibidas]],0)</f>
        <v>0</v>
      </c>
    </row>
    <row r="819" spans="2:9" x14ac:dyDescent="0.3">
      <c r="B819" s="25">
        <f t="shared" si="31"/>
        <v>46220</v>
      </c>
      <c r="C819" s="26">
        <v>0.9375</v>
      </c>
      <c r="D819" s="19">
        <f>+SUMIFS(Regiones[Ofrecidas],Regiones[Fecha],Tabla54[[#This Row],[Fecha]],Regiones[Intervalo],Tabla54[[#This Row],[Intervalo]],Regiones[Skill],'BUPA Seguros'!$L$3)</f>
        <v>0</v>
      </c>
      <c r="E819" s="19">
        <f>+SUMIFS(Regiones[Contestadas],Regiones[Fecha],Tabla54[[#This Row],[Fecha]],Regiones[Intervalo],Tabla54[[#This Row],[Intervalo]],Regiones[Skill],'BUPA Seguros'!$L$3)</f>
        <v>0</v>
      </c>
      <c r="F819" s="20">
        <v>0</v>
      </c>
      <c r="G819" s="19">
        <f>IFERROR(SUMIFS(Regiones[TMO],Regiones[Fecha],Tabla54[[#This Row],[Fecha]],Regiones[Intervalo],Tabla54[[#This Row],[Intervalo]],Regiones[Skill],'BUPA Seguros'!$L$3)/Tabla54[[#This Row],[Atendidas]],0)</f>
        <v>0</v>
      </c>
      <c r="H8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19" s="21">
        <f>IFERROR(Tabla54[[#This Row],[Atendidas]]/Tabla54[[#This Row],[Recibidas]],0)</f>
        <v>0</v>
      </c>
    </row>
    <row r="820" spans="2:9" x14ac:dyDescent="0.3">
      <c r="B820" s="27">
        <f t="shared" si="31"/>
        <v>46220</v>
      </c>
      <c r="C820" s="18">
        <v>0.95833333333333304</v>
      </c>
      <c r="D820" s="19">
        <f>+SUMIFS(Regiones[Ofrecidas],Regiones[Fecha],Tabla54[[#This Row],[Fecha]],Regiones[Intervalo],Tabla54[[#This Row],[Intervalo]],Regiones[Skill],'BUPA Seguros'!$L$3)</f>
        <v>0</v>
      </c>
      <c r="E820" s="19">
        <f>+SUMIFS(Regiones[Contestadas],Regiones[Fecha],Tabla54[[#This Row],[Fecha]],Regiones[Intervalo],Tabla54[[#This Row],[Intervalo]],Regiones[Skill],'BUPA Seguros'!$L$3)</f>
        <v>0</v>
      </c>
      <c r="F820" s="20">
        <v>0</v>
      </c>
      <c r="G820" s="19">
        <f>IFERROR(SUMIFS(Regiones[TMO],Regiones[Fecha],Tabla54[[#This Row],[Fecha]],Regiones[Intervalo],Tabla54[[#This Row],[Intervalo]],Regiones[Skill],'BUPA Seguros'!$L$3)/Tabla54[[#This Row],[Atendidas]],0)</f>
        <v>0</v>
      </c>
      <c r="H8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0" s="21">
        <f>IFERROR(Tabla54[[#This Row],[Atendidas]]/Tabla54[[#This Row],[Recibidas]],0)</f>
        <v>0</v>
      </c>
    </row>
    <row r="821" spans="2:9" x14ac:dyDescent="0.3">
      <c r="B821" s="25">
        <f t="shared" si="31"/>
        <v>46220</v>
      </c>
      <c r="C821" s="26">
        <v>0.97916666666666696</v>
      </c>
      <c r="D821" s="19">
        <f>+SUMIFS(Regiones[Ofrecidas],Regiones[Fecha],Tabla54[[#This Row],[Fecha]],Regiones[Intervalo],Tabla54[[#This Row],[Intervalo]],Regiones[Skill],'BUPA Seguros'!$L$3)</f>
        <v>0</v>
      </c>
      <c r="E821" s="19">
        <f>+SUMIFS(Regiones[Contestadas],Regiones[Fecha],Tabla54[[#This Row],[Fecha]],Regiones[Intervalo],Tabla54[[#This Row],[Intervalo]],Regiones[Skill],'BUPA Seguros'!$L$3)</f>
        <v>0</v>
      </c>
      <c r="F821" s="20">
        <v>0</v>
      </c>
      <c r="G821" s="19">
        <f>IFERROR(SUMIFS(Regiones[TMO],Regiones[Fecha],Tabla54[[#This Row],[Fecha]],Regiones[Intervalo],Tabla54[[#This Row],[Intervalo]],Regiones[Skill],'BUPA Seguros'!$L$3)/Tabla54[[#This Row],[Atendidas]],0)</f>
        <v>0</v>
      </c>
      <c r="H8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1" s="21">
        <f>IFERROR(Tabla54[[#This Row],[Atendidas]]/Tabla54[[#This Row],[Recibidas]],0)</f>
        <v>0</v>
      </c>
    </row>
    <row r="822" spans="2:9" x14ac:dyDescent="0.3">
      <c r="B822" s="27">
        <f t="shared" ref="B822" si="34">+B821+1</f>
        <v>46221</v>
      </c>
      <c r="C822" s="18">
        <v>0</v>
      </c>
      <c r="D822" s="19">
        <f>+SUMIFS(Regiones[Ofrecidas],Regiones[Fecha],Tabla54[[#This Row],[Fecha]],Regiones[Intervalo],Tabla54[[#This Row],[Intervalo]],Regiones[Skill],'BUPA Seguros'!$L$3)</f>
        <v>0</v>
      </c>
      <c r="E822" s="19">
        <f>+SUMIFS(Regiones[Contestadas],Regiones[Fecha],Tabla54[[#This Row],[Fecha]],Regiones[Intervalo],Tabla54[[#This Row],[Intervalo]],Regiones[Skill],'BUPA Seguros'!$L$3)</f>
        <v>0</v>
      </c>
      <c r="F822" s="20">
        <v>0</v>
      </c>
      <c r="G822" s="19">
        <f>IFERROR(SUMIFS(Regiones[TMO],Regiones[Fecha],Tabla54[[#This Row],[Fecha]],Regiones[Intervalo],Tabla54[[#This Row],[Intervalo]],Regiones[Skill],'BUPA Seguros'!$L$3)/Tabla54[[#This Row],[Atendidas]],0)</f>
        <v>0</v>
      </c>
      <c r="H8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2" s="21">
        <f>IFERROR(Tabla54[[#This Row],[Atendidas]]/Tabla54[[#This Row],[Recibidas]],0)</f>
        <v>0</v>
      </c>
    </row>
    <row r="823" spans="2:9" x14ac:dyDescent="0.3">
      <c r="B823" s="25">
        <f t="shared" ref="B823:B886" si="35">+B822</f>
        <v>46221</v>
      </c>
      <c r="C823" s="26">
        <v>2.0833333333333332E-2</v>
      </c>
      <c r="D823" s="19">
        <f>+SUMIFS(Regiones[Ofrecidas],Regiones[Fecha],Tabla54[[#This Row],[Fecha]],Regiones[Intervalo],Tabla54[[#This Row],[Intervalo]],Regiones[Skill],'BUPA Seguros'!$L$3)</f>
        <v>0</v>
      </c>
      <c r="E823" s="19">
        <f>+SUMIFS(Regiones[Contestadas],Regiones[Fecha],Tabla54[[#This Row],[Fecha]],Regiones[Intervalo],Tabla54[[#This Row],[Intervalo]],Regiones[Skill],'BUPA Seguros'!$L$3)</f>
        <v>0</v>
      </c>
      <c r="F823" s="20">
        <v>0</v>
      </c>
      <c r="G823" s="19">
        <f>IFERROR(SUMIFS(Regiones[TMO],Regiones[Fecha],Tabla54[[#This Row],[Fecha]],Regiones[Intervalo],Tabla54[[#This Row],[Intervalo]],Regiones[Skill],'BUPA Seguros'!$L$3)/Tabla54[[#This Row],[Atendidas]],0)</f>
        <v>0</v>
      </c>
      <c r="H8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3" s="21">
        <f>IFERROR(Tabla54[[#This Row],[Atendidas]]/Tabla54[[#This Row],[Recibidas]],0)</f>
        <v>0</v>
      </c>
    </row>
    <row r="824" spans="2:9" x14ac:dyDescent="0.3">
      <c r="B824" s="27">
        <f t="shared" si="35"/>
        <v>46221</v>
      </c>
      <c r="C824" s="18">
        <v>4.1666666666666699E-2</v>
      </c>
      <c r="D824" s="19">
        <f>+SUMIFS(Regiones[Ofrecidas],Regiones[Fecha],Tabla54[[#This Row],[Fecha]],Regiones[Intervalo],Tabla54[[#This Row],[Intervalo]],Regiones[Skill],'BUPA Seguros'!$L$3)</f>
        <v>0</v>
      </c>
      <c r="E824" s="19">
        <f>+SUMIFS(Regiones[Contestadas],Regiones[Fecha],Tabla54[[#This Row],[Fecha]],Regiones[Intervalo],Tabla54[[#This Row],[Intervalo]],Regiones[Skill],'BUPA Seguros'!$L$3)</f>
        <v>0</v>
      </c>
      <c r="F824" s="20">
        <v>0</v>
      </c>
      <c r="G824" s="19">
        <f>IFERROR(SUMIFS(Regiones[TMO],Regiones[Fecha],Tabla54[[#This Row],[Fecha]],Regiones[Intervalo],Tabla54[[#This Row],[Intervalo]],Regiones[Skill],'BUPA Seguros'!$L$3)/Tabla54[[#This Row],[Atendidas]],0)</f>
        <v>0</v>
      </c>
      <c r="H8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4" s="21">
        <f>IFERROR(Tabla54[[#This Row],[Atendidas]]/Tabla54[[#This Row],[Recibidas]],0)</f>
        <v>0</v>
      </c>
    </row>
    <row r="825" spans="2:9" x14ac:dyDescent="0.3">
      <c r="B825" s="25">
        <f t="shared" si="35"/>
        <v>46221</v>
      </c>
      <c r="C825" s="26">
        <v>6.25E-2</v>
      </c>
      <c r="D825" s="19">
        <f>+SUMIFS(Regiones[Ofrecidas],Regiones[Fecha],Tabla54[[#This Row],[Fecha]],Regiones[Intervalo],Tabla54[[#This Row],[Intervalo]],Regiones[Skill],'BUPA Seguros'!$L$3)</f>
        <v>0</v>
      </c>
      <c r="E825" s="19">
        <f>+SUMIFS(Regiones[Contestadas],Regiones[Fecha],Tabla54[[#This Row],[Fecha]],Regiones[Intervalo],Tabla54[[#This Row],[Intervalo]],Regiones[Skill],'BUPA Seguros'!$L$3)</f>
        <v>0</v>
      </c>
      <c r="F825" s="20">
        <v>0</v>
      </c>
      <c r="G825" s="19">
        <f>IFERROR(SUMIFS(Regiones[TMO],Regiones[Fecha],Tabla54[[#This Row],[Fecha]],Regiones[Intervalo],Tabla54[[#This Row],[Intervalo]],Regiones[Skill],'BUPA Seguros'!$L$3)/Tabla54[[#This Row],[Atendidas]],0)</f>
        <v>0</v>
      </c>
      <c r="H8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5" s="21">
        <f>IFERROR(Tabla54[[#This Row],[Atendidas]]/Tabla54[[#This Row],[Recibidas]],0)</f>
        <v>0</v>
      </c>
    </row>
    <row r="826" spans="2:9" x14ac:dyDescent="0.3">
      <c r="B826" s="27">
        <f t="shared" si="35"/>
        <v>46221</v>
      </c>
      <c r="C826" s="18">
        <v>8.3333333333333301E-2</v>
      </c>
      <c r="D826" s="19">
        <f>+SUMIFS(Regiones[Ofrecidas],Regiones[Fecha],Tabla54[[#This Row],[Fecha]],Regiones[Intervalo],Tabla54[[#This Row],[Intervalo]],Regiones[Skill],'BUPA Seguros'!$L$3)</f>
        <v>0</v>
      </c>
      <c r="E826" s="19">
        <f>+SUMIFS(Regiones[Contestadas],Regiones[Fecha],Tabla54[[#This Row],[Fecha]],Regiones[Intervalo],Tabla54[[#This Row],[Intervalo]],Regiones[Skill],'BUPA Seguros'!$L$3)</f>
        <v>0</v>
      </c>
      <c r="F826" s="20">
        <v>0</v>
      </c>
      <c r="G826" s="19">
        <f>IFERROR(SUMIFS(Regiones[TMO],Regiones[Fecha],Tabla54[[#This Row],[Fecha]],Regiones[Intervalo],Tabla54[[#This Row],[Intervalo]],Regiones[Skill],'BUPA Seguros'!$L$3)/Tabla54[[#This Row],[Atendidas]],0)</f>
        <v>0</v>
      </c>
      <c r="H8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6" s="21">
        <f>IFERROR(Tabla54[[#This Row],[Atendidas]]/Tabla54[[#This Row],[Recibidas]],0)</f>
        <v>0</v>
      </c>
    </row>
    <row r="827" spans="2:9" x14ac:dyDescent="0.3">
      <c r="B827" s="25">
        <f t="shared" si="35"/>
        <v>46221</v>
      </c>
      <c r="C827" s="26">
        <v>0.104166666666667</v>
      </c>
      <c r="D827" s="19">
        <f>+SUMIFS(Regiones[Ofrecidas],Regiones[Fecha],Tabla54[[#This Row],[Fecha]],Regiones[Intervalo],Tabla54[[#This Row],[Intervalo]],Regiones[Skill],'BUPA Seguros'!$L$3)</f>
        <v>0</v>
      </c>
      <c r="E827" s="19">
        <f>+SUMIFS(Regiones[Contestadas],Regiones[Fecha],Tabla54[[#This Row],[Fecha]],Regiones[Intervalo],Tabla54[[#This Row],[Intervalo]],Regiones[Skill],'BUPA Seguros'!$L$3)</f>
        <v>0</v>
      </c>
      <c r="F827" s="20">
        <v>0</v>
      </c>
      <c r="G827" s="19">
        <f>IFERROR(SUMIFS(Regiones[TMO],Regiones[Fecha],Tabla54[[#This Row],[Fecha]],Regiones[Intervalo],Tabla54[[#This Row],[Intervalo]],Regiones[Skill],'BUPA Seguros'!$L$3)/Tabla54[[#This Row],[Atendidas]],0)</f>
        <v>0</v>
      </c>
      <c r="H8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7" s="21">
        <f>IFERROR(Tabla54[[#This Row],[Atendidas]]/Tabla54[[#This Row],[Recibidas]],0)</f>
        <v>0</v>
      </c>
    </row>
    <row r="828" spans="2:9" x14ac:dyDescent="0.3">
      <c r="B828" s="27">
        <f t="shared" si="35"/>
        <v>46221</v>
      </c>
      <c r="C828" s="18">
        <v>0.125</v>
      </c>
      <c r="D828" s="19">
        <f>+SUMIFS(Regiones[Ofrecidas],Regiones[Fecha],Tabla54[[#This Row],[Fecha]],Regiones[Intervalo],Tabla54[[#This Row],[Intervalo]],Regiones[Skill],'BUPA Seguros'!$L$3)</f>
        <v>0</v>
      </c>
      <c r="E828" s="19">
        <f>+SUMIFS(Regiones[Contestadas],Regiones[Fecha],Tabla54[[#This Row],[Fecha]],Regiones[Intervalo],Tabla54[[#This Row],[Intervalo]],Regiones[Skill],'BUPA Seguros'!$L$3)</f>
        <v>0</v>
      </c>
      <c r="F828" s="20">
        <v>0</v>
      </c>
      <c r="G828" s="19">
        <f>IFERROR(SUMIFS(Regiones[TMO],Regiones[Fecha],Tabla54[[#This Row],[Fecha]],Regiones[Intervalo],Tabla54[[#This Row],[Intervalo]],Regiones[Skill],'BUPA Seguros'!$L$3)/Tabla54[[#This Row],[Atendidas]],0)</f>
        <v>0</v>
      </c>
      <c r="H8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8" s="21">
        <f>IFERROR(Tabla54[[#This Row],[Atendidas]]/Tabla54[[#This Row],[Recibidas]],0)</f>
        <v>0</v>
      </c>
    </row>
    <row r="829" spans="2:9" x14ac:dyDescent="0.3">
      <c r="B829" s="25">
        <f t="shared" si="35"/>
        <v>46221</v>
      </c>
      <c r="C829" s="26">
        <v>0.14583333333333301</v>
      </c>
      <c r="D829" s="19">
        <f>+SUMIFS(Regiones[Ofrecidas],Regiones[Fecha],Tabla54[[#This Row],[Fecha]],Regiones[Intervalo],Tabla54[[#This Row],[Intervalo]],Regiones[Skill],'BUPA Seguros'!$L$3)</f>
        <v>0</v>
      </c>
      <c r="E829" s="19">
        <f>+SUMIFS(Regiones[Contestadas],Regiones[Fecha],Tabla54[[#This Row],[Fecha]],Regiones[Intervalo],Tabla54[[#This Row],[Intervalo]],Regiones[Skill],'BUPA Seguros'!$L$3)</f>
        <v>0</v>
      </c>
      <c r="F829" s="20">
        <v>0</v>
      </c>
      <c r="G829" s="19">
        <f>IFERROR(SUMIFS(Regiones[TMO],Regiones[Fecha],Tabla54[[#This Row],[Fecha]],Regiones[Intervalo],Tabla54[[#This Row],[Intervalo]],Regiones[Skill],'BUPA Seguros'!$L$3)/Tabla54[[#This Row],[Atendidas]],0)</f>
        <v>0</v>
      </c>
      <c r="H8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29" s="21">
        <f>IFERROR(Tabla54[[#This Row],[Atendidas]]/Tabla54[[#This Row],[Recibidas]],0)</f>
        <v>0</v>
      </c>
    </row>
    <row r="830" spans="2:9" x14ac:dyDescent="0.3">
      <c r="B830" s="27">
        <f t="shared" si="35"/>
        <v>46221</v>
      </c>
      <c r="C830" s="18">
        <v>0.16666666666666699</v>
      </c>
      <c r="D830" s="19">
        <f>+SUMIFS(Regiones[Ofrecidas],Regiones[Fecha],Tabla54[[#This Row],[Fecha]],Regiones[Intervalo],Tabla54[[#This Row],[Intervalo]],Regiones[Skill],'BUPA Seguros'!$L$3)</f>
        <v>0</v>
      </c>
      <c r="E830" s="19">
        <f>+SUMIFS(Regiones[Contestadas],Regiones[Fecha],Tabla54[[#This Row],[Fecha]],Regiones[Intervalo],Tabla54[[#This Row],[Intervalo]],Regiones[Skill],'BUPA Seguros'!$L$3)</f>
        <v>0</v>
      </c>
      <c r="F830" s="20">
        <v>0</v>
      </c>
      <c r="G830" s="19">
        <f>IFERROR(SUMIFS(Regiones[TMO],Regiones[Fecha],Tabla54[[#This Row],[Fecha]],Regiones[Intervalo],Tabla54[[#This Row],[Intervalo]],Regiones[Skill],'BUPA Seguros'!$L$3)/Tabla54[[#This Row],[Atendidas]],0)</f>
        <v>0</v>
      </c>
      <c r="H8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0" s="21">
        <f>IFERROR(Tabla54[[#This Row],[Atendidas]]/Tabla54[[#This Row],[Recibidas]],0)</f>
        <v>0</v>
      </c>
    </row>
    <row r="831" spans="2:9" x14ac:dyDescent="0.3">
      <c r="B831" s="25">
        <f t="shared" si="35"/>
        <v>46221</v>
      </c>
      <c r="C831" s="26">
        <v>0.1875</v>
      </c>
      <c r="D831" s="19">
        <f>+SUMIFS(Regiones[Ofrecidas],Regiones[Fecha],Tabla54[[#This Row],[Fecha]],Regiones[Intervalo],Tabla54[[#This Row],[Intervalo]],Regiones[Skill],'BUPA Seguros'!$L$3)</f>
        <v>0</v>
      </c>
      <c r="E831" s="19">
        <f>+SUMIFS(Regiones[Contestadas],Regiones[Fecha],Tabla54[[#This Row],[Fecha]],Regiones[Intervalo],Tabla54[[#This Row],[Intervalo]],Regiones[Skill],'BUPA Seguros'!$L$3)</f>
        <v>0</v>
      </c>
      <c r="F831" s="20">
        <v>0</v>
      </c>
      <c r="G831" s="19">
        <f>IFERROR(SUMIFS(Regiones[TMO],Regiones[Fecha],Tabla54[[#This Row],[Fecha]],Regiones[Intervalo],Tabla54[[#This Row],[Intervalo]],Regiones[Skill],'BUPA Seguros'!$L$3)/Tabla54[[#This Row],[Atendidas]],0)</f>
        <v>0</v>
      </c>
      <c r="H8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1" s="21">
        <f>IFERROR(Tabla54[[#This Row],[Atendidas]]/Tabla54[[#This Row],[Recibidas]],0)</f>
        <v>0</v>
      </c>
    </row>
    <row r="832" spans="2:9" x14ac:dyDescent="0.3">
      <c r="B832" s="27">
        <f t="shared" si="35"/>
        <v>46221</v>
      </c>
      <c r="C832" s="18">
        <v>0.20833333333333301</v>
      </c>
      <c r="D832" s="19">
        <f>+SUMIFS(Regiones[Ofrecidas],Regiones[Fecha],Tabla54[[#This Row],[Fecha]],Regiones[Intervalo],Tabla54[[#This Row],[Intervalo]],Regiones[Skill],'BUPA Seguros'!$L$3)</f>
        <v>0</v>
      </c>
      <c r="E832" s="19">
        <f>+SUMIFS(Regiones[Contestadas],Regiones[Fecha],Tabla54[[#This Row],[Fecha]],Regiones[Intervalo],Tabla54[[#This Row],[Intervalo]],Regiones[Skill],'BUPA Seguros'!$L$3)</f>
        <v>0</v>
      </c>
      <c r="F832" s="20">
        <v>0</v>
      </c>
      <c r="G832" s="19">
        <f>IFERROR(SUMIFS(Regiones[TMO],Regiones[Fecha],Tabla54[[#This Row],[Fecha]],Regiones[Intervalo],Tabla54[[#This Row],[Intervalo]],Regiones[Skill],'BUPA Seguros'!$L$3)/Tabla54[[#This Row],[Atendidas]],0)</f>
        <v>0</v>
      </c>
      <c r="H8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2" s="21">
        <f>IFERROR(Tabla54[[#This Row],[Atendidas]]/Tabla54[[#This Row],[Recibidas]],0)</f>
        <v>0</v>
      </c>
    </row>
    <row r="833" spans="2:9" x14ac:dyDescent="0.3">
      <c r="B833" s="25">
        <f t="shared" si="35"/>
        <v>46221</v>
      </c>
      <c r="C833" s="26">
        <v>0.22916666666666699</v>
      </c>
      <c r="D833" s="19">
        <f>+SUMIFS(Regiones[Ofrecidas],Regiones[Fecha],Tabla54[[#This Row],[Fecha]],Regiones[Intervalo],Tabla54[[#This Row],[Intervalo]],Regiones[Skill],'BUPA Seguros'!$L$3)</f>
        <v>0</v>
      </c>
      <c r="E833" s="19">
        <f>+SUMIFS(Regiones[Contestadas],Regiones[Fecha],Tabla54[[#This Row],[Fecha]],Regiones[Intervalo],Tabla54[[#This Row],[Intervalo]],Regiones[Skill],'BUPA Seguros'!$L$3)</f>
        <v>0</v>
      </c>
      <c r="F833" s="20">
        <v>0</v>
      </c>
      <c r="G833" s="19">
        <f>IFERROR(SUMIFS(Regiones[TMO],Regiones[Fecha],Tabla54[[#This Row],[Fecha]],Regiones[Intervalo],Tabla54[[#This Row],[Intervalo]],Regiones[Skill],'BUPA Seguros'!$L$3)/Tabla54[[#This Row],[Atendidas]],0)</f>
        <v>0</v>
      </c>
      <c r="H8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3" s="21">
        <f>IFERROR(Tabla54[[#This Row],[Atendidas]]/Tabla54[[#This Row],[Recibidas]],0)</f>
        <v>0</v>
      </c>
    </row>
    <row r="834" spans="2:9" x14ac:dyDescent="0.3">
      <c r="B834" s="27">
        <f t="shared" si="35"/>
        <v>46221</v>
      </c>
      <c r="C834" s="18">
        <v>0.25</v>
      </c>
      <c r="D834" s="19">
        <f>+SUMIFS(Regiones[Ofrecidas],Regiones[Fecha],Tabla54[[#This Row],[Fecha]],Regiones[Intervalo],Tabla54[[#This Row],[Intervalo]],Regiones[Skill],'BUPA Seguros'!$L$3)</f>
        <v>0</v>
      </c>
      <c r="E834" s="19">
        <f>+SUMIFS(Regiones[Contestadas],Regiones[Fecha],Tabla54[[#This Row],[Fecha]],Regiones[Intervalo],Tabla54[[#This Row],[Intervalo]],Regiones[Skill],'BUPA Seguros'!$L$3)</f>
        <v>0</v>
      </c>
      <c r="F834" s="20">
        <v>0</v>
      </c>
      <c r="G834" s="19">
        <f>IFERROR(SUMIFS(Regiones[TMO],Regiones[Fecha],Tabla54[[#This Row],[Fecha]],Regiones[Intervalo],Tabla54[[#This Row],[Intervalo]],Regiones[Skill],'BUPA Seguros'!$L$3)/Tabla54[[#This Row],[Atendidas]],0)</f>
        <v>0</v>
      </c>
      <c r="H8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4" s="21">
        <f>IFERROR(Tabla54[[#This Row],[Atendidas]]/Tabla54[[#This Row],[Recibidas]],0)</f>
        <v>0</v>
      </c>
    </row>
    <row r="835" spans="2:9" x14ac:dyDescent="0.3">
      <c r="B835" s="25">
        <f t="shared" si="35"/>
        <v>46221</v>
      </c>
      <c r="C835" s="26">
        <v>0.27083333333333298</v>
      </c>
      <c r="D835" s="19">
        <f>+SUMIFS(Regiones[Ofrecidas],Regiones[Fecha],Tabla54[[#This Row],[Fecha]],Regiones[Intervalo],Tabla54[[#This Row],[Intervalo]],Regiones[Skill],'BUPA Seguros'!$L$3)</f>
        <v>0</v>
      </c>
      <c r="E835" s="19">
        <f>+SUMIFS(Regiones[Contestadas],Regiones[Fecha],Tabla54[[#This Row],[Fecha]],Regiones[Intervalo],Tabla54[[#This Row],[Intervalo]],Regiones[Skill],'BUPA Seguros'!$L$3)</f>
        <v>0</v>
      </c>
      <c r="F835" s="20">
        <v>0</v>
      </c>
      <c r="G835" s="19">
        <f>IFERROR(SUMIFS(Regiones[TMO],Regiones[Fecha],Tabla54[[#This Row],[Fecha]],Regiones[Intervalo],Tabla54[[#This Row],[Intervalo]],Regiones[Skill],'BUPA Seguros'!$L$3)/Tabla54[[#This Row],[Atendidas]],0)</f>
        <v>0</v>
      </c>
      <c r="H8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5" s="21">
        <f>IFERROR(Tabla54[[#This Row],[Atendidas]]/Tabla54[[#This Row],[Recibidas]],0)</f>
        <v>0</v>
      </c>
    </row>
    <row r="836" spans="2:9" x14ac:dyDescent="0.3">
      <c r="B836" s="27">
        <f t="shared" si="35"/>
        <v>46221</v>
      </c>
      <c r="C836" s="18">
        <v>0.29166666666666702</v>
      </c>
      <c r="D836" s="19">
        <f>+SUMIFS(Regiones[Ofrecidas],Regiones[Fecha],Tabla54[[#This Row],[Fecha]],Regiones[Intervalo],Tabla54[[#This Row],[Intervalo]],Regiones[Skill],'BUPA Seguros'!$L$3)</f>
        <v>0</v>
      </c>
      <c r="E836" s="19">
        <f>+SUMIFS(Regiones[Contestadas],Regiones[Fecha],Tabla54[[#This Row],[Fecha]],Regiones[Intervalo],Tabla54[[#This Row],[Intervalo]],Regiones[Skill],'BUPA Seguros'!$L$3)</f>
        <v>0</v>
      </c>
      <c r="F836" s="20">
        <v>0</v>
      </c>
      <c r="G836" s="19">
        <f>IFERROR(SUMIFS(Regiones[TMO],Regiones[Fecha],Tabla54[[#This Row],[Fecha]],Regiones[Intervalo],Tabla54[[#This Row],[Intervalo]],Regiones[Skill],'BUPA Seguros'!$L$3)/Tabla54[[#This Row],[Atendidas]],0)</f>
        <v>0</v>
      </c>
      <c r="H8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6" s="21">
        <f>IFERROR(Tabla54[[#This Row],[Atendidas]]/Tabla54[[#This Row],[Recibidas]],0)</f>
        <v>0</v>
      </c>
    </row>
    <row r="837" spans="2:9" x14ac:dyDescent="0.3">
      <c r="B837" s="25">
        <f t="shared" si="35"/>
        <v>46221</v>
      </c>
      <c r="C837" s="26">
        <v>0.3125</v>
      </c>
      <c r="D837" s="19">
        <f>+SUMIFS(Regiones[Ofrecidas],Regiones[Fecha],Tabla54[[#This Row],[Fecha]],Regiones[Intervalo],Tabla54[[#This Row],[Intervalo]],Regiones[Skill],'BUPA Seguros'!$L$3)</f>
        <v>0</v>
      </c>
      <c r="E837" s="19">
        <f>+SUMIFS(Regiones[Contestadas],Regiones[Fecha],Tabla54[[#This Row],[Fecha]],Regiones[Intervalo],Tabla54[[#This Row],[Intervalo]],Regiones[Skill],'BUPA Seguros'!$L$3)</f>
        <v>0</v>
      </c>
      <c r="F837" s="20">
        <v>0</v>
      </c>
      <c r="G837" s="19">
        <f>IFERROR(SUMIFS(Regiones[TMO],Regiones[Fecha],Tabla54[[#This Row],[Fecha]],Regiones[Intervalo],Tabla54[[#This Row],[Intervalo]],Regiones[Skill],'BUPA Seguros'!$L$3)/Tabla54[[#This Row],[Atendidas]],0)</f>
        <v>0</v>
      </c>
      <c r="H8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7" s="21">
        <f>IFERROR(Tabla54[[#This Row],[Atendidas]]/Tabla54[[#This Row],[Recibidas]],0)</f>
        <v>0</v>
      </c>
    </row>
    <row r="838" spans="2:9" x14ac:dyDescent="0.3">
      <c r="B838" s="27">
        <f t="shared" si="35"/>
        <v>46221</v>
      </c>
      <c r="C838" s="18">
        <v>0.33333333333333298</v>
      </c>
      <c r="D838" s="19">
        <f>+SUMIFS(Regiones[Ofrecidas],Regiones[Fecha],Tabla54[[#This Row],[Fecha]],Regiones[Intervalo],Tabla54[[#This Row],[Intervalo]],Regiones[Skill],'BUPA Seguros'!$L$3)</f>
        <v>0</v>
      </c>
      <c r="E838" s="19">
        <f>+SUMIFS(Regiones[Contestadas],Regiones[Fecha],Tabla54[[#This Row],[Fecha]],Regiones[Intervalo],Tabla54[[#This Row],[Intervalo]],Regiones[Skill],'BUPA Seguros'!$L$3)</f>
        <v>0</v>
      </c>
      <c r="F838" s="20">
        <v>0</v>
      </c>
      <c r="G838" s="19">
        <f>IFERROR(SUMIFS(Regiones[TMO],Regiones[Fecha],Tabla54[[#This Row],[Fecha]],Regiones[Intervalo],Tabla54[[#This Row],[Intervalo]],Regiones[Skill],'BUPA Seguros'!$L$3)/Tabla54[[#This Row],[Atendidas]],0)</f>
        <v>0</v>
      </c>
      <c r="H8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8" s="21">
        <f>IFERROR(Tabla54[[#This Row],[Atendidas]]/Tabla54[[#This Row],[Recibidas]],0)</f>
        <v>0</v>
      </c>
    </row>
    <row r="839" spans="2:9" x14ac:dyDescent="0.3">
      <c r="B839" s="25">
        <f t="shared" si="35"/>
        <v>46221</v>
      </c>
      <c r="C839" s="26">
        <v>0.35416666666666702</v>
      </c>
      <c r="D839" s="19">
        <f>+SUMIFS(Regiones[Ofrecidas],Regiones[Fecha],Tabla54[[#This Row],[Fecha]],Regiones[Intervalo],Tabla54[[#This Row],[Intervalo]],Regiones[Skill],'BUPA Seguros'!$L$3)</f>
        <v>0</v>
      </c>
      <c r="E839" s="19">
        <f>+SUMIFS(Regiones[Contestadas],Regiones[Fecha],Tabla54[[#This Row],[Fecha]],Regiones[Intervalo],Tabla54[[#This Row],[Intervalo]],Regiones[Skill],'BUPA Seguros'!$L$3)</f>
        <v>0</v>
      </c>
      <c r="F839" s="20">
        <v>0</v>
      </c>
      <c r="G839" s="19">
        <f>IFERROR(SUMIFS(Regiones[TMO],Regiones[Fecha],Tabla54[[#This Row],[Fecha]],Regiones[Intervalo],Tabla54[[#This Row],[Intervalo]],Regiones[Skill],'BUPA Seguros'!$L$3)/Tabla54[[#This Row],[Atendidas]],0)</f>
        <v>0</v>
      </c>
      <c r="H8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39" s="21">
        <f>IFERROR(Tabla54[[#This Row],[Atendidas]]/Tabla54[[#This Row],[Recibidas]],0)</f>
        <v>0</v>
      </c>
    </row>
    <row r="840" spans="2:9" x14ac:dyDescent="0.3">
      <c r="B840" s="27">
        <f t="shared" si="35"/>
        <v>46221</v>
      </c>
      <c r="C840" s="18">
        <v>0.375</v>
      </c>
      <c r="D840" s="19">
        <f>+SUMIFS(Regiones[Ofrecidas],Regiones[Fecha],Tabla54[[#This Row],[Fecha]],Regiones[Intervalo],Tabla54[[#This Row],[Intervalo]],Regiones[Skill],'BUPA Seguros'!$L$3)</f>
        <v>0</v>
      </c>
      <c r="E840" s="19">
        <f>+SUMIFS(Regiones[Contestadas],Regiones[Fecha],Tabla54[[#This Row],[Fecha]],Regiones[Intervalo],Tabla54[[#This Row],[Intervalo]],Regiones[Skill],'BUPA Seguros'!$L$3)</f>
        <v>0</v>
      </c>
      <c r="F840" s="20">
        <v>0</v>
      </c>
      <c r="G840" s="19">
        <f>IFERROR(SUMIFS(Regiones[TMO],Regiones[Fecha],Tabla54[[#This Row],[Fecha]],Regiones[Intervalo],Tabla54[[#This Row],[Intervalo]],Regiones[Skill],'BUPA Seguros'!$L$3)/Tabla54[[#This Row],[Atendidas]],0)</f>
        <v>0</v>
      </c>
      <c r="H8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0" s="21">
        <f>IFERROR(Tabla54[[#This Row],[Atendidas]]/Tabla54[[#This Row],[Recibidas]],0)</f>
        <v>0</v>
      </c>
    </row>
    <row r="841" spans="2:9" x14ac:dyDescent="0.3">
      <c r="B841" s="25">
        <f t="shared" si="35"/>
        <v>46221</v>
      </c>
      <c r="C841" s="26">
        <v>0.39583333333333298</v>
      </c>
      <c r="D841" s="19">
        <f>+SUMIFS(Regiones[Ofrecidas],Regiones[Fecha],Tabla54[[#This Row],[Fecha]],Regiones[Intervalo],Tabla54[[#This Row],[Intervalo]],Regiones[Skill],'BUPA Seguros'!$L$3)</f>
        <v>0</v>
      </c>
      <c r="E841" s="19">
        <f>+SUMIFS(Regiones[Contestadas],Regiones[Fecha],Tabla54[[#This Row],[Fecha]],Regiones[Intervalo],Tabla54[[#This Row],[Intervalo]],Regiones[Skill],'BUPA Seguros'!$L$3)</f>
        <v>0</v>
      </c>
      <c r="F841" s="20">
        <v>0</v>
      </c>
      <c r="G841" s="19">
        <f>IFERROR(SUMIFS(Regiones[TMO],Regiones[Fecha],Tabla54[[#This Row],[Fecha]],Regiones[Intervalo],Tabla54[[#This Row],[Intervalo]],Regiones[Skill],'BUPA Seguros'!$L$3)/Tabla54[[#This Row],[Atendidas]],0)</f>
        <v>0</v>
      </c>
      <c r="H8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1" s="21">
        <f>IFERROR(Tabla54[[#This Row],[Atendidas]]/Tabla54[[#This Row],[Recibidas]],0)</f>
        <v>0</v>
      </c>
    </row>
    <row r="842" spans="2:9" x14ac:dyDescent="0.3">
      <c r="B842" s="27">
        <f t="shared" si="35"/>
        <v>46221</v>
      </c>
      <c r="C842" s="18">
        <v>0.41666666666666702</v>
      </c>
      <c r="D842" s="19">
        <f>+SUMIFS(Regiones[Ofrecidas],Regiones[Fecha],Tabla54[[#This Row],[Fecha]],Regiones[Intervalo],Tabla54[[#This Row],[Intervalo]],Regiones[Skill],'BUPA Seguros'!$L$3)</f>
        <v>0</v>
      </c>
      <c r="E842" s="19">
        <f>+SUMIFS(Regiones[Contestadas],Regiones[Fecha],Tabla54[[#This Row],[Fecha]],Regiones[Intervalo],Tabla54[[#This Row],[Intervalo]],Regiones[Skill],'BUPA Seguros'!$L$3)</f>
        <v>0</v>
      </c>
      <c r="F842" s="20">
        <v>0</v>
      </c>
      <c r="G842" s="19">
        <f>IFERROR(SUMIFS(Regiones[TMO],Regiones[Fecha],Tabla54[[#This Row],[Fecha]],Regiones[Intervalo],Tabla54[[#This Row],[Intervalo]],Regiones[Skill],'BUPA Seguros'!$L$3)/Tabla54[[#This Row],[Atendidas]],0)</f>
        <v>0</v>
      </c>
      <c r="H8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2" s="21">
        <f>IFERROR(Tabla54[[#This Row],[Atendidas]]/Tabla54[[#This Row],[Recibidas]],0)</f>
        <v>0</v>
      </c>
    </row>
    <row r="843" spans="2:9" x14ac:dyDescent="0.3">
      <c r="B843" s="25">
        <f t="shared" si="35"/>
        <v>46221</v>
      </c>
      <c r="C843" s="26">
        <v>0.4375</v>
      </c>
      <c r="D843" s="19">
        <f>+SUMIFS(Regiones[Ofrecidas],Regiones[Fecha],Tabla54[[#This Row],[Fecha]],Regiones[Intervalo],Tabla54[[#This Row],[Intervalo]],Regiones[Skill],'BUPA Seguros'!$L$3)</f>
        <v>0</v>
      </c>
      <c r="E843" s="19">
        <f>+SUMIFS(Regiones[Contestadas],Regiones[Fecha],Tabla54[[#This Row],[Fecha]],Regiones[Intervalo],Tabla54[[#This Row],[Intervalo]],Regiones[Skill],'BUPA Seguros'!$L$3)</f>
        <v>0</v>
      </c>
      <c r="F843" s="20">
        <v>0</v>
      </c>
      <c r="G843" s="19">
        <f>IFERROR(SUMIFS(Regiones[TMO],Regiones[Fecha],Tabla54[[#This Row],[Fecha]],Regiones[Intervalo],Tabla54[[#This Row],[Intervalo]],Regiones[Skill],'BUPA Seguros'!$L$3)/Tabla54[[#This Row],[Atendidas]],0)</f>
        <v>0</v>
      </c>
      <c r="H8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3" s="21">
        <f>IFERROR(Tabla54[[#This Row],[Atendidas]]/Tabla54[[#This Row],[Recibidas]],0)</f>
        <v>0</v>
      </c>
    </row>
    <row r="844" spans="2:9" x14ac:dyDescent="0.3">
      <c r="B844" s="27">
        <f t="shared" si="35"/>
        <v>46221</v>
      </c>
      <c r="C844" s="18">
        <v>0.45833333333333298</v>
      </c>
      <c r="D844" s="19">
        <f>+SUMIFS(Regiones[Ofrecidas],Regiones[Fecha],Tabla54[[#This Row],[Fecha]],Regiones[Intervalo],Tabla54[[#This Row],[Intervalo]],Regiones[Skill],'BUPA Seguros'!$L$3)</f>
        <v>0</v>
      </c>
      <c r="E844" s="19">
        <f>+SUMIFS(Regiones[Contestadas],Regiones[Fecha],Tabla54[[#This Row],[Fecha]],Regiones[Intervalo],Tabla54[[#This Row],[Intervalo]],Regiones[Skill],'BUPA Seguros'!$L$3)</f>
        <v>0</v>
      </c>
      <c r="F844" s="20">
        <v>0</v>
      </c>
      <c r="G844" s="19">
        <f>IFERROR(SUMIFS(Regiones[TMO],Regiones[Fecha],Tabla54[[#This Row],[Fecha]],Regiones[Intervalo],Tabla54[[#This Row],[Intervalo]],Regiones[Skill],'BUPA Seguros'!$L$3)/Tabla54[[#This Row],[Atendidas]],0)</f>
        <v>0</v>
      </c>
      <c r="H8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4" s="21">
        <f>IFERROR(Tabla54[[#This Row],[Atendidas]]/Tabla54[[#This Row],[Recibidas]],0)</f>
        <v>0</v>
      </c>
    </row>
    <row r="845" spans="2:9" x14ac:dyDescent="0.3">
      <c r="B845" s="25">
        <f t="shared" si="35"/>
        <v>46221</v>
      </c>
      <c r="C845" s="26">
        <v>0.47916666666666702</v>
      </c>
      <c r="D845" s="19">
        <f>+SUMIFS(Regiones[Ofrecidas],Regiones[Fecha],Tabla54[[#This Row],[Fecha]],Regiones[Intervalo],Tabla54[[#This Row],[Intervalo]],Regiones[Skill],'BUPA Seguros'!$L$3)</f>
        <v>0</v>
      </c>
      <c r="E845" s="19">
        <f>+SUMIFS(Regiones[Contestadas],Regiones[Fecha],Tabla54[[#This Row],[Fecha]],Regiones[Intervalo],Tabla54[[#This Row],[Intervalo]],Regiones[Skill],'BUPA Seguros'!$L$3)</f>
        <v>0</v>
      </c>
      <c r="F845" s="20">
        <v>0</v>
      </c>
      <c r="G845" s="19">
        <f>IFERROR(SUMIFS(Regiones[TMO],Regiones[Fecha],Tabla54[[#This Row],[Fecha]],Regiones[Intervalo],Tabla54[[#This Row],[Intervalo]],Regiones[Skill],'BUPA Seguros'!$L$3)/Tabla54[[#This Row],[Atendidas]],0)</f>
        <v>0</v>
      </c>
      <c r="H8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5" s="21">
        <f>IFERROR(Tabla54[[#This Row],[Atendidas]]/Tabla54[[#This Row],[Recibidas]],0)</f>
        <v>0</v>
      </c>
    </row>
    <row r="846" spans="2:9" x14ac:dyDescent="0.3">
      <c r="B846" s="27">
        <f t="shared" si="35"/>
        <v>46221</v>
      </c>
      <c r="C846" s="18">
        <v>0.5</v>
      </c>
      <c r="D846" s="19">
        <f>+SUMIFS(Regiones[Ofrecidas],Regiones[Fecha],Tabla54[[#This Row],[Fecha]],Regiones[Intervalo],Tabla54[[#This Row],[Intervalo]],Regiones[Skill],'BUPA Seguros'!$L$3)</f>
        <v>0</v>
      </c>
      <c r="E846" s="19">
        <f>+SUMIFS(Regiones[Contestadas],Regiones[Fecha],Tabla54[[#This Row],[Fecha]],Regiones[Intervalo],Tabla54[[#This Row],[Intervalo]],Regiones[Skill],'BUPA Seguros'!$L$3)</f>
        <v>0</v>
      </c>
      <c r="F846" s="20">
        <v>0</v>
      </c>
      <c r="G846" s="19">
        <f>IFERROR(SUMIFS(Regiones[TMO],Regiones[Fecha],Tabla54[[#This Row],[Fecha]],Regiones[Intervalo],Tabla54[[#This Row],[Intervalo]],Regiones[Skill],'BUPA Seguros'!$L$3)/Tabla54[[#This Row],[Atendidas]],0)</f>
        <v>0</v>
      </c>
      <c r="H8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6" s="21">
        <f>IFERROR(Tabla54[[#This Row],[Atendidas]]/Tabla54[[#This Row],[Recibidas]],0)</f>
        <v>0</v>
      </c>
    </row>
    <row r="847" spans="2:9" x14ac:dyDescent="0.3">
      <c r="B847" s="25">
        <f t="shared" si="35"/>
        <v>46221</v>
      </c>
      <c r="C847" s="26">
        <v>0.52083333333333304</v>
      </c>
      <c r="D847" s="19">
        <f>+SUMIFS(Regiones[Ofrecidas],Regiones[Fecha],Tabla54[[#This Row],[Fecha]],Regiones[Intervalo],Tabla54[[#This Row],[Intervalo]],Regiones[Skill],'BUPA Seguros'!$L$3)</f>
        <v>0</v>
      </c>
      <c r="E847" s="19">
        <f>+SUMIFS(Regiones[Contestadas],Regiones[Fecha],Tabla54[[#This Row],[Fecha]],Regiones[Intervalo],Tabla54[[#This Row],[Intervalo]],Regiones[Skill],'BUPA Seguros'!$L$3)</f>
        <v>0</v>
      </c>
      <c r="F847" s="20">
        <v>0</v>
      </c>
      <c r="G847" s="19">
        <f>IFERROR(SUMIFS(Regiones[TMO],Regiones[Fecha],Tabla54[[#This Row],[Fecha]],Regiones[Intervalo],Tabla54[[#This Row],[Intervalo]],Regiones[Skill],'BUPA Seguros'!$L$3)/Tabla54[[#This Row],[Atendidas]],0)</f>
        <v>0</v>
      </c>
      <c r="H8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7" s="21">
        <f>IFERROR(Tabla54[[#This Row],[Atendidas]]/Tabla54[[#This Row],[Recibidas]],0)</f>
        <v>0</v>
      </c>
    </row>
    <row r="848" spans="2:9" x14ac:dyDescent="0.3">
      <c r="B848" s="27">
        <f t="shared" si="35"/>
        <v>46221</v>
      </c>
      <c r="C848" s="18">
        <v>0.54166666666666696</v>
      </c>
      <c r="D848" s="19">
        <f>+SUMIFS(Regiones[Ofrecidas],Regiones[Fecha],Tabla54[[#This Row],[Fecha]],Regiones[Intervalo],Tabla54[[#This Row],[Intervalo]],Regiones[Skill],'BUPA Seguros'!$L$3)</f>
        <v>0</v>
      </c>
      <c r="E848" s="19">
        <f>+SUMIFS(Regiones[Contestadas],Regiones[Fecha],Tabla54[[#This Row],[Fecha]],Regiones[Intervalo],Tabla54[[#This Row],[Intervalo]],Regiones[Skill],'BUPA Seguros'!$L$3)</f>
        <v>0</v>
      </c>
      <c r="F848" s="20">
        <v>0</v>
      </c>
      <c r="G848" s="19">
        <f>IFERROR(SUMIFS(Regiones[TMO],Regiones[Fecha],Tabla54[[#This Row],[Fecha]],Regiones[Intervalo],Tabla54[[#This Row],[Intervalo]],Regiones[Skill],'BUPA Seguros'!$L$3)/Tabla54[[#This Row],[Atendidas]],0)</f>
        <v>0</v>
      </c>
      <c r="H8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8" s="21">
        <f>IFERROR(Tabla54[[#This Row],[Atendidas]]/Tabla54[[#This Row],[Recibidas]],0)</f>
        <v>0</v>
      </c>
    </row>
    <row r="849" spans="2:9" x14ac:dyDescent="0.3">
      <c r="B849" s="25">
        <f t="shared" si="35"/>
        <v>46221</v>
      </c>
      <c r="C849" s="26">
        <v>0.5625</v>
      </c>
      <c r="D849" s="19">
        <f>+SUMIFS(Regiones[Ofrecidas],Regiones[Fecha],Tabla54[[#This Row],[Fecha]],Regiones[Intervalo],Tabla54[[#This Row],[Intervalo]],Regiones[Skill],'BUPA Seguros'!$L$3)</f>
        <v>0</v>
      </c>
      <c r="E849" s="19">
        <f>+SUMIFS(Regiones[Contestadas],Regiones[Fecha],Tabla54[[#This Row],[Fecha]],Regiones[Intervalo],Tabla54[[#This Row],[Intervalo]],Regiones[Skill],'BUPA Seguros'!$L$3)</f>
        <v>0</v>
      </c>
      <c r="F849" s="20">
        <v>0</v>
      </c>
      <c r="G849" s="19">
        <f>IFERROR(SUMIFS(Regiones[TMO],Regiones[Fecha],Tabla54[[#This Row],[Fecha]],Regiones[Intervalo],Tabla54[[#This Row],[Intervalo]],Regiones[Skill],'BUPA Seguros'!$L$3)/Tabla54[[#This Row],[Atendidas]],0)</f>
        <v>0</v>
      </c>
      <c r="H8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49" s="21">
        <f>IFERROR(Tabla54[[#This Row],[Atendidas]]/Tabla54[[#This Row],[Recibidas]],0)</f>
        <v>0</v>
      </c>
    </row>
    <row r="850" spans="2:9" x14ac:dyDescent="0.3">
      <c r="B850" s="27">
        <f t="shared" si="35"/>
        <v>46221</v>
      </c>
      <c r="C850" s="18">
        <v>0.58333333333333304</v>
      </c>
      <c r="D850" s="19">
        <f>+SUMIFS(Regiones[Ofrecidas],Regiones[Fecha],Tabla54[[#This Row],[Fecha]],Regiones[Intervalo],Tabla54[[#This Row],[Intervalo]],Regiones[Skill],'BUPA Seguros'!$L$3)</f>
        <v>0</v>
      </c>
      <c r="E850" s="19">
        <f>+SUMIFS(Regiones[Contestadas],Regiones[Fecha],Tabla54[[#This Row],[Fecha]],Regiones[Intervalo],Tabla54[[#This Row],[Intervalo]],Regiones[Skill],'BUPA Seguros'!$L$3)</f>
        <v>0</v>
      </c>
      <c r="F850" s="20">
        <v>0</v>
      </c>
      <c r="G850" s="19">
        <f>IFERROR(SUMIFS(Regiones[TMO],Regiones[Fecha],Tabla54[[#This Row],[Fecha]],Regiones[Intervalo],Tabla54[[#This Row],[Intervalo]],Regiones[Skill],'BUPA Seguros'!$L$3)/Tabla54[[#This Row],[Atendidas]],0)</f>
        <v>0</v>
      </c>
      <c r="H8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0" s="21">
        <f>IFERROR(Tabla54[[#This Row],[Atendidas]]/Tabla54[[#This Row],[Recibidas]],0)</f>
        <v>0</v>
      </c>
    </row>
    <row r="851" spans="2:9" x14ac:dyDescent="0.3">
      <c r="B851" s="25">
        <f t="shared" si="35"/>
        <v>46221</v>
      </c>
      <c r="C851" s="26">
        <v>0.60416666666666696</v>
      </c>
      <c r="D851" s="19">
        <f>+SUMIFS(Regiones[Ofrecidas],Regiones[Fecha],Tabla54[[#This Row],[Fecha]],Regiones[Intervalo],Tabla54[[#This Row],[Intervalo]],Regiones[Skill],'BUPA Seguros'!$L$3)</f>
        <v>0</v>
      </c>
      <c r="E851" s="19">
        <f>+SUMIFS(Regiones[Contestadas],Regiones[Fecha],Tabla54[[#This Row],[Fecha]],Regiones[Intervalo],Tabla54[[#This Row],[Intervalo]],Regiones[Skill],'BUPA Seguros'!$L$3)</f>
        <v>0</v>
      </c>
      <c r="F851" s="20">
        <v>0</v>
      </c>
      <c r="G851" s="19">
        <f>IFERROR(SUMIFS(Regiones[TMO],Regiones[Fecha],Tabla54[[#This Row],[Fecha]],Regiones[Intervalo],Tabla54[[#This Row],[Intervalo]],Regiones[Skill],'BUPA Seguros'!$L$3)/Tabla54[[#This Row],[Atendidas]],0)</f>
        <v>0</v>
      </c>
      <c r="H8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1" s="21">
        <f>IFERROR(Tabla54[[#This Row],[Atendidas]]/Tabla54[[#This Row],[Recibidas]],0)</f>
        <v>0</v>
      </c>
    </row>
    <row r="852" spans="2:9" x14ac:dyDescent="0.3">
      <c r="B852" s="27">
        <f t="shared" si="35"/>
        <v>46221</v>
      </c>
      <c r="C852" s="18">
        <v>0.625</v>
      </c>
      <c r="D852" s="19">
        <f>+SUMIFS(Regiones[Ofrecidas],Regiones[Fecha],Tabla54[[#This Row],[Fecha]],Regiones[Intervalo],Tabla54[[#This Row],[Intervalo]],Regiones[Skill],'BUPA Seguros'!$L$3)</f>
        <v>0</v>
      </c>
      <c r="E852" s="19">
        <f>+SUMIFS(Regiones[Contestadas],Regiones[Fecha],Tabla54[[#This Row],[Fecha]],Regiones[Intervalo],Tabla54[[#This Row],[Intervalo]],Regiones[Skill],'BUPA Seguros'!$L$3)</f>
        <v>0</v>
      </c>
      <c r="F852" s="20">
        <v>0</v>
      </c>
      <c r="G852" s="19">
        <f>IFERROR(SUMIFS(Regiones[TMO],Regiones[Fecha],Tabla54[[#This Row],[Fecha]],Regiones[Intervalo],Tabla54[[#This Row],[Intervalo]],Regiones[Skill],'BUPA Seguros'!$L$3)/Tabla54[[#This Row],[Atendidas]],0)</f>
        <v>0</v>
      </c>
      <c r="H8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2" s="21">
        <f>IFERROR(Tabla54[[#This Row],[Atendidas]]/Tabla54[[#This Row],[Recibidas]],0)</f>
        <v>0</v>
      </c>
    </row>
    <row r="853" spans="2:9" x14ac:dyDescent="0.3">
      <c r="B853" s="25">
        <f t="shared" si="35"/>
        <v>46221</v>
      </c>
      <c r="C853" s="26">
        <v>0.64583333333333304</v>
      </c>
      <c r="D853" s="19">
        <f>+SUMIFS(Regiones[Ofrecidas],Regiones[Fecha],Tabla54[[#This Row],[Fecha]],Regiones[Intervalo],Tabla54[[#This Row],[Intervalo]],Regiones[Skill],'BUPA Seguros'!$L$3)</f>
        <v>0</v>
      </c>
      <c r="E853" s="19">
        <f>+SUMIFS(Regiones[Contestadas],Regiones[Fecha],Tabla54[[#This Row],[Fecha]],Regiones[Intervalo],Tabla54[[#This Row],[Intervalo]],Regiones[Skill],'BUPA Seguros'!$L$3)</f>
        <v>0</v>
      </c>
      <c r="F853" s="20">
        <v>0</v>
      </c>
      <c r="G853" s="19">
        <f>IFERROR(SUMIFS(Regiones[TMO],Regiones[Fecha],Tabla54[[#This Row],[Fecha]],Regiones[Intervalo],Tabla54[[#This Row],[Intervalo]],Regiones[Skill],'BUPA Seguros'!$L$3)/Tabla54[[#This Row],[Atendidas]],0)</f>
        <v>0</v>
      </c>
      <c r="H8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3" s="21">
        <f>IFERROR(Tabla54[[#This Row],[Atendidas]]/Tabla54[[#This Row],[Recibidas]],0)</f>
        <v>0</v>
      </c>
    </row>
    <row r="854" spans="2:9" x14ac:dyDescent="0.3">
      <c r="B854" s="27">
        <f t="shared" si="35"/>
        <v>46221</v>
      </c>
      <c r="C854" s="18">
        <v>0.66666666666666696</v>
      </c>
      <c r="D854" s="19">
        <f>+SUMIFS(Regiones[Ofrecidas],Regiones[Fecha],Tabla54[[#This Row],[Fecha]],Regiones[Intervalo],Tabla54[[#This Row],[Intervalo]],Regiones[Skill],'BUPA Seguros'!$L$3)</f>
        <v>0</v>
      </c>
      <c r="E854" s="19">
        <f>+SUMIFS(Regiones[Contestadas],Regiones[Fecha],Tabla54[[#This Row],[Fecha]],Regiones[Intervalo],Tabla54[[#This Row],[Intervalo]],Regiones[Skill],'BUPA Seguros'!$L$3)</f>
        <v>0</v>
      </c>
      <c r="F854" s="20">
        <v>0</v>
      </c>
      <c r="G854" s="19">
        <f>IFERROR(SUMIFS(Regiones[TMO],Regiones[Fecha],Tabla54[[#This Row],[Fecha]],Regiones[Intervalo],Tabla54[[#This Row],[Intervalo]],Regiones[Skill],'BUPA Seguros'!$L$3)/Tabla54[[#This Row],[Atendidas]],0)</f>
        <v>0</v>
      </c>
      <c r="H8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4" s="21">
        <f>IFERROR(Tabla54[[#This Row],[Atendidas]]/Tabla54[[#This Row],[Recibidas]],0)</f>
        <v>0</v>
      </c>
    </row>
    <row r="855" spans="2:9" x14ac:dyDescent="0.3">
      <c r="B855" s="25">
        <f t="shared" si="35"/>
        <v>46221</v>
      </c>
      <c r="C855" s="26">
        <v>0.6875</v>
      </c>
      <c r="D855" s="19">
        <f>+SUMIFS(Regiones[Ofrecidas],Regiones[Fecha],Tabla54[[#This Row],[Fecha]],Regiones[Intervalo],Tabla54[[#This Row],[Intervalo]],Regiones[Skill],'BUPA Seguros'!$L$3)</f>
        <v>0</v>
      </c>
      <c r="E855" s="19">
        <f>+SUMIFS(Regiones[Contestadas],Regiones[Fecha],Tabla54[[#This Row],[Fecha]],Regiones[Intervalo],Tabla54[[#This Row],[Intervalo]],Regiones[Skill],'BUPA Seguros'!$L$3)</f>
        <v>0</v>
      </c>
      <c r="F855" s="20">
        <v>0</v>
      </c>
      <c r="G855" s="19">
        <f>IFERROR(SUMIFS(Regiones[TMO],Regiones[Fecha],Tabla54[[#This Row],[Fecha]],Regiones[Intervalo],Tabla54[[#This Row],[Intervalo]],Regiones[Skill],'BUPA Seguros'!$L$3)/Tabla54[[#This Row],[Atendidas]],0)</f>
        <v>0</v>
      </c>
      <c r="H8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5" s="21">
        <f>IFERROR(Tabla54[[#This Row],[Atendidas]]/Tabla54[[#This Row],[Recibidas]],0)</f>
        <v>0</v>
      </c>
    </row>
    <row r="856" spans="2:9" x14ac:dyDescent="0.3">
      <c r="B856" s="27">
        <f t="shared" si="35"/>
        <v>46221</v>
      </c>
      <c r="C856" s="18">
        <v>0.70833333333333304</v>
      </c>
      <c r="D856" s="19">
        <f>+SUMIFS(Regiones[Ofrecidas],Regiones[Fecha],Tabla54[[#This Row],[Fecha]],Regiones[Intervalo],Tabla54[[#This Row],[Intervalo]],Regiones[Skill],'BUPA Seguros'!$L$3)</f>
        <v>0</v>
      </c>
      <c r="E856" s="19">
        <f>+SUMIFS(Regiones[Contestadas],Regiones[Fecha],Tabla54[[#This Row],[Fecha]],Regiones[Intervalo],Tabla54[[#This Row],[Intervalo]],Regiones[Skill],'BUPA Seguros'!$L$3)</f>
        <v>0</v>
      </c>
      <c r="F856" s="20">
        <v>0</v>
      </c>
      <c r="G856" s="19">
        <f>IFERROR(SUMIFS(Regiones[TMO],Regiones[Fecha],Tabla54[[#This Row],[Fecha]],Regiones[Intervalo],Tabla54[[#This Row],[Intervalo]],Regiones[Skill],'BUPA Seguros'!$L$3)/Tabla54[[#This Row],[Atendidas]],0)</f>
        <v>0</v>
      </c>
      <c r="H8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6" s="21">
        <f>IFERROR(Tabla54[[#This Row],[Atendidas]]/Tabla54[[#This Row],[Recibidas]],0)</f>
        <v>0</v>
      </c>
    </row>
    <row r="857" spans="2:9" x14ac:dyDescent="0.3">
      <c r="B857" s="25">
        <f t="shared" si="35"/>
        <v>46221</v>
      </c>
      <c r="C857" s="26">
        <v>0.72916666666666696</v>
      </c>
      <c r="D857" s="19">
        <f>+SUMIFS(Regiones[Ofrecidas],Regiones[Fecha],Tabla54[[#This Row],[Fecha]],Regiones[Intervalo],Tabla54[[#This Row],[Intervalo]],Regiones[Skill],'BUPA Seguros'!$L$3)</f>
        <v>0</v>
      </c>
      <c r="E857" s="19">
        <f>+SUMIFS(Regiones[Contestadas],Regiones[Fecha],Tabla54[[#This Row],[Fecha]],Regiones[Intervalo],Tabla54[[#This Row],[Intervalo]],Regiones[Skill],'BUPA Seguros'!$L$3)</f>
        <v>0</v>
      </c>
      <c r="F857" s="20">
        <v>0</v>
      </c>
      <c r="G857" s="19">
        <f>IFERROR(SUMIFS(Regiones[TMO],Regiones[Fecha],Tabla54[[#This Row],[Fecha]],Regiones[Intervalo],Tabla54[[#This Row],[Intervalo]],Regiones[Skill],'BUPA Seguros'!$L$3)/Tabla54[[#This Row],[Atendidas]],0)</f>
        <v>0</v>
      </c>
      <c r="H8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7" s="21">
        <f>IFERROR(Tabla54[[#This Row],[Atendidas]]/Tabla54[[#This Row],[Recibidas]],0)</f>
        <v>0</v>
      </c>
    </row>
    <row r="858" spans="2:9" x14ac:dyDescent="0.3">
      <c r="B858" s="27">
        <f t="shared" si="35"/>
        <v>46221</v>
      </c>
      <c r="C858" s="18">
        <v>0.75</v>
      </c>
      <c r="D858" s="19">
        <f>+SUMIFS(Regiones[Ofrecidas],Regiones[Fecha],Tabla54[[#This Row],[Fecha]],Regiones[Intervalo],Tabla54[[#This Row],[Intervalo]],Regiones[Skill],'BUPA Seguros'!$L$3)</f>
        <v>0</v>
      </c>
      <c r="E858" s="19">
        <f>+SUMIFS(Regiones[Contestadas],Regiones[Fecha],Tabla54[[#This Row],[Fecha]],Regiones[Intervalo],Tabla54[[#This Row],[Intervalo]],Regiones[Skill],'BUPA Seguros'!$L$3)</f>
        <v>0</v>
      </c>
      <c r="F858" s="20">
        <v>0</v>
      </c>
      <c r="G858" s="19">
        <f>IFERROR(SUMIFS(Regiones[TMO],Regiones[Fecha],Tabla54[[#This Row],[Fecha]],Regiones[Intervalo],Tabla54[[#This Row],[Intervalo]],Regiones[Skill],'BUPA Seguros'!$L$3)/Tabla54[[#This Row],[Atendidas]],0)</f>
        <v>0</v>
      </c>
      <c r="H8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8" s="21">
        <f>IFERROR(Tabla54[[#This Row],[Atendidas]]/Tabla54[[#This Row],[Recibidas]],0)</f>
        <v>0</v>
      </c>
    </row>
    <row r="859" spans="2:9" x14ac:dyDescent="0.3">
      <c r="B859" s="25">
        <f t="shared" si="35"/>
        <v>46221</v>
      </c>
      <c r="C859" s="26">
        <v>0.77083333333333304</v>
      </c>
      <c r="D859" s="19">
        <f>+SUMIFS(Regiones[Ofrecidas],Regiones[Fecha],Tabla54[[#This Row],[Fecha]],Regiones[Intervalo],Tabla54[[#This Row],[Intervalo]],Regiones[Skill],'BUPA Seguros'!$L$3)</f>
        <v>0</v>
      </c>
      <c r="E859" s="19">
        <f>+SUMIFS(Regiones[Contestadas],Regiones[Fecha],Tabla54[[#This Row],[Fecha]],Regiones[Intervalo],Tabla54[[#This Row],[Intervalo]],Regiones[Skill],'BUPA Seguros'!$L$3)</f>
        <v>0</v>
      </c>
      <c r="F859" s="20">
        <v>0</v>
      </c>
      <c r="G859" s="19">
        <f>IFERROR(SUMIFS(Regiones[TMO],Regiones[Fecha],Tabla54[[#This Row],[Fecha]],Regiones[Intervalo],Tabla54[[#This Row],[Intervalo]],Regiones[Skill],'BUPA Seguros'!$L$3)/Tabla54[[#This Row],[Atendidas]],0)</f>
        <v>0</v>
      </c>
      <c r="H8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59" s="21">
        <f>IFERROR(Tabla54[[#This Row],[Atendidas]]/Tabla54[[#This Row],[Recibidas]],0)</f>
        <v>0</v>
      </c>
    </row>
    <row r="860" spans="2:9" x14ac:dyDescent="0.3">
      <c r="B860" s="27">
        <f t="shared" si="35"/>
        <v>46221</v>
      </c>
      <c r="C860" s="18">
        <v>0.79166666666666696</v>
      </c>
      <c r="D860" s="19">
        <f>+SUMIFS(Regiones[Ofrecidas],Regiones[Fecha],Tabla54[[#This Row],[Fecha]],Regiones[Intervalo],Tabla54[[#This Row],[Intervalo]],Regiones[Skill],'BUPA Seguros'!$L$3)</f>
        <v>0</v>
      </c>
      <c r="E860" s="19">
        <f>+SUMIFS(Regiones[Contestadas],Regiones[Fecha],Tabla54[[#This Row],[Fecha]],Regiones[Intervalo],Tabla54[[#This Row],[Intervalo]],Regiones[Skill],'BUPA Seguros'!$L$3)</f>
        <v>0</v>
      </c>
      <c r="F860" s="20">
        <v>0</v>
      </c>
      <c r="G860" s="19">
        <f>IFERROR(SUMIFS(Regiones[TMO],Regiones[Fecha],Tabla54[[#This Row],[Fecha]],Regiones[Intervalo],Tabla54[[#This Row],[Intervalo]],Regiones[Skill],'BUPA Seguros'!$L$3)/Tabla54[[#This Row],[Atendidas]],0)</f>
        <v>0</v>
      </c>
      <c r="H8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0" s="21">
        <f>IFERROR(Tabla54[[#This Row],[Atendidas]]/Tabla54[[#This Row],[Recibidas]],0)</f>
        <v>0</v>
      </c>
    </row>
    <row r="861" spans="2:9" x14ac:dyDescent="0.3">
      <c r="B861" s="25">
        <f t="shared" si="35"/>
        <v>46221</v>
      </c>
      <c r="C861" s="26">
        <v>0.8125</v>
      </c>
      <c r="D861" s="19">
        <f>+SUMIFS(Regiones[Ofrecidas],Regiones[Fecha],Tabla54[[#This Row],[Fecha]],Regiones[Intervalo],Tabla54[[#This Row],[Intervalo]],Regiones[Skill],'BUPA Seguros'!$L$3)</f>
        <v>0</v>
      </c>
      <c r="E861" s="19">
        <f>+SUMIFS(Regiones[Contestadas],Regiones[Fecha],Tabla54[[#This Row],[Fecha]],Regiones[Intervalo],Tabla54[[#This Row],[Intervalo]],Regiones[Skill],'BUPA Seguros'!$L$3)</f>
        <v>0</v>
      </c>
      <c r="F861" s="20">
        <v>0</v>
      </c>
      <c r="G861" s="19">
        <f>IFERROR(SUMIFS(Regiones[TMO],Regiones[Fecha],Tabla54[[#This Row],[Fecha]],Regiones[Intervalo],Tabla54[[#This Row],[Intervalo]],Regiones[Skill],'BUPA Seguros'!$L$3)/Tabla54[[#This Row],[Atendidas]],0)</f>
        <v>0</v>
      </c>
      <c r="H8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1" s="21">
        <f>IFERROR(Tabla54[[#This Row],[Atendidas]]/Tabla54[[#This Row],[Recibidas]],0)</f>
        <v>0</v>
      </c>
    </row>
    <row r="862" spans="2:9" x14ac:dyDescent="0.3">
      <c r="B862" s="27">
        <f t="shared" si="35"/>
        <v>46221</v>
      </c>
      <c r="C862" s="18">
        <v>0.83333333333333304</v>
      </c>
      <c r="D862" s="19">
        <f>+SUMIFS(Regiones[Ofrecidas],Regiones[Fecha],Tabla54[[#This Row],[Fecha]],Regiones[Intervalo],Tabla54[[#This Row],[Intervalo]],Regiones[Skill],'BUPA Seguros'!$L$3)</f>
        <v>0</v>
      </c>
      <c r="E862" s="19">
        <f>+SUMIFS(Regiones[Contestadas],Regiones[Fecha],Tabla54[[#This Row],[Fecha]],Regiones[Intervalo],Tabla54[[#This Row],[Intervalo]],Regiones[Skill],'BUPA Seguros'!$L$3)</f>
        <v>0</v>
      </c>
      <c r="F862" s="20">
        <v>0</v>
      </c>
      <c r="G862" s="19">
        <f>IFERROR(SUMIFS(Regiones[TMO],Regiones[Fecha],Tabla54[[#This Row],[Fecha]],Regiones[Intervalo],Tabla54[[#This Row],[Intervalo]],Regiones[Skill],'BUPA Seguros'!$L$3)/Tabla54[[#This Row],[Atendidas]],0)</f>
        <v>0</v>
      </c>
      <c r="H8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2" s="21">
        <f>IFERROR(Tabla54[[#This Row],[Atendidas]]/Tabla54[[#This Row],[Recibidas]],0)</f>
        <v>0</v>
      </c>
    </row>
    <row r="863" spans="2:9" x14ac:dyDescent="0.3">
      <c r="B863" s="25">
        <f t="shared" si="35"/>
        <v>46221</v>
      </c>
      <c r="C863" s="26">
        <v>0.85416666666666696</v>
      </c>
      <c r="D863" s="19">
        <f>+SUMIFS(Regiones[Ofrecidas],Regiones[Fecha],Tabla54[[#This Row],[Fecha]],Regiones[Intervalo],Tabla54[[#This Row],[Intervalo]],Regiones[Skill],'BUPA Seguros'!$L$3)</f>
        <v>0</v>
      </c>
      <c r="E863" s="19">
        <f>+SUMIFS(Regiones[Contestadas],Regiones[Fecha],Tabla54[[#This Row],[Fecha]],Regiones[Intervalo],Tabla54[[#This Row],[Intervalo]],Regiones[Skill],'BUPA Seguros'!$L$3)</f>
        <v>0</v>
      </c>
      <c r="F863" s="20">
        <v>0</v>
      </c>
      <c r="G863" s="19">
        <f>IFERROR(SUMIFS(Regiones[TMO],Regiones[Fecha],Tabla54[[#This Row],[Fecha]],Regiones[Intervalo],Tabla54[[#This Row],[Intervalo]],Regiones[Skill],'BUPA Seguros'!$L$3)/Tabla54[[#This Row],[Atendidas]],0)</f>
        <v>0</v>
      </c>
      <c r="H8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3" s="21">
        <f>IFERROR(Tabla54[[#This Row],[Atendidas]]/Tabla54[[#This Row],[Recibidas]],0)</f>
        <v>0</v>
      </c>
    </row>
    <row r="864" spans="2:9" x14ac:dyDescent="0.3">
      <c r="B864" s="27">
        <f t="shared" si="35"/>
        <v>46221</v>
      </c>
      <c r="C864" s="18">
        <v>0.875</v>
      </c>
      <c r="D864" s="19">
        <f>+SUMIFS(Regiones[Ofrecidas],Regiones[Fecha],Tabla54[[#This Row],[Fecha]],Regiones[Intervalo],Tabla54[[#This Row],[Intervalo]],Regiones[Skill],'BUPA Seguros'!$L$3)</f>
        <v>0</v>
      </c>
      <c r="E864" s="19">
        <f>+SUMIFS(Regiones[Contestadas],Regiones[Fecha],Tabla54[[#This Row],[Fecha]],Regiones[Intervalo],Tabla54[[#This Row],[Intervalo]],Regiones[Skill],'BUPA Seguros'!$L$3)</f>
        <v>0</v>
      </c>
      <c r="F864" s="20">
        <v>0</v>
      </c>
      <c r="G864" s="19">
        <f>IFERROR(SUMIFS(Regiones[TMO],Regiones[Fecha],Tabla54[[#This Row],[Fecha]],Regiones[Intervalo],Tabla54[[#This Row],[Intervalo]],Regiones[Skill],'BUPA Seguros'!$L$3)/Tabla54[[#This Row],[Atendidas]],0)</f>
        <v>0</v>
      </c>
      <c r="H8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4" s="21">
        <f>IFERROR(Tabla54[[#This Row],[Atendidas]]/Tabla54[[#This Row],[Recibidas]],0)</f>
        <v>0</v>
      </c>
    </row>
    <row r="865" spans="2:9" x14ac:dyDescent="0.3">
      <c r="B865" s="25">
        <f t="shared" si="35"/>
        <v>46221</v>
      </c>
      <c r="C865" s="26">
        <v>0.89583333333333304</v>
      </c>
      <c r="D865" s="19">
        <f>+SUMIFS(Regiones[Ofrecidas],Regiones[Fecha],Tabla54[[#This Row],[Fecha]],Regiones[Intervalo],Tabla54[[#This Row],[Intervalo]],Regiones[Skill],'BUPA Seguros'!$L$3)</f>
        <v>0</v>
      </c>
      <c r="E865" s="19">
        <f>+SUMIFS(Regiones[Contestadas],Regiones[Fecha],Tabla54[[#This Row],[Fecha]],Regiones[Intervalo],Tabla54[[#This Row],[Intervalo]],Regiones[Skill],'BUPA Seguros'!$L$3)</f>
        <v>0</v>
      </c>
      <c r="F865" s="20">
        <v>0</v>
      </c>
      <c r="G865" s="19">
        <f>IFERROR(SUMIFS(Regiones[TMO],Regiones[Fecha],Tabla54[[#This Row],[Fecha]],Regiones[Intervalo],Tabla54[[#This Row],[Intervalo]],Regiones[Skill],'BUPA Seguros'!$L$3)/Tabla54[[#This Row],[Atendidas]],0)</f>
        <v>0</v>
      </c>
      <c r="H8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5" s="21">
        <f>IFERROR(Tabla54[[#This Row],[Atendidas]]/Tabla54[[#This Row],[Recibidas]],0)</f>
        <v>0</v>
      </c>
    </row>
    <row r="866" spans="2:9" x14ac:dyDescent="0.3">
      <c r="B866" s="27">
        <f t="shared" si="35"/>
        <v>46221</v>
      </c>
      <c r="C866" s="18">
        <v>0.91666666666666696</v>
      </c>
      <c r="D866" s="19">
        <f>+SUMIFS(Regiones[Ofrecidas],Regiones[Fecha],Tabla54[[#This Row],[Fecha]],Regiones[Intervalo],Tabla54[[#This Row],[Intervalo]],Regiones[Skill],'BUPA Seguros'!$L$3)</f>
        <v>0</v>
      </c>
      <c r="E866" s="19">
        <f>+SUMIFS(Regiones[Contestadas],Regiones[Fecha],Tabla54[[#This Row],[Fecha]],Regiones[Intervalo],Tabla54[[#This Row],[Intervalo]],Regiones[Skill],'BUPA Seguros'!$L$3)</f>
        <v>0</v>
      </c>
      <c r="F866" s="20">
        <v>0</v>
      </c>
      <c r="G866" s="19">
        <f>IFERROR(SUMIFS(Regiones[TMO],Regiones[Fecha],Tabla54[[#This Row],[Fecha]],Regiones[Intervalo],Tabla54[[#This Row],[Intervalo]],Regiones[Skill],'BUPA Seguros'!$L$3)/Tabla54[[#This Row],[Atendidas]],0)</f>
        <v>0</v>
      </c>
      <c r="H8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6" s="21">
        <f>IFERROR(Tabla54[[#This Row],[Atendidas]]/Tabla54[[#This Row],[Recibidas]],0)</f>
        <v>0</v>
      </c>
    </row>
    <row r="867" spans="2:9" x14ac:dyDescent="0.3">
      <c r="B867" s="25">
        <f t="shared" si="35"/>
        <v>46221</v>
      </c>
      <c r="C867" s="26">
        <v>0.9375</v>
      </c>
      <c r="D867" s="19">
        <f>+SUMIFS(Regiones[Ofrecidas],Regiones[Fecha],Tabla54[[#This Row],[Fecha]],Regiones[Intervalo],Tabla54[[#This Row],[Intervalo]],Regiones[Skill],'BUPA Seguros'!$L$3)</f>
        <v>0</v>
      </c>
      <c r="E867" s="19">
        <f>+SUMIFS(Regiones[Contestadas],Regiones[Fecha],Tabla54[[#This Row],[Fecha]],Regiones[Intervalo],Tabla54[[#This Row],[Intervalo]],Regiones[Skill],'BUPA Seguros'!$L$3)</f>
        <v>0</v>
      </c>
      <c r="F867" s="20">
        <v>0</v>
      </c>
      <c r="G867" s="19">
        <f>IFERROR(SUMIFS(Regiones[TMO],Regiones[Fecha],Tabla54[[#This Row],[Fecha]],Regiones[Intervalo],Tabla54[[#This Row],[Intervalo]],Regiones[Skill],'BUPA Seguros'!$L$3)/Tabla54[[#This Row],[Atendidas]],0)</f>
        <v>0</v>
      </c>
      <c r="H8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7" s="21">
        <f>IFERROR(Tabla54[[#This Row],[Atendidas]]/Tabla54[[#This Row],[Recibidas]],0)</f>
        <v>0</v>
      </c>
    </row>
    <row r="868" spans="2:9" x14ac:dyDescent="0.3">
      <c r="B868" s="27">
        <f t="shared" si="35"/>
        <v>46221</v>
      </c>
      <c r="C868" s="18">
        <v>0.95833333333333304</v>
      </c>
      <c r="D868" s="19">
        <f>+SUMIFS(Regiones[Ofrecidas],Regiones[Fecha],Tabla54[[#This Row],[Fecha]],Regiones[Intervalo],Tabla54[[#This Row],[Intervalo]],Regiones[Skill],'BUPA Seguros'!$L$3)</f>
        <v>0</v>
      </c>
      <c r="E868" s="19">
        <f>+SUMIFS(Regiones[Contestadas],Regiones[Fecha],Tabla54[[#This Row],[Fecha]],Regiones[Intervalo],Tabla54[[#This Row],[Intervalo]],Regiones[Skill],'BUPA Seguros'!$L$3)</f>
        <v>0</v>
      </c>
      <c r="F868" s="20">
        <v>0</v>
      </c>
      <c r="G868" s="19">
        <f>IFERROR(SUMIFS(Regiones[TMO],Regiones[Fecha],Tabla54[[#This Row],[Fecha]],Regiones[Intervalo],Tabla54[[#This Row],[Intervalo]],Regiones[Skill],'BUPA Seguros'!$L$3)/Tabla54[[#This Row],[Atendidas]],0)</f>
        <v>0</v>
      </c>
      <c r="H8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8" s="21">
        <f>IFERROR(Tabla54[[#This Row],[Atendidas]]/Tabla54[[#This Row],[Recibidas]],0)</f>
        <v>0</v>
      </c>
    </row>
    <row r="869" spans="2:9" x14ac:dyDescent="0.3">
      <c r="B869" s="25">
        <f t="shared" si="35"/>
        <v>46221</v>
      </c>
      <c r="C869" s="26">
        <v>0.97916666666666696</v>
      </c>
      <c r="D869" s="19">
        <f>+SUMIFS(Regiones[Ofrecidas],Regiones[Fecha],Tabla54[[#This Row],[Fecha]],Regiones[Intervalo],Tabla54[[#This Row],[Intervalo]],Regiones[Skill],'BUPA Seguros'!$L$3)</f>
        <v>0</v>
      </c>
      <c r="E869" s="19">
        <f>+SUMIFS(Regiones[Contestadas],Regiones[Fecha],Tabla54[[#This Row],[Fecha]],Regiones[Intervalo],Tabla54[[#This Row],[Intervalo]],Regiones[Skill],'BUPA Seguros'!$L$3)</f>
        <v>0</v>
      </c>
      <c r="F869" s="20">
        <v>0</v>
      </c>
      <c r="G869" s="19">
        <f>IFERROR(SUMIFS(Regiones[TMO],Regiones[Fecha],Tabla54[[#This Row],[Fecha]],Regiones[Intervalo],Tabla54[[#This Row],[Intervalo]],Regiones[Skill],'BUPA Seguros'!$L$3)/Tabla54[[#This Row],[Atendidas]],0)</f>
        <v>0</v>
      </c>
      <c r="H8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69" s="21">
        <f>IFERROR(Tabla54[[#This Row],[Atendidas]]/Tabla54[[#This Row],[Recibidas]],0)</f>
        <v>0</v>
      </c>
    </row>
    <row r="870" spans="2:9" x14ac:dyDescent="0.3">
      <c r="B870" s="27">
        <f t="shared" ref="B870" si="36">+B869+1</f>
        <v>46222</v>
      </c>
      <c r="C870" s="18">
        <v>0</v>
      </c>
      <c r="D870" s="19">
        <f>+SUMIFS(Regiones[Ofrecidas],Regiones[Fecha],Tabla54[[#This Row],[Fecha]],Regiones[Intervalo],Tabla54[[#This Row],[Intervalo]],Regiones[Skill],'BUPA Seguros'!$L$3)</f>
        <v>0</v>
      </c>
      <c r="E870" s="19">
        <f>+SUMIFS(Regiones[Contestadas],Regiones[Fecha],Tabla54[[#This Row],[Fecha]],Regiones[Intervalo],Tabla54[[#This Row],[Intervalo]],Regiones[Skill],'BUPA Seguros'!$L$3)</f>
        <v>0</v>
      </c>
      <c r="F870" s="20">
        <v>0</v>
      </c>
      <c r="G870" s="19">
        <f>IFERROR(SUMIFS(Regiones[TMO],Regiones[Fecha],Tabla54[[#This Row],[Fecha]],Regiones[Intervalo],Tabla54[[#This Row],[Intervalo]],Regiones[Skill],'BUPA Seguros'!$L$3)/Tabla54[[#This Row],[Atendidas]],0)</f>
        <v>0</v>
      </c>
      <c r="H8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0" s="21">
        <f>IFERROR(Tabla54[[#This Row],[Atendidas]]/Tabla54[[#This Row],[Recibidas]],0)</f>
        <v>0</v>
      </c>
    </row>
    <row r="871" spans="2:9" x14ac:dyDescent="0.3">
      <c r="B871" s="25">
        <f t="shared" ref="B871" si="37">+B870</f>
        <v>46222</v>
      </c>
      <c r="C871" s="26">
        <v>2.0833333333333332E-2</v>
      </c>
      <c r="D871" s="19">
        <f>+SUMIFS(Regiones[Ofrecidas],Regiones[Fecha],Tabla54[[#This Row],[Fecha]],Regiones[Intervalo],Tabla54[[#This Row],[Intervalo]],Regiones[Skill],'BUPA Seguros'!$L$3)</f>
        <v>0</v>
      </c>
      <c r="E871" s="19">
        <f>+SUMIFS(Regiones[Contestadas],Regiones[Fecha],Tabla54[[#This Row],[Fecha]],Regiones[Intervalo],Tabla54[[#This Row],[Intervalo]],Regiones[Skill],'BUPA Seguros'!$L$3)</f>
        <v>0</v>
      </c>
      <c r="F871" s="20">
        <v>0</v>
      </c>
      <c r="G871" s="19">
        <f>IFERROR(SUMIFS(Regiones[TMO],Regiones[Fecha],Tabla54[[#This Row],[Fecha]],Regiones[Intervalo],Tabla54[[#This Row],[Intervalo]],Regiones[Skill],'BUPA Seguros'!$L$3)/Tabla54[[#This Row],[Atendidas]],0)</f>
        <v>0</v>
      </c>
      <c r="H8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1" s="21">
        <f>IFERROR(Tabla54[[#This Row],[Atendidas]]/Tabla54[[#This Row],[Recibidas]],0)</f>
        <v>0</v>
      </c>
    </row>
    <row r="872" spans="2:9" x14ac:dyDescent="0.3">
      <c r="B872" s="27">
        <f t="shared" si="35"/>
        <v>46222</v>
      </c>
      <c r="C872" s="18">
        <v>4.1666666666666699E-2</v>
      </c>
      <c r="D872" s="19">
        <f>+SUMIFS(Regiones[Ofrecidas],Regiones[Fecha],Tabla54[[#This Row],[Fecha]],Regiones[Intervalo],Tabla54[[#This Row],[Intervalo]],Regiones[Skill],'BUPA Seguros'!$L$3)</f>
        <v>0</v>
      </c>
      <c r="E872" s="19">
        <f>+SUMIFS(Regiones[Contestadas],Regiones[Fecha],Tabla54[[#This Row],[Fecha]],Regiones[Intervalo],Tabla54[[#This Row],[Intervalo]],Regiones[Skill],'BUPA Seguros'!$L$3)</f>
        <v>0</v>
      </c>
      <c r="F872" s="20">
        <v>0</v>
      </c>
      <c r="G872" s="19">
        <f>IFERROR(SUMIFS(Regiones[TMO],Regiones[Fecha],Tabla54[[#This Row],[Fecha]],Regiones[Intervalo],Tabla54[[#This Row],[Intervalo]],Regiones[Skill],'BUPA Seguros'!$L$3)/Tabla54[[#This Row],[Atendidas]],0)</f>
        <v>0</v>
      </c>
      <c r="H8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2" s="21">
        <f>IFERROR(Tabla54[[#This Row],[Atendidas]]/Tabla54[[#This Row],[Recibidas]],0)</f>
        <v>0</v>
      </c>
    </row>
    <row r="873" spans="2:9" x14ac:dyDescent="0.3">
      <c r="B873" s="25">
        <f t="shared" si="35"/>
        <v>46222</v>
      </c>
      <c r="C873" s="26">
        <v>6.25E-2</v>
      </c>
      <c r="D873" s="19">
        <f>+SUMIFS(Regiones[Ofrecidas],Regiones[Fecha],Tabla54[[#This Row],[Fecha]],Regiones[Intervalo],Tabla54[[#This Row],[Intervalo]],Regiones[Skill],'BUPA Seguros'!$L$3)</f>
        <v>0</v>
      </c>
      <c r="E873" s="19">
        <f>+SUMIFS(Regiones[Contestadas],Regiones[Fecha],Tabla54[[#This Row],[Fecha]],Regiones[Intervalo],Tabla54[[#This Row],[Intervalo]],Regiones[Skill],'BUPA Seguros'!$L$3)</f>
        <v>0</v>
      </c>
      <c r="F873" s="20">
        <v>0</v>
      </c>
      <c r="G873" s="19">
        <f>IFERROR(SUMIFS(Regiones[TMO],Regiones[Fecha],Tabla54[[#This Row],[Fecha]],Regiones[Intervalo],Tabla54[[#This Row],[Intervalo]],Regiones[Skill],'BUPA Seguros'!$L$3)/Tabla54[[#This Row],[Atendidas]],0)</f>
        <v>0</v>
      </c>
      <c r="H8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3" s="21">
        <f>IFERROR(Tabla54[[#This Row],[Atendidas]]/Tabla54[[#This Row],[Recibidas]],0)</f>
        <v>0</v>
      </c>
    </row>
    <row r="874" spans="2:9" x14ac:dyDescent="0.3">
      <c r="B874" s="27">
        <f t="shared" si="35"/>
        <v>46222</v>
      </c>
      <c r="C874" s="18">
        <v>8.3333333333333301E-2</v>
      </c>
      <c r="D874" s="19">
        <f>+SUMIFS(Regiones[Ofrecidas],Regiones[Fecha],Tabla54[[#This Row],[Fecha]],Regiones[Intervalo],Tabla54[[#This Row],[Intervalo]],Regiones[Skill],'BUPA Seguros'!$L$3)</f>
        <v>0</v>
      </c>
      <c r="E874" s="19">
        <f>+SUMIFS(Regiones[Contestadas],Regiones[Fecha],Tabla54[[#This Row],[Fecha]],Regiones[Intervalo],Tabla54[[#This Row],[Intervalo]],Regiones[Skill],'BUPA Seguros'!$L$3)</f>
        <v>0</v>
      </c>
      <c r="F874" s="20">
        <v>0</v>
      </c>
      <c r="G874" s="19">
        <f>IFERROR(SUMIFS(Regiones[TMO],Regiones[Fecha],Tabla54[[#This Row],[Fecha]],Regiones[Intervalo],Tabla54[[#This Row],[Intervalo]],Regiones[Skill],'BUPA Seguros'!$L$3)/Tabla54[[#This Row],[Atendidas]],0)</f>
        <v>0</v>
      </c>
      <c r="H8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4" s="21">
        <f>IFERROR(Tabla54[[#This Row],[Atendidas]]/Tabla54[[#This Row],[Recibidas]],0)</f>
        <v>0</v>
      </c>
    </row>
    <row r="875" spans="2:9" x14ac:dyDescent="0.3">
      <c r="B875" s="25">
        <f t="shared" si="35"/>
        <v>46222</v>
      </c>
      <c r="C875" s="26">
        <v>0.104166666666667</v>
      </c>
      <c r="D875" s="19">
        <f>+SUMIFS(Regiones[Ofrecidas],Regiones[Fecha],Tabla54[[#This Row],[Fecha]],Regiones[Intervalo],Tabla54[[#This Row],[Intervalo]],Regiones[Skill],'BUPA Seguros'!$L$3)</f>
        <v>0</v>
      </c>
      <c r="E875" s="19">
        <f>+SUMIFS(Regiones[Contestadas],Regiones[Fecha],Tabla54[[#This Row],[Fecha]],Regiones[Intervalo],Tabla54[[#This Row],[Intervalo]],Regiones[Skill],'BUPA Seguros'!$L$3)</f>
        <v>0</v>
      </c>
      <c r="F875" s="20">
        <v>0</v>
      </c>
      <c r="G875" s="19">
        <f>IFERROR(SUMIFS(Regiones[TMO],Regiones[Fecha],Tabla54[[#This Row],[Fecha]],Regiones[Intervalo],Tabla54[[#This Row],[Intervalo]],Regiones[Skill],'BUPA Seguros'!$L$3)/Tabla54[[#This Row],[Atendidas]],0)</f>
        <v>0</v>
      </c>
      <c r="H8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5" s="21">
        <f>IFERROR(Tabla54[[#This Row],[Atendidas]]/Tabla54[[#This Row],[Recibidas]],0)</f>
        <v>0</v>
      </c>
    </row>
    <row r="876" spans="2:9" x14ac:dyDescent="0.3">
      <c r="B876" s="27">
        <f t="shared" si="35"/>
        <v>46222</v>
      </c>
      <c r="C876" s="18">
        <v>0.125</v>
      </c>
      <c r="D876" s="19">
        <f>+SUMIFS(Regiones[Ofrecidas],Regiones[Fecha],Tabla54[[#This Row],[Fecha]],Regiones[Intervalo],Tabla54[[#This Row],[Intervalo]],Regiones[Skill],'BUPA Seguros'!$L$3)</f>
        <v>0</v>
      </c>
      <c r="E876" s="19">
        <f>+SUMIFS(Regiones[Contestadas],Regiones[Fecha],Tabla54[[#This Row],[Fecha]],Regiones[Intervalo],Tabla54[[#This Row],[Intervalo]],Regiones[Skill],'BUPA Seguros'!$L$3)</f>
        <v>0</v>
      </c>
      <c r="F876" s="20">
        <v>0</v>
      </c>
      <c r="G876" s="19">
        <f>IFERROR(SUMIFS(Regiones[TMO],Regiones[Fecha],Tabla54[[#This Row],[Fecha]],Regiones[Intervalo],Tabla54[[#This Row],[Intervalo]],Regiones[Skill],'BUPA Seguros'!$L$3)/Tabla54[[#This Row],[Atendidas]],0)</f>
        <v>0</v>
      </c>
      <c r="H8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6" s="21">
        <f>IFERROR(Tabla54[[#This Row],[Atendidas]]/Tabla54[[#This Row],[Recibidas]],0)</f>
        <v>0</v>
      </c>
    </row>
    <row r="877" spans="2:9" x14ac:dyDescent="0.3">
      <c r="B877" s="25">
        <f t="shared" si="35"/>
        <v>46222</v>
      </c>
      <c r="C877" s="26">
        <v>0.14583333333333301</v>
      </c>
      <c r="D877" s="19">
        <f>+SUMIFS(Regiones[Ofrecidas],Regiones[Fecha],Tabla54[[#This Row],[Fecha]],Regiones[Intervalo],Tabla54[[#This Row],[Intervalo]],Regiones[Skill],'BUPA Seguros'!$L$3)</f>
        <v>0</v>
      </c>
      <c r="E877" s="19">
        <f>+SUMIFS(Regiones[Contestadas],Regiones[Fecha],Tabla54[[#This Row],[Fecha]],Regiones[Intervalo],Tabla54[[#This Row],[Intervalo]],Regiones[Skill],'BUPA Seguros'!$L$3)</f>
        <v>0</v>
      </c>
      <c r="F877" s="20">
        <v>0</v>
      </c>
      <c r="G877" s="19">
        <f>IFERROR(SUMIFS(Regiones[TMO],Regiones[Fecha],Tabla54[[#This Row],[Fecha]],Regiones[Intervalo],Tabla54[[#This Row],[Intervalo]],Regiones[Skill],'BUPA Seguros'!$L$3)/Tabla54[[#This Row],[Atendidas]],0)</f>
        <v>0</v>
      </c>
      <c r="H8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7" s="21">
        <f>IFERROR(Tabla54[[#This Row],[Atendidas]]/Tabla54[[#This Row],[Recibidas]],0)</f>
        <v>0</v>
      </c>
    </row>
    <row r="878" spans="2:9" x14ac:dyDescent="0.3">
      <c r="B878" s="27">
        <f t="shared" si="35"/>
        <v>46222</v>
      </c>
      <c r="C878" s="18">
        <v>0.16666666666666699</v>
      </c>
      <c r="D878" s="19">
        <f>+SUMIFS(Regiones[Ofrecidas],Regiones[Fecha],Tabla54[[#This Row],[Fecha]],Regiones[Intervalo],Tabla54[[#This Row],[Intervalo]],Regiones[Skill],'BUPA Seguros'!$L$3)</f>
        <v>0</v>
      </c>
      <c r="E878" s="19">
        <f>+SUMIFS(Regiones[Contestadas],Regiones[Fecha],Tabla54[[#This Row],[Fecha]],Regiones[Intervalo],Tabla54[[#This Row],[Intervalo]],Regiones[Skill],'BUPA Seguros'!$L$3)</f>
        <v>0</v>
      </c>
      <c r="F878" s="20">
        <v>0</v>
      </c>
      <c r="G878" s="19">
        <f>IFERROR(SUMIFS(Regiones[TMO],Regiones[Fecha],Tabla54[[#This Row],[Fecha]],Regiones[Intervalo],Tabla54[[#This Row],[Intervalo]],Regiones[Skill],'BUPA Seguros'!$L$3)/Tabla54[[#This Row],[Atendidas]],0)</f>
        <v>0</v>
      </c>
      <c r="H8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8" s="21">
        <f>IFERROR(Tabla54[[#This Row],[Atendidas]]/Tabla54[[#This Row],[Recibidas]],0)</f>
        <v>0</v>
      </c>
    </row>
    <row r="879" spans="2:9" x14ac:dyDescent="0.3">
      <c r="B879" s="25">
        <f t="shared" si="35"/>
        <v>46222</v>
      </c>
      <c r="C879" s="26">
        <v>0.1875</v>
      </c>
      <c r="D879" s="19">
        <f>+SUMIFS(Regiones[Ofrecidas],Regiones[Fecha],Tabla54[[#This Row],[Fecha]],Regiones[Intervalo],Tabla54[[#This Row],[Intervalo]],Regiones[Skill],'BUPA Seguros'!$L$3)</f>
        <v>0</v>
      </c>
      <c r="E879" s="19">
        <f>+SUMIFS(Regiones[Contestadas],Regiones[Fecha],Tabla54[[#This Row],[Fecha]],Regiones[Intervalo],Tabla54[[#This Row],[Intervalo]],Regiones[Skill],'BUPA Seguros'!$L$3)</f>
        <v>0</v>
      </c>
      <c r="F879" s="20">
        <v>0</v>
      </c>
      <c r="G879" s="19">
        <f>IFERROR(SUMIFS(Regiones[TMO],Regiones[Fecha],Tabla54[[#This Row],[Fecha]],Regiones[Intervalo],Tabla54[[#This Row],[Intervalo]],Regiones[Skill],'BUPA Seguros'!$L$3)/Tabla54[[#This Row],[Atendidas]],0)</f>
        <v>0</v>
      </c>
      <c r="H8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79" s="21">
        <f>IFERROR(Tabla54[[#This Row],[Atendidas]]/Tabla54[[#This Row],[Recibidas]],0)</f>
        <v>0</v>
      </c>
    </row>
    <row r="880" spans="2:9" x14ac:dyDescent="0.3">
      <c r="B880" s="27">
        <f t="shared" si="35"/>
        <v>46222</v>
      </c>
      <c r="C880" s="18">
        <v>0.20833333333333301</v>
      </c>
      <c r="D880" s="19">
        <f>+SUMIFS(Regiones[Ofrecidas],Regiones[Fecha],Tabla54[[#This Row],[Fecha]],Regiones[Intervalo],Tabla54[[#This Row],[Intervalo]],Regiones[Skill],'BUPA Seguros'!$L$3)</f>
        <v>0</v>
      </c>
      <c r="E880" s="19">
        <f>+SUMIFS(Regiones[Contestadas],Regiones[Fecha],Tabla54[[#This Row],[Fecha]],Regiones[Intervalo],Tabla54[[#This Row],[Intervalo]],Regiones[Skill],'BUPA Seguros'!$L$3)</f>
        <v>0</v>
      </c>
      <c r="F880" s="20">
        <v>0</v>
      </c>
      <c r="G880" s="19">
        <f>IFERROR(SUMIFS(Regiones[TMO],Regiones[Fecha],Tabla54[[#This Row],[Fecha]],Regiones[Intervalo],Tabla54[[#This Row],[Intervalo]],Regiones[Skill],'BUPA Seguros'!$L$3)/Tabla54[[#This Row],[Atendidas]],0)</f>
        <v>0</v>
      </c>
      <c r="H8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0" s="21">
        <f>IFERROR(Tabla54[[#This Row],[Atendidas]]/Tabla54[[#This Row],[Recibidas]],0)</f>
        <v>0</v>
      </c>
    </row>
    <row r="881" spans="2:9" x14ac:dyDescent="0.3">
      <c r="B881" s="25">
        <f t="shared" si="35"/>
        <v>46222</v>
      </c>
      <c r="C881" s="26">
        <v>0.22916666666666699</v>
      </c>
      <c r="D881" s="19">
        <f>+SUMIFS(Regiones[Ofrecidas],Regiones[Fecha],Tabla54[[#This Row],[Fecha]],Regiones[Intervalo],Tabla54[[#This Row],[Intervalo]],Regiones[Skill],'BUPA Seguros'!$L$3)</f>
        <v>0</v>
      </c>
      <c r="E881" s="19">
        <f>+SUMIFS(Regiones[Contestadas],Regiones[Fecha],Tabla54[[#This Row],[Fecha]],Regiones[Intervalo],Tabla54[[#This Row],[Intervalo]],Regiones[Skill],'BUPA Seguros'!$L$3)</f>
        <v>0</v>
      </c>
      <c r="F881" s="20">
        <v>0</v>
      </c>
      <c r="G881" s="19">
        <f>IFERROR(SUMIFS(Regiones[TMO],Regiones[Fecha],Tabla54[[#This Row],[Fecha]],Regiones[Intervalo],Tabla54[[#This Row],[Intervalo]],Regiones[Skill],'BUPA Seguros'!$L$3)/Tabla54[[#This Row],[Atendidas]],0)</f>
        <v>0</v>
      </c>
      <c r="H8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1" s="21">
        <f>IFERROR(Tabla54[[#This Row],[Atendidas]]/Tabla54[[#This Row],[Recibidas]],0)</f>
        <v>0</v>
      </c>
    </row>
    <row r="882" spans="2:9" x14ac:dyDescent="0.3">
      <c r="B882" s="27">
        <f t="shared" si="35"/>
        <v>46222</v>
      </c>
      <c r="C882" s="18">
        <v>0.25</v>
      </c>
      <c r="D882" s="19">
        <f>+SUMIFS(Regiones[Ofrecidas],Regiones[Fecha],Tabla54[[#This Row],[Fecha]],Regiones[Intervalo],Tabla54[[#This Row],[Intervalo]],Regiones[Skill],'BUPA Seguros'!$L$3)</f>
        <v>0</v>
      </c>
      <c r="E882" s="19">
        <f>+SUMIFS(Regiones[Contestadas],Regiones[Fecha],Tabla54[[#This Row],[Fecha]],Regiones[Intervalo],Tabla54[[#This Row],[Intervalo]],Regiones[Skill],'BUPA Seguros'!$L$3)</f>
        <v>0</v>
      </c>
      <c r="F882" s="20">
        <v>0</v>
      </c>
      <c r="G882" s="19">
        <f>IFERROR(SUMIFS(Regiones[TMO],Regiones[Fecha],Tabla54[[#This Row],[Fecha]],Regiones[Intervalo],Tabla54[[#This Row],[Intervalo]],Regiones[Skill],'BUPA Seguros'!$L$3)/Tabla54[[#This Row],[Atendidas]],0)</f>
        <v>0</v>
      </c>
      <c r="H8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2" s="21">
        <f>IFERROR(Tabla54[[#This Row],[Atendidas]]/Tabla54[[#This Row],[Recibidas]],0)</f>
        <v>0</v>
      </c>
    </row>
    <row r="883" spans="2:9" x14ac:dyDescent="0.3">
      <c r="B883" s="25">
        <f t="shared" si="35"/>
        <v>46222</v>
      </c>
      <c r="C883" s="26">
        <v>0.27083333333333298</v>
      </c>
      <c r="D883" s="19">
        <f>+SUMIFS(Regiones[Ofrecidas],Regiones[Fecha],Tabla54[[#This Row],[Fecha]],Regiones[Intervalo],Tabla54[[#This Row],[Intervalo]],Regiones[Skill],'BUPA Seguros'!$L$3)</f>
        <v>0</v>
      </c>
      <c r="E883" s="19">
        <f>+SUMIFS(Regiones[Contestadas],Regiones[Fecha],Tabla54[[#This Row],[Fecha]],Regiones[Intervalo],Tabla54[[#This Row],[Intervalo]],Regiones[Skill],'BUPA Seguros'!$L$3)</f>
        <v>0</v>
      </c>
      <c r="F883" s="20">
        <v>0</v>
      </c>
      <c r="G883" s="19">
        <f>IFERROR(SUMIFS(Regiones[TMO],Regiones[Fecha],Tabla54[[#This Row],[Fecha]],Regiones[Intervalo],Tabla54[[#This Row],[Intervalo]],Regiones[Skill],'BUPA Seguros'!$L$3)/Tabla54[[#This Row],[Atendidas]],0)</f>
        <v>0</v>
      </c>
      <c r="H8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3" s="21">
        <f>IFERROR(Tabla54[[#This Row],[Atendidas]]/Tabla54[[#This Row],[Recibidas]],0)</f>
        <v>0</v>
      </c>
    </row>
    <row r="884" spans="2:9" x14ac:dyDescent="0.3">
      <c r="B884" s="27">
        <f t="shared" si="35"/>
        <v>46222</v>
      </c>
      <c r="C884" s="18">
        <v>0.29166666666666702</v>
      </c>
      <c r="D884" s="19">
        <f>+SUMIFS(Regiones[Ofrecidas],Regiones[Fecha],Tabla54[[#This Row],[Fecha]],Regiones[Intervalo],Tabla54[[#This Row],[Intervalo]],Regiones[Skill],'BUPA Seguros'!$L$3)</f>
        <v>0</v>
      </c>
      <c r="E884" s="19">
        <f>+SUMIFS(Regiones[Contestadas],Regiones[Fecha],Tabla54[[#This Row],[Fecha]],Regiones[Intervalo],Tabla54[[#This Row],[Intervalo]],Regiones[Skill],'BUPA Seguros'!$L$3)</f>
        <v>0</v>
      </c>
      <c r="F884" s="20">
        <v>0</v>
      </c>
      <c r="G884" s="19">
        <f>IFERROR(SUMIFS(Regiones[TMO],Regiones[Fecha],Tabla54[[#This Row],[Fecha]],Regiones[Intervalo],Tabla54[[#This Row],[Intervalo]],Regiones[Skill],'BUPA Seguros'!$L$3)/Tabla54[[#This Row],[Atendidas]],0)</f>
        <v>0</v>
      </c>
      <c r="H8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4" s="21">
        <f>IFERROR(Tabla54[[#This Row],[Atendidas]]/Tabla54[[#This Row],[Recibidas]],0)</f>
        <v>0</v>
      </c>
    </row>
    <row r="885" spans="2:9" x14ac:dyDescent="0.3">
      <c r="B885" s="25">
        <f t="shared" si="35"/>
        <v>46222</v>
      </c>
      <c r="C885" s="26">
        <v>0.3125</v>
      </c>
      <c r="D885" s="19">
        <f>+SUMIFS(Regiones[Ofrecidas],Regiones[Fecha],Tabla54[[#This Row],[Fecha]],Regiones[Intervalo],Tabla54[[#This Row],[Intervalo]],Regiones[Skill],'BUPA Seguros'!$L$3)</f>
        <v>0</v>
      </c>
      <c r="E885" s="19">
        <f>+SUMIFS(Regiones[Contestadas],Regiones[Fecha],Tabla54[[#This Row],[Fecha]],Regiones[Intervalo],Tabla54[[#This Row],[Intervalo]],Regiones[Skill],'BUPA Seguros'!$L$3)</f>
        <v>0</v>
      </c>
      <c r="F885" s="20">
        <v>0</v>
      </c>
      <c r="G885" s="19">
        <f>IFERROR(SUMIFS(Regiones[TMO],Regiones[Fecha],Tabla54[[#This Row],[Fecha]],Regiones[Intervalo],Tabla54[[#This Row],[Intervalo]],Regiones[Skill],'BUPA Seguros'!$L$3)/Tabla54[[#This Row],[Atendidas]],0)</f>
        <v>0</v>
      </c>
      <c r="H8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5" s="21">
        <f>IFERROR(Tabla54[[#This Row],[Atendidas]]/Tabla54[[#This Row],[Recibidas]],0)</f>
        <v>0</v>
      </c>
    </row>
    <row r="886" spans="2:9" x14ac:dyDescent="0.3">
      <c r="B886" s="27">
        <f t="shared" si="35"/>
        <v>46222</v>
      </c>
      <c r="C886" s="18">
        <v>0.33333333333333298</v>
      </c>
      <c r="D886" s="19">
        <f>+SUMIFS(Regiones[Ofrecidas],Regiones[Fecha],Tabla54[[#This Row],[Fecha]],Regiones[Intervalo],Tabla54[[#This Row],[Intervalo]],Regiones[Skill],'BUPA Seguros'!$L$3)</f>
        <v>0</v>
      </c>
      <c r="E886" s="19">
        <f>+SUMIFS(Regiones[Contestadas],Regiones[Fecha],Tabla54[[#This Row],[Fecha]],Regiones[Intervalo],Tabla54[[#This Row],[Intervalo]],Regiones[Skill],'BUPA Seguros'!$L$3)</f>
        <v>0</v>
      </c>
      <c r="F886" s="20">
        <v>0</v>
      </c>
      <c r="G886" s="19">
        <f>IFERROR(SUMIFS(Regiones[TMO],Regiones[Fecha],Tabla54[[#This Row],[Fecha]],Regiones[Intervalo],Tabla54[[#This Row],[Intervalo]],Regiones[Skill],'BUPA Seguros'!$L$3)/Tabla54[[#This Row],[Atendidas]],0)</f>
        <v>0</v>
      </c>
      <c r="H8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6" s="21">
        <f>IFERROR(Tabla54[[#This Row],[Atendidas]]/Tabla54[[#This Row],[Recibidas]],0)</f>
        <v>0</v>
      </c>
    </row>
    <row r="887" spans="2:9" x14ac:dyDescent="0.3">
      <c r="B887" s="25">
        <f t="shared" ref="B887:B950" si="38">+B886</f>
        <v>46222</v>
      </c>
      <c r="C887" s="26">
        <v>0.35416666666666702</v>
      </c>
      <c r="D887" s="19">
        <f>+SUMIFS(Regiones[Ofrecidas],Regiones[Fecha],Tabla54[[#This Row],[Fecha]],Regiones[Intervalo],Tabla54[[#This Row],[Intervalo]],Regiones[Skill],'BUPA Seguros'!$L$3)</f>
        <v>0</v>
      </c>
      <c r="E887" s="19">
        <f>+SUMIFS(Regiones[Contestadas],Regiones[Fecha],Tabla54[[#This Row],[Fecha]],Regiones[Intervalo],Tabla54[[#This Row],[Intervalo]],Regiones[Skill],'BUPA Seguros'!$L$3)</f>
        <v>0</v>
      </c>
      <c r="F887" s="20">
        <v>0</v>
      </c>
      <c r="G887" s="19">
        <f>IFERROR(SUMIFS(Regiones[TMO],Regiones[Fecha],Tabla54[[#This Row],[Fecha]],Regiones[Intervalo],Tabla54[[#This Row],[Intervalo]],Regiones[Skill],'BUPA Seguros'!$L$3)/Tabla54[[#This Row],[Atendidas]],0)</f>
        <v>0</v>
      </c>
      <c r="H8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7" s="21">
        <f>IFERROR(Tabla54[[#This Row],[Atendidas]]/Tabla54[[#This Row],[Recibidas]],0)</f>
        <v>0</v>
      </c>
    </row>
    <row r="888" spans="2:9" x14ac:dyDescent="0.3">
      <c r="B888" s="27">
        <f t="shared" si="38"/>
        <v>46222</v>
      </c>
      <c r="C888" s="18">
        <v>0.375</v>
      </c>
      <c r="D888" s="19">
        <f>+SUMIFS(Regiones[Ofrecidas],Regiones[Fecha],Tabla54[[#This Row],[Fecha]],Regiones[Intervalo],Tabla54[[#This Row],[Intervalo]],Regiones[Skill],'BUPA Seguros'!$L$3)</f>
        <v>0</v>
      </c>
      <c r="E888" s="19">
        <f>+SUMIFS(Regiones[Contestadas],Regiones[Fecha],Tabla54[[#This Row],[Fecha]],Regiones[Intervalo],Tabla54[[#This Row],[Intervalo]],Regiones[Skill],'BUPA Seguros'!$L$3)</f>
        <v>0</v>
      </c>
      <c r="F888" s="20">
        <v>0</v>
      </c>
      <c r="G888" s="19">
        <f>IFERROR(SUMIFS(Regiones[TMO],Regiones[Fecha],Tabla54[[#This Row],[Fecha]],Regiones[Intervalo],Tabla54[[#This Row],[Intervalo]],Regiones[Skill],'BUPA Seguros'!$L$3)/Tabla54[[#This Row],[Atendidas]],0)</f>
        <v>0</v>
      </c>
      <c r="H8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8" s="21">
        <f>IFERROR(Tabla54[[#This Row],[Atendidas]]/Tabla54[[#This Row],[Recibidas]],0)</f>
        <v>0</v>
      </c>
    </row>
    <row r="889" spans="2:9" x14ac:dyDescent="0.3">
      <c r="B889" s="25">
        <f t="shared" si="38"/>
        <v>46222</v>
      </c>
      <c r="C889" s="26">
        <v>0.39583333333333298</v>
      </c>
      <c r="D889" s="19">
        <f>+SUMIFS(Regiones[Ofrecidas],Regiones[Fecha],Tabla54[[#This Row],[Fecha]],Regiones[Intervalo],Tabla54[[#This Row],[Intervalo]],Regiones[Skill],'BUPA Seguros'!$L$3)</f>
        <v>0</v>
      </c>
      <c r="E889" s="19">
        <f>+SUMIFS(Regiones[Contestadas],Regiones[Fecha],Tabla54[[#This Row],[Fecha]],Regiones[Intervalo],Tabla54[[#This Row],[Intervalo]],Regiones[Skill],'BUPA Seguros'!$L$3)</f>
        <v>0</v>
      </c>
      <c r="F889" s="20">
        <v>0</v>
      </c>
      <c r="G889" s="19">
        <f>IFERROR(SUMIFS(Regiones[TMO],Regiones[Fecha],Tabla54[[#This Row],[Fecha]],Regiones[Intervalo],Tabla54[[#This Row],[Intervalo]],Regiones[Skill],'BUPA Seguros'!$L$3)/Tabla54[[#This Row],[Atendidas]],0)</f>
        <v>0</v>
      </c>
      <c r="H8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89" s="21">
        <f>IFERROR(Tabla54[[#This Row],[Atendidas]]/Tabla54[[#This Row],[Recibidas]],0)</f>
        <v>0</v>
      </c>
    </row>
    <row r="890" spans="2:9" x14ac:dyDescent="0.3">
      <c r="B890" s="27">
        <f t="shared" si="38"/>
        <v>46222</v>
      </c>
      <c r="C890" s="18">
        <v>0.41666666666666702</v>
      </c>
      <c r="D890" s="19">
        <f>+SUMIFS(Regiones[Ofrecidas],Regiones[Fecha],Tabla54[[#This Row],[Fecha]],Regiones[Intervalo],Tabla54[[#This Row],[Intervalo]],Regiones[Skill],'BUPA Seguros'!$L$3)</f>
        <v>0</v>
      </c>
      <c r="E890" s="19">
        <f>+SUMIFS(Regiones[Contestadas],Regiones[Fecha],Tabla54[[#This Row],[Fecha]],Regiones[Intervalo],Tabla54[[#This Row],[Intervalo]],Regiones[Skill],'BUPA Seguros'!$L$3)</f>
        <v>0</v>
      </c>
      <c r="F890" s="20">
        <v>0</v>
      </c>
      <c r="G890" s="19">
        <f>IFERROR(SUMIFS(Regiones[TMO],Regiones[Fecha],Tabla54[[#This Row],[Fecha]],Regiones[Intervalo],Tabla54[[#This Row],[Intervalo]],Regiones[Skill],'BUPA Seguros'!$L$3)/Tabla54[[#This Row],[Atendidas]],0)</f>
        <v>0</v>
      </c>
      <c r="H8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0" s="21">
        <f>IFERROR(Tabla54[[#This Row],[Atendidas]]/Tabla54[[#This Row],[Recibidas]],0)</f>
        <v>0</v>
      </c>
    </row>
    <row r="891" spans="2:9" x14ac:dyDescent="0.3">
      <c r="B891" s="25">
        <f t="shared" si="38"/>
        <v>46222</v>
      </c>
      <c r="C891" s="26">
        <v>0.4375</v>
      </c>
      <c r="D891" s="19">
        <f>+SUMIFS(Regiones[Ofrecidas],Regiones[Fecha],Tabla54[[#This Row],[Fecha]],Regiones[Intervalo],Tabla54[[#This Row],[Intervalo]],Regiones[Skill],'BUPA Seguros'!$L$3)</f>
        <v>0</v>
      </c>
      <c r="E891" s="19">
        <f>+SUMIFS(Regiones[Contestadas],Regiones[Fecha],Tabla54[[#This Row],[Fecha]],Regiones[Intervalo],Tabla54[[#This Row],[Intervalo]],Regiones[Skill],'BUPA Seguros'!$L$3)</f>
        <v>0</v>
      </c>
      <c r="F891" s="20">
        <v>0</v>
      </c>
      <c r="G891" s="19">
        <f>IFERROR(SUMIFS(Regiones[TMO],Regiones[Fecha],Tabla54[[#This Row],[Fecha]],Regiones[Intervalo],Tabla54[[#This Row],[Intervalo]],Regiones[Skill],'BUPA Seguros'!$L$3)/Tabla54[[#This Row],[Atendidas]],0)</f>
        <v>0</v>
      </c>
      <c r="H8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1" s="21">
        <f>IFERROR(Tabla54[[#This Row],[Atendidas]]/Tabla54[[#This Row],[Recibidas]],0)</f>
        <v>0</v>
      </c>
    </row>
    <row r="892" spans="2:9" x14ac:dyDescent="0.3">
      <c r="B892" s="27">
        <f t="shared" si="38"/>
        <v>46222</v>
      </c>
      <c r="C892" s="18">
        <v>0.45833333333333298</v>
      </c>
      <c r="D892" s="19">
        <f>+SUMIFS(Regiones[Ofrecidas],Regiones[Fecha],Tabla54[[#This Row],[Fecha]],Regiones[Intervalo],Tabla54[[#This Row],[Intervalo]],Regiones[Skill],'BUPA Seguros'!$L$3)</f>
        <v>0</v>
      </c>
      <c r="E892" s="19">
        <f>+SUMIFS(Regiones[Contestadas],Regiones[Fecha],Tabla54[[#This Row],[Fecha]],Regiones[Intervalo],Tabla54[[#This Row],[Intervalo]],Regiones[Skill],'BUPA Seguros'!$L$3)</f>
        <v>0</v>
      </c>
      <c r="F892" s="20">
        <v>0</v>
      </c>
      <c r="G892" s="19">
        <f>IFERROR(SUMIFS(Regiones[TMO],Regiones[Fecha],Tabla54[[#This Row],[Fecha]],Regiones[Intervalo],Tabla54[[#This Row],[Intervalo]],Regiones[Skill],'BUPA Seguros'!$L$3)/Tabla54[[#This Row],[Atendidas]],0)</f>
        <v>0</v>
      </c>
      <c r="H8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2" s="21">
        <f>IFERROR(Tabla54[[#This Row],[Atendidas]]/Tabla54[[#This Row],[Recibidas]],0)</f>
        <v>0</v>
      </c>
    </row>
    <row r="893" spans="2:9" x14ac:dyDescent="0.3">
      <c r="B893" s="25">
        <f t="shared" si="38"/>
        <v>46222</v>
      </c>
      <c r="C893" s="26">
        <v>0.47916666666666702</v>
      </c>
      <c r="D893" s="19">
        <f>+SUMIFS(Regiones[Ofrecidas],Regiones[Fecha],Tabla54[[#This Row],[Fecha]],Regiones[Intervalo],Tabla54[[#This Row],[Intervalo]],Regiones[Skill],'BUPA Seguros'!$L$3)</f>
        <v>0</v>
      </c>
      <c r="E893" s="19">
        <f>+SUMIFS(Regiones[Contestadas],Regiones[Fecha],Tabla54[[#This Row],[Fecha]],Regiones[Intervalo],Tabla54[[#This Row],[Intervalo]],Regiones[Skill],'BUPA Seguros'!$L$3)</f>
        <v>0</v>
      </c>
      <c r="F893" s="20">
        <v>0</v>
      </c>
      <c r="G893" s="19">
        <f>IFERROR(SUMIFS(Regiones[TMO],Regiones[Fecha],Tabla54[[#This Row],[Fecha]],Regiones[Intervalo],Tabla54[[#This Row],[Intervalo]],Regiones[Skill],'BUPA Seguros'!$L$3)/Tabla54[[#This Row],[Atendidas]],0)</f>
        <v>0</v>
      </c>
      <c r="H8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3" s="21">
        <f>IFERROR(Tabla54[[#This Row],[Atendidas]]/Tabla54[[#This Row],[Recibidas]],0)</f>
        <v>0</v>
      </c>
    </row>
    <row r="894" spans="2:9" x14ac:dyDescent="0.3">
      <c r="B894" s="27">
        <f t="shared" si="38"/>
        <v>46222</v>
      </c>
      <c r="C894" s="18">
        <v>0.5</v>
      </c>
      <c r="D894" s="19">
        <f>+SUMIFS(Regiones[Ofrecidas],Regiones[Fecha],Tabla54[[#This Row],[Fecha]],Regiones[Intervalo],Tabla54[[#This Row],[Intervalo]],Regiones[Skill],'BUPA Seguros'!$L$3)</f>
        <v>0</v>
      </c>
      <c r="E894" s="19">
        <f>+SUMIFS(Regiones[Contestadas],Regiones[Fecha],Tabla54[[#This Row],[Fecha]],Regiones[Intervalo],Tabla54[[#This Row],[Intervalo]],Regiones[Skill],'BUPA Seguros'!$L$3)</f>
        <v>0</v>
      </c>
      <c r="F894" s="20">
        <v>0</v>
      </c>
      <c r="G894" s="19">
        <f>IFERROR(SUMIFS(Regiones[TMO],Regiones[Fecha],Tabla54[[#This Row],[Fecha]],Regiones[Intervalo],Tabla54[[#This Row],[Intervalo]],Regiones[Skill],'BUPA Seguros'!$L$3)/Tabla54[[#This Row],[Atendidas]],0)</f>
        <v>0</v>
      </c>
      <c r="H8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4" s="21">
        <f>IFERROR(Tabla54[[#This Row],[Atendidas]]/Tabla54[[#This Row],[Recibidas]],0)</f>
        <v>0</v>
      </c>
    </row>
    <row r="895" spans="2:9" x14ac:dyDescent="0.3">
      <c r="B895" s="25">
        <f t="shared" si="38"/>
        <v>46222</v>
      </c>
      <c r="C895" s="26">
        <v>0.52083333333333304</v>
      </c>
      <c r="D895" s="19">
        <f>+SUMIFS(Regiones[Ofrecidas],Regiones[Fecha],Tabla54[[#This Row],[Fecha]],Regiones[Intervalo],Tabla54[[#This Row],[Intervalo]],Regiones[Skill],'BUPA Seguros'!$L$3)</f>
        <v>0</v>
      </c>
      <c r="E895" s="19">
        <f>+SUMIFS(Regiones[Contestadas],Regiones[Fecha],Tabla54[[#This Row],[Fecha]],Regiones[Intervalo],Tabla54[[#This Row],[Intervalo]],Regiones[Skill],'BUPA Seguros'!$L$3)</f>
        <v>0</v>
      </c>
      <c r="F895" s="20">
        <v>0</v>
      </c>
      <c r="G895" s="19">
        <f>IFERROR(SUMIFS(Regiones[TMO],Regiones[Fecha],Tabla54[[#This Row],[Fecha]],Regiones[Intervalo],Tabla54[[#This Row],[Intervalo]],Regiones[Skill],'BUPA Seguros'!$L$3)/Tabla54[[#This Row],[Atendidas]],0)</f>
        <v>0</v>
      </c>
      <c r="H8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5" s="21">
        <f>IFERROR(Tabla54[[#This Row],[Atendidas]]/Tabla54[[#This Row],[Recibidas]],0)</f>
        <v>0</v>
      </c>
    </row>
    <row r="896" spans="2:9" x14ac:dyDescent="0.3">
      <c r="B896" s="27">
        <f t="shared" si="38"/>
        <v>46222</v>
      </c>
      <c r="C896" s="18">
        <v>0.54166666666666696</v>
      </c>
      <c r="D896" s="19">
        <f>+SUMIFS(Regiones[Ofrecidas],Regiones[Fecha],Tabla54[[#This Row],[Fecha]],Regiones[Intervalo],Tabla54[[#This Row],[Intervalo]],Regiones[Skill],'BUPA Seguros'!$L$3)</f>
        <v>0</v>
      </c>
      <c r="E896" s="19">
        <f>+SUMIFS(Regiones[Contestadas],Regiones[Fecha],Tabla54[[#This Row],[Fecha]],Regiones[Intervalo],Tabla54[[#This Row],[Intervalo]],Regiones[Skill],'BUPA Seguros'!$L$3)</f>
        <v>0</v>
      </c>
      <c r="F896" s="20">
        <v>0</v>
      </c>
      <c r="G896" s="19">
        <f>IFERROR(SUMIFS(Regiones[TMO],Regiones[Fecha],Tabla54[[#This Row],[Fecha]],Regiones[Intervalo],Tabla54[[#This Row],[Intervalo]],Regiones[Skill],'BUPA Seguros'!$L$3)/Tabla54[[#This Row],[Atendidas]],0)</f>
        <v>0</v>
      </c>
      <c r="H8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6" s="21">
        <f>IFERROR(Tabla54[[#This Row],[Atendidas]]/Tabla54[[#This Row],[Recibidas]],0)</f>
        <v>0</v>
      </c>
    </row>
    <row r="897" spans="2:9" x14ac:dyDescent="0.3">
      <c r="B897" s="25">
        <f t="shared" si="38"/>
        <v>46222</v>
      </c>
      <c r="C897" s="26">
        <v>0.5625</v>
      </c>
      <c r="D897" s="19">
        <f>+SUMIFS(Regiones[Ofrecidas],Regiones[Fecha],Tabla54[[#This Row],[Fecha]],Regiones[Intervalo],Tabla54[[#This Row],[Intervalo]],Regiones[Skill],'BUPA Seguros'!$L$3)</f>
        <v>0</v>
      </c>
      <c r="E897" s="19">
        <f>+SUMIFS(Regiones[Contestadas],Regiones[Fecha],Tabla54[[#This Row],[Fecha]],Regiones[Intervalo],Tabla54[[#This Row],[Intervalo]],Regiones[Skill],'BUPA Seguros'!$L$3)</f>
        <v>0</v>
      </c>
      <c r="F897" s="20">
        <v>0</v>
      </c>
      <c r="G897" s="19">
        <f>IFERROR(SUMIFS(Regiones[TMO],Regiones[Fecha],Tabla54[[#This Row],[Fecha]],Regiones[Intervalo],Tabla54[[#This Row],[Intervalo]],Regiones[Skill],'BUPA Seguros'!$L$3)/Tabla54[[#This Row],[Atendidas]],0)</f>
        <v>0</v>
      </c>
      <c r="H8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7" s="21">
        <f>IFERROR(Tabla54[[#This Row],[Atendidas]]/Tabla54[[#This Row],[Recibidas]],0)</f>
        <v>0</v>
      </c>
    </row>
    <row r="898" spans="2:9" x14ac:dyDescent="0.3">
      <c r="B898" s="27">
        <f t="shared" si="38"/>
        <v>46222</v>
      </c>
      <c r="C898" s="18">
        <v>0.58333333333333304</v>
      </c>
      <c r="D898" s="19">
        <f>+SUMIFS(Regiones[Ofrecidas],Regiones[Fecha],Tabla54[[#This Row],[Fecha]],Regiones[Intervalo],Tabla54[[#This Row],[Intervalo]],Regiones[Skill],'BUPA Seguros'!$L$3)</f>
        <v>0</v>
      </c>
      <c r="E898" s="19">
        <f>+SUMIFS(Regiones[Contestadas],Regiones[Fecha],Tabla54[[#This Row],[Fecha]],Regiones[Intervalo],Tabla54[[#This Row],[Intervalo]],Regiones[Skill],'BUPA Seguros'!$L$3)</f>
        <v>0</v>
      </c>
      <c r="F898" s="20">
        <v>0</v>
      </c>
      <c r="G898" s="19">
        <f>IFERROR(SUMIFS(Regiones[TMO],Regiones[Fecha],Tabla54[[#This Row],[Fecha]],Regiones[Intervalo],Tabla54[[#This Row],[Intervalo]],Regiones[Skill],'BUPA Seguros'!$L$3)/Tabla54[[#This Row],[Atendidas]],0)</f>
        <v>0</v>
      </c>
      <c r="H8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8" s="21">
        <f>IFERROR(Tabla54[[#This Row],[Atendidas]]/Tabla54[[#This Row],[Recibidas]],0)</f>
        <v>0</v>
      </c>
    </row>
    <row r="899" spans="2:9" x14ac:dyDescent="0.3">
      <c r="B899" s="25">
        <f t="shared" si="38"/>
        <v>46222</v>
      </c>
      <c r="C899" s="26">
        <v>0.60416666666666696</v>
      </c>
      <c r="D899" s="19">
        <f>+SUMIFS(Regiones[Ofrecidas],Regiones[Fecha],Tabla54[[#This Row],[Fecha]],Regiones[Intervalo],Tabla54[[#This Row],[Intervalo]],Regiones[Skill],'BUPA Seguros'!$L$3)</f>
        <v>0</v>
      </c>
      <c r="E899" s="19">
        <f>+SUMIFS(Regiones[Contestadas],Regiones[Fecha],Tabla54[[#This Row],[Fecha]],Regiones[Intervalo],Tabla54[[#This Row],[Intervalo]],Regiones[Skill],'BUPA Seguros'!$L$3)</f>
        <v>0</v>
      </c>
      <c r="F899" s="20">
        <v>0</v>
      </c>
      <c r="G899" s="19">
        <f>IFERROR(SUMIFS(Regiones[TMO],Regiones[Fecha],Tabla54[[#This Row],[Fecha]],Regiones[Intervalo],Tabla54[[#This Row],[Intervalo]],Regiones[Skill],'BUPA Seguros'!$L$3)/Tabla54[[#This Row],[Atendidas]],0)</f>
        <v>0</v>
      </c>
      <c r="H8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899" s="21">
        <f>IFERROR(Tabla54[[#This Row],[Atendidas]]/Tabla54[[#This Row],[Recibidas]],0)</f>
        <v>0</v>
      </c>
    </row>
    <row r="900" spans="2:9" x14ac:dyDescent="0.3">
      <c r="B900" s="27">
        <f t="shared" si="38"/>
        <v>46222</v>
      </c>
      <c r="C900" s="18">
        <v>0.625</v>
      </c>
      <c r="D900" s="19">
        <f>+SUMIFS(Regiones[Ofrecidas],Regiones[Fecha],Tabla54[[#This Row],[Fecha]],Regiones[Intervalo],Tabla54[[#This Row],[Intervalo]],Regiones[Skill],'BUPA Seguros'!$L$3)</f>
        <v>0</v>
      </c>
      <c r="E900" s="19">
        <f>+SUMIFS(Regiones[Contestadas],Regiones[Fecha],Tabla54[[#This Row],[Fecha]],Regiones[Intervalo],Tabla54[[#This Row],[Intervalo]],Regiones[Skill],'BUPA Seguros'!$L$3)</f>
        <v>0</v>
      </c>
      <c r="F900" s="20">
        <v>0</v>
      </c>
      <c r="G900" s="19">
        <f>IFERROR(SUMIFS(Regiones[TMO],Regiones[Fecha],Tabla54[[#This Row],[Fecha]],Regiones[Intervalo],Tabla54[[#This Row],[Intervalo]],Regiones[Skill],'BUPA Seguros'!$L$3)/Tabla54[[#This Row],[Atendidas]],0)</f>
        <v>0</v>
      </c>
      <c r="H9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0" s="21">
        <f>IFERROR(Tabla54[[#This Row],[Atendidas]]/Tabla54[[#This Row],[Recibidas]],0)</f>
        <v>0</v>
      </c>
    </row>
    <row r="901" spans="2:9" x14ac:dyDescent="0.3">
      <c r="B901" s="25">
        <f t="shared" si="38"/>
        <v>46222</v>
      </c>
      <c r="C901" s="26">
        <v>0.64583333333333304</v>
      </c>
      <c r="D901" s="19">
        <f>+SUMIFS(Regiones[Ofrecidas],Regiones[Fecha],Tabla54[[#This Row],[Fecha]],Regiones[Intervalo],Tabla54[[#This Row],[Intervalo]],Regiones[Skill],'BUPA Seguros'!$L$3)</f>
        <v>0</v>
      </c>
      <c r="E901" s="19">
        <f>+SUMIFS(Regiones[Contestadas],Regiones[Fecha],Tabla54[[#This Row],[Fecha]],Regiones[Intervalo],Tabla54[[#This Row],[Intervalo]],Regiones[Skill],'BUPA Seguros'!$L$3)</f>
        <v>0</v>
      </c>
      <c r="F901" s="20">
        <v>0</v>
      </c>
      <c r="G901" s="19">
        <f>IFERROR(SUMIFS(Regiones[TMO],Regiones[Fecha],Tabla54[[#This Row],[Fecha]],Regiones[Intervalo],Tabla54[[#This Row],[Intervalo]],Regiones[Skill],'BUPA Seguros'!$L$3)/Tabla54[[#This Row],[Atendidas]],0)</f>
        <v>0</v>
      </c>
      <c r="H9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1" s="21">
        <f>IFERROR(Tabla54[[#This Row],[Atendidas]]/Tabla54[[#This Row],[Recibidas]],0)</f>
        <v>0</v>
      </c>
    </row>
    <row r="902" spans="2:9" x14ac:dyDescent="0.3">
      <c r="B902" s="27">
        <f t="shared" si="38"/>
        <v>46222</v>
      </c>
      <c r="C902" s="18">
        <v>0.66666666666666696</v>
      </c>
      <c r="D902" s="19">
        <f>+SUMIFS(Regiones[Ofrecidas],Regiones[Fecha],Tabla54[[#This Row],[Fecha]],Regiones[Intervalo],Tabla54[[#This Row],[Intervalo]],Regiones[Skill],'BUPA Seguros'!$L$3)</f>
        <v>0</v>
      </c>
      <c r="E902" s="19">
        <f>+SUMIFS(Regiones[Contestadas],Regiones[Fecha],Tabla54[[#This Row],[Fecha]],Regiones[Intervalo],Tabla54[[#This Row],[Intervalo]],Regiones[Skill],'BUPA Seguros'!$L$3)</f>
        <v>0</v>
      </c>
      <c r="F902" s="20">
        <v>0</v>
      </c>
      <c r="G902" s="19">
        <f>IFERROR(SUMIFS(Regiones[TMO],Regiones[Fecha],Tabla54[[#This Row],[Fecha]],Regiones[Intervalo],Tabla54[[#This Row],[Intervalo]],Regiones[Skill],'BUPA Seguros'!$L$3)/Tabla54[[#This Row],[Atendidas]],0)</f>
        <v>0</v>
      </c>
      <c r="H9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2" s="21">
        <f>IFERROR(Tabla54[[#This Row],[Atendidas]]/Tabla54[[#This Row],[Recibidas]],0)</f>
        <v>0</v>
      </c>
    </row>
    <row r="903" spans="2:9" x14ac:dyDescent="0.3">
      <c r="B903" s="25">
        <f t="shared" si="38"/>
        <v>46222</v>
      </c>
      <c r="C903" s="26">
        <v>0.6875</v>
      </c>
      <c r="D903" s="19">
        <f>+SUMIFS(Regiones[Ofrecidas],Regiones[Fecha],Tabla54[[#This Row],[Fecha]],Regiones[Intervalo],Tabla54[[#This Row],[Intervalo]],Regiones[Skill],'BUPA Seguros'!$L$3)</f>
        <v>0</v>
      </c>
      <c r="E903" s="19">
        <f>+SUMIFS(Regiones[Contestadas],Regiones[Fecha],Tabla54[[#This Row],[Fecha]],Regiones[Intervalo],Tabla54[[#This Row],[Intervalo]],Regiones[Skill],'BUPA Seguros'!$L$3)</f>
        <v>0</v>
      </c>
      <c r="F903" s="20">
        <v>0</v>
      </c>
      <c r="G903" s="19">
        <f>IFERROR(SUMIFS(Regiones[TMO],Regiones[Fecha],Tabla54[[#This Row],[Fecha]],Regiones[Intervalo],Tabla54[[#This Row],[Intervalo]],Regiones[Skill],'BUPA Seguros'!$L$3)/Tabla54[[#This Row],[Atendidas]],0)</f>
        <v>0</v>
      </c>
      <c r="H9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3" s="21">
        <f>IFERROR(Tabla54[[#This Row],[Atendidas]]/Tabla54[[#This Row],[Recibidas]],0)</f>
        <v>0</v>
      </c>
    </row>
    <row r="904" spans="2:9" x14ac:dyDescent="0.3">
      <c r="B904" s="27">
        <f t="shared" si="38"/>
        <v>46222</v>
      </c>
      <c r="C904" s="18">
        <v>0.70833333333333304</v>
      </c>
      <c r="D904" s="19">
        <f>+SUMIFS(Regiones[Ofrecidas],Regiones[Fecha],Tabla54[[#This Row],[Fecha]],Regiones[Intervalo],Tabla54[[#This Row],[Intervalo]],Regiones[Skill],'BUPA Seguros'!$L$3)</f>
        <v>0</v>
      </c>
      <c r="E904" s="19">
        <f>+SUMIFS(Regiones[Contestadas],Regiones[Fecha],Tabla54[[#This Row],[Fecha]],Regiones[Intervalo],Tabla54[[#This Row],[Intervalo]],Regiones[Skill],'BUPA Seguros'!$L$3)</f>
        <v>0</v>
      </c>
      <c r="F904" s="20">
        <v>0</v>
      </c>
      <c r="G904" s="19">
        <f>IFERROR(SUMIFS(Regiones[TMO],Regiones[Fecha],Tabla54[[#This Row],[Fecha]],Regiones[Intervalo],Tabla54[[#This Row],[Intervalo]],Regiones[Skill],'BUPA Seguros'!$L$3)/Tabla54[[#This Row],[Atendidas]],0)</f>
        <v>0</v>
      </c>
      <c r="H9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4" s="21">
        <f>IFERROR(Tabla54[[#This Row],[Atendidas]]/Tabla54[[#This Row],[Recibidas]],0)</f>
        <v>0</v>
      </c>
    </row>
    <row r="905" spans="2:9" x14ac:dyDescent="0.3">
      <c r="B905" s="25">
        <f t="shared" si="38"/>
        <v>46222</v>
      </c>
      <c r="C905" s="26">
        <v>0.72916666666666696</v>
      </c>
      <c r="D905" s="19">
        <f>+SUMIFS(Regiones[Ofrecidas],Regiones[Fecha],Tabla54[[#This Row],[Fecha]],Regiones[Intervalo],Tabla54[[#This Row],[Intervalo]],Regiones[Skill],'BUPA Seguros'!$L$3)</f>
        <v>0</v>
      </c>
      <c r="E905" s="19">
        <f>+SUMIFS(Regiones[Contestadas],Regiones[Fecha],Tabla54[[#This Row],[Fecha]],Regiones[Intervalo],Tabla54[[#This Row],[Intervalo]],Regiones[Skill],'BUPA Seguros'!$L$3)</f>
        <v>0</v>
      </c>
      <c r="F905" s="20">
        <v>0</v>
      </c>
      <c r="G905" s="19">
        <f>IFERROR(SUMIFS(Regiones[TMO],Regiones[Fecha],Tabla54[[#This Row],[Fecha]],Regiones[Intervalo],Tabla54[[#This Row],[Intervalo]],Regiones[Skill],'BUPA Seguros'!$L$3)/Tabla54[[#This Row],[Atendidas]],0)</f>
        <v>0</v>
      </c>
      <c r="H9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5" s="21">
        <f>IFERROR(Tabla54[[#This Row],[Atendidas]]/Tabla54[[#This Row],[Recibidas]],0)</f>
        <v>0</v>
      </c>
    </row>
    <row r="906" spans="2:9" x14ac:dyDescent="0.3">
      <c r="B906" s="27">
        <f t="shared" si="38"/>
        <v>46222</v>
      </c>
      <c r="C906" s="18">
        <v>0.75</v>
      </c>
      <c r="D906" s="19">
        <f>+SUMIFS(Regiones[Ofrecidas],Regiones[Fecha],Tabla54[[#This Row],[Fecha]],Regiones[Intervalo],Tabla54[[#This Row],[Intervalo]],Regiones[Skill],'BUPA Seguros'!$L$3)</f>
        <v>0</v>
      </c>
      <c r="E906" s="19">
        <f>+SUMIFS(Regiones[Contestadas],Regiones[Fecha],Tabla54[[#This Row],[Fecha]],Regiones[Intervalo],Tabla54[[#This Row],[Intervalo]],Regiones[Skill],'BUPA Seguros'!$L$3)</f>
        <v>0</v>
      </c>
      <c r="F906" s="20">
        <v>0</v>
      </c>
      <c r="G906" s="19">
        <f>IFERROR(SUMIFS(Regiones[TMO],Regiones[Fecha],Tabla54[[#This Row],[Fecha]],Regiones[Intervalo],Tabla54[[#This Row],[Intervalo]],Regiones[Skill],'BUPA Seguros'!$L$3)/Tabla54[[#This Row],[Atendidas]],0)</f>
        <v>0</v>
      </c>
      <c r="H9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6" s="21">
        <f>IFERROR(Tabla54[[#This Row],[Atendidas]]/Tabla54[[#This Row],[Recibidas]],0)</f>
        <v>0</v>
      </c>
    </row>
    <row r="907" spans="2:9" x14ac:dyDescent="0.3">
      <c r="B907" s="25">
        <f t="shared" si="38"/>
        <v>46222</v>
      </c>
      <c r="C907" s="26">
        <v>0.77083333333333304</v>
      </c>
      <c r="D907" s="19">
        <f>+SUMIFS(Regiones[Ofrecidas],Regiones[Fecha],Tabla54[[#This Row],[Fecha]],Regiones[Intervalo],Tabla54[[#This Row],[Intervalo]],Regiones[Skill],'BUPA Seguros'!$L$3)</f>
        <v>0</v>
      </c>
      <c r="E907" s="19">
        <f>+SUMIFS(Regiones[Contestadas],Regiones[Fecha],Tabla54[[#This Row],[Fecha]],Regiones[Intervalo],Tabla54[[#This Row],[Intervalo]],Regiones[Skill],'BUPA Seguros'!$L$3)</f>
        <v>0</v>
      </c>
      <c r="F907" s="20">
        <v>0</v>
      </c>
      <c r="G907" s="19">
        <f>IFERROR(SUMIFS(Regiones[TMO],Regiones[Fecha],Tabla54[[#This Row],[Fecha]],Regiones[Intervalo],Tabla54[[#This Row],[Intervalo]],Regiones[Skill],'BUPA Seguros'!$L$3)/Tabla54[[#This Row],[Atendidas]],0)</f>
        <v>0</v>
      </c>
      <c r="H9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7" s="21">
        <f>IFERROR(Tabla54[[#This Row],[Atendidas]]/Tabla54[[#This Row],[Recibidas]],0)</f>
        <v>0</v>
      </c>
    </row>
    <row r="908" spans="2:9" x14ac:dyDescent="0.3">
      <c r="B908" s="27">
        <f t="shared" si="38"/>
        <v>46222</v>
      </c>
      <c r="C908" s="18">
        <v>0.79166666666666696</v>
      </c>
      <c r="D908" s="19">
        <f>+SUMIFS(Regiones[Ofrecidas],Regiones[Fecha],Tabla54[[#This Row],[Fecha]],Regiones[Intervalo],Tabla54[[#This Row],[Intervalo]],Regiones[Skill],'BUPA Seguros'!$L$3)</f>
        <v>0</v>
      </c>
      <c r="E908" s="19">
        <f>+SUMIFS(Regiones[Contestadas],Regiones[Fecha],Tabla54[[#This Row],[Fecha]],Regiones[Intervalo],Tabla54[[#This Row],[Intervalo]],Regiones[Skill],'BUPA Seguros'!$L$3)</f>
        <v>0</v>
      </c>
      <c r="F908" s="20">
        <v>0</v>
      </c>
      <c r="G908" s="19">
        <f>IFERROR(SUMIFS(Regiones[TMO],Regiones[Fecha],Tabla54[[#This Row],[Fecha]],Regiones[Intervalo],Tabla54[[#This Row],[Intervalo]],Regiones[Skill],'BUPA Seguros'!$L$3)/Tabla54[[#This Row],[Atendidas]],0)</f>
        <v>0</v>
      </c>
      <c r="H9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8" s="21">
        <f>IFERROR(Tabla54[[#This Row],[Atendidas]]/Tabla54[[#This Row],[Recibidas]],0)</f>
        <v>0</v>
      </c>
    </row>
    <row r="909" spans="2:9" x14ac:dyDescent="0.3">
      <c r="B909" s="25">
        <f t="shared" si="38"/>
        <v>46222</v>
      </c>
      <c r="C909" s="26">
        <v>0.8125</v>
      </c>
      <c r="D909" s="19">
        <f>+SUMIFS(Regiones[Ofrecidas],Regiones[Fecha],Tabla54[[#This Row],[Fecha]],Regiones[Intervalo],Tabla54[[#This Row],[Intervalo]],Regiones[Skill],'BUPA Seguros'!$L$3)</f>
        <v>0</v>
      </c>
      <c r="E909" s="19">
        <f>+SUMIFS(Regiones[Contestadas],Regiones[Fecha],Tabla54[[#This Row],[Fecha]],Regiones[Intervalo],Tabla54[[#This Row],[Intervalo]],Regiones[Skill],'BUPA Seguros'!$L$3)</f>
        <v>0</v>
      </c>
      <c r="F909" s="20">
        <v>0</v>
      </c>
      <c r="G909" s="19">
        <f>IFERROR(SUMIFS(Regiones[TMO],Regiones[Fecha],Tabla54[[#This Row],[Fecha]],Regiones[Intervalo],Tabla54[[#This Row],[Intervalo]],Regiones[Skill],'BUPA Seguros'!$L$3)/Tabla54[[#This Row],[Atendidas]],0)</f>
        <v>0</v>
      </c>
      <c r="H9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09" s="21">
        <f>IFERROR(Tabla54[[#This Row],[Atendidas]]/Tabla54[[#This Row],[Recibidas]],0)</f>
        <v>0</v>
      </c>
    </row>
    <row r="910" spans="2:9" x14ac:dyDescent="0.3">
      <c r="B910" s="27">
        <f t="shared" si="38"/>
        <v>46222</v>
      </c>
      <c r="C910" s="18">
        <v>0.83333333333333304</v>
      </c>
      <c r="D910" s="19">
        <f>+SUMIFS(Regiones[Ofrecidas],Regiones[Fecha],Tabla54[[#This Row],[Fecha]],Regiones[Intervalo],Tabla54[[#This Row],[Intervalo]],Regiones[Skill],'BUPA Seguros'!$L$3)</f>
        <v>0</v>
      </c>
      <c r="E910" s="19">
        <f>+SUMIFS(Regiones[Contestadas],Regiones[Fecha],Tabla54[[#This Row],[Fecha]],Regiones[Intervalo],Tabla54[[#This Row],[Intervalo]],Regiones[Skill],'BUPA Seguros'!$L$3)</f>
        <v>0</v>
      </c>
      <c r="F910" s="20">
        <v>0</v>
      </c>
      <c r="G910" s="19">
        <f>IFERROR(SUMIFS(Regiones[TMO],Regiones[Fecha],Tabla54[[#This Row],[Fecha]],Regiones[Intervalo],Tabla54[[#This Row],[Intervalo]],Regiones[Skill],'BUPA Seguros'!$L$3)/Tabla54[[#This Row],[Atendidas]],0)</f>
        <v>0</v>
      </c>
      <c r="H9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0" s="21">
        <f>IFERROR(Tabla54[[#This Row],[Atendidas]]/Tabla54[[#This Row],[Recibidas]],0)</f>
        <v>0</v>
      </c>
    </row>
    <row r="911" spans="2:9" x14ac:dyDescent="0.3">
      <c r="B911" s="25">
        <f t="shared" si="38"/>
        <v>46222</v>
      </c>
      <c r="C911" s="26">
        <v>0.85416666666666696</v>
      </c>
      <c r="D911" s="19">
        <f>+SUMIFS(Regiones[Ofrecidas],Regiones[Fecha],Tabla54[[#This Row],[Fecha]],Regiones[Intervalo],Tabla54[[#This Row],[Intervalo]],Regiones[Skill],'BUPA Seguros'!$L$3)</f>
        <v>0</v>
      </c>
      <c r="E911" s="19">
        <f>+SUMIFS(Regiones[Contestadas],Regiones[Fecha],Tabla54[[#This Row],[Fecha]],Regiones[Intervalo],Tabla54[[#This Row],[Intervalo]],Regiones[Skill],'BUPA Seguros'!$L$3)</f>
        <v>0</v>
      </c>
      <c r="F911" s="20">
        <v>0</v>
      </c>
      <c r="G911" s="19">
        <f>IFERROR(SUMIFS(Regiones[TMO],Regiones[Fecha],Tabla54[[#This Row],[Fecha]],Regiones[Intervalo],Tabla54[[#This Row],[Intervalo]],Regiones[Skill],'BUPA Seguros'!$L$3)/Tabla54[[#This Row],[Atendidas]],0)</f>
        <v>0</v>
      </c>
      <c r="H9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1" s="21">
        <f>IFERROR(Tabla54[[#This Row],[Atendidas]]/Tabla54[[#This Row],[Recibidas]],0)</f>
        <v>0</v>
      </c>
    </row>
    <row r="912" spans="2:9" x14ac:dyDescent="0.3">
      <c r="B912" s="27">
        <f t="shared" si="38"/>
        <v>46222</v>
      </c>
      <c r="C912" s="18">
        <v>0.875</v>
      </c>
      <c r="D912" s="19">
        <f>+SUMIFS(Regiones[Ofrecidas],Regiones[Fecha],Tabla54[[#This Row],[Fecha]],Regiones[Intervalo],Tabla54[[#This Row],[Intervalo]],Regiones[Skill],'BUPA Seguros'!$L$3)</f>
        <v>0</v>
      </c>
      <c r="E912" s="19">
        <f>+SUMIFS(Regiones[Contestadas],Regiones[Fecha],Tabla54[[#This Row],[Fecha]],Regiones[Intervalo],Tabla54[[#This Row],[Intervalo]],Regiones[Skill],'BUPA Seguros'!$L$3)</f>
        <v>0</v>
      </c>
      <c r="F912" s="20">
        <v>0</v>
      </c>
      <c r="G912" s="19">
        <f>IFERROR(SUMIFS(Regiones[TMO],Regiones[Fecha],Tabla54[[#This Row],[Fecha]],Regiones[Intervalo],Tabla54[[#This Row],[Intervalo]],Regiones[Skill],'BUPA Seguros'!$L$3)/Tabla54[[#This Row],[Atendidas]],0)</f>
        <v>0</v>
      </c>
      <c r="H9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2" s="21">
        <f>IFERROR(Tabla54[[#This Row],[Atendidas]]/Tabla54[[#This Row],[Recibidas]],0)</f>
        <v>0</v>
      </c>
    </row>
    <row r="913" spans="2:9" x14ac:dyDescent="0.3">
      <c r="B913" s="25">
        <f t="shared" si="38"/>
        <v>46222</v>
      </c>
      <c r="C913" s="26">
        <v>0.89583333333333304</v>
      </c>
      <c r="D913" s="19">
        <f>+SUMIFS(Regiones[Ofrecidas],Regiones[Fecha],Tabla54[[#This Row],[Fecha]],Regiones[Intervalo],Tabla54[[#This Row],[Intervalo]],Regiones[Skill],'BUPA Seguros'!$L$3)</f>
        <v>0</v>
      </c>
      <c r="E913" s="19">
        <f>+SUMIFS(Regiones[Contestadas],Regiones[Fecha],Tabla54[[#This Row],[Fecha]],Regiones[Intervalo],Tabla54[[#This Row],[Intervalo]],Regiones[Skill],'BUPA Seguros'!$L$3)</f>
        <v>0</v>
      </c>
      <c r="F913" s="20">
        <v>0</v>
      </c>
      <c r="G913" s="19">
        <f>IFERROR(SUMIFS(Regiones[TMO],Regiones[Fecha],Tabla54[[#This Row],[Fecha]],Regiones[Intervalo],Tabla54[[#This Row],[Intervalo]],Regiones[Skill],'BUPA Seguros'!$L$3)/Tabla54[[#This Row],[Atendidas]],0)</f>
        <v>0</v>
      </c>
      <c r="H9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3" s="21">
        <f>IFERROR(Tabla54[[#This Row],[Atendidas]]/Tabla54[[#This Row],[Recibidas]],0)</f>
        <v>0</v>
      </c>
    </row>
    <row r="914" spans="2:9" x14ac:dyDescent="0.3">
      <c r="B914" s="27">
        <f t="shared" si="38"/>
        <v>46222</v>
      </c>
      <c r="C914" s="18">
        <v>0.91666666666666696</v>
      </c>
      <c r="D914" s="19">
        <f>+SUMIFS(Regiones[Ofrecidas],Regiones[Fecha],Tabla54[[#This Row],[Fecha]],Regiones[Intervalo],Tabla54[[#This Row],[Intervalo]],Regiones[Skill],'BUPA Seguros'!$L$3)</f>
        <v>0</v>
      </c>
      <c r="E914" s="19">
        <f>+SUMIFS(Regiones[Contestadas],Regiones[Fecha],Tabla54[[#This Row],[Fecha]],Regiones[Intervalo],Tabla54[[#This Row],[Intervalo]],Regiones[Skill],'BUPA Seguros'!$L$3)</f>
        <v>0</v>
      </c>
      <c r="F914" s="20">
        <v>0</v>
      </c>
      <c r="G914" s="19">
        <f>IFERROR(SUMIFS(Regiones[TMO],Regiones[Fecha],Tabla54[[#This Row],[Fecha]],Regiones[Intervalo],Tabla54[[#This Row],[Intervalo]],Regiones[Skill],'BUPA Seguros'!$L$3)/Tabla54[[#This Row],[Atendidas]],0)</f>
        <v>0</v>
      </c>
      <c r="H9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4" s="21">
        <f>IFERROR(Tabla54[[#This Row],[Atendidas]]/Tabla54[[#This Row],[Recibidas]],0)</f>
        <v>0</v>
      </c>
    </row>
    <row r="915" spans="2:9" x14ac:dyDescent="0.3">
      <c r="B915" s="25">
        <f t="shared" si="38"/>
        <v>46222</v>
      </c>
      <c r="C915" s="26">
        <v>0.9375</v>
      </c>
      <c r="D915" s="19">
        <f>+SUMIFS(Regiones[Ofrecidas],Regiones[Fecha],Tabla54[[#This Row],[Fecha]],Regiones[Intervalo],Tabla54[[#This Row],[Intervalo]],Regiones[Skill],'BUPA Seguros'!$L$3)</f>
        <v>0</v>
      </c>
      <c r="E915" s="19">
        <f>+SUMIFS(Regiones[Contestadas],Regiones[Fecha],Tabla54[[#This Row],[Fecha]],Regiones[Intervalo],Tabla54[[#This Row],[Intervalo]],Regiones[Skill],'BUPA Seguros'!$L$3)</f>
        <v>0</v>
      </c>
      <c r="F915" s="20">
        <v>0</v>
      </c>
      <c r="G915" s="19">
        <f>IFERROR(SUMIFS(Regiones[TMO],Regiones[Fecha],Tabla54[[#This Row],[Fecha]],Regiones[Intervalo],Tabla54[[#This Row],[Intervalo]],Regiones[Skill],'BUPA Seguros'!$L$3)/Tabla54[[#This Row],[Atendidas]],0)</f>
        <v>0</v>
      </c>
      <c r="H9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5" s="21">
        <f>IFERROR(Tabla54[[#This Row],[Atendidas]]/Tabla54[[#This Row],[Recibidas]],0)</f>
        <v>0</v>
      </c>
    </row>
    <row r="916" spans="2:9" x14ac:dyDescent="0.3">
      <c r="B916" s="27">
        <f t="shared" si="38"/>
        <v>46222</v>
      </c>
      <c r="C916" s="18">
        <v>0.95833333333333304</v>
      </c>
      <c r="D916" s="19">
        <f>+SUMIFS(Regiones[Ofrecidas],Regiones[Fecha],Tabla54[[#This Row],[Fecha]],Regiones[Intervalo],Tabla54[[#This Row],[Intervalo]],Regiones[Skill],'BUPA Seguros'!$L$3)</f>
        <v>0</v>
      </c>
      <c r="E916" s="19">
        <f>+SUMIFS(Regiones[Contestadas],Regiones[Fecha],Tabla54[[#This Row],[Fecha]],Regiones[Intervalo],Tabla54[[#This Row],[Intervalo]],Regiones[Skill],'BUPA Seguros'!$L$3)</f>
        <v>0</v>
      </c>
      <c r="F916" s="20">
        <v>0</v>
      </c>
      <c r="G916" s="19">
        <f>IFERROR(SUMIFS(Regiones[TMO],Regiones[Fecha],Tabla54[[#This Row],[Fecha]],Regiones[Intervalo],Tabla54[[#This Row],[Intervalo]],Regiones[Skill],'BUPA Seguros'!$L$3)/Tabla54[[#This Row],[Atendidas]],0)</f>
        <v>0</v>
      </c>
      <c r="H9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6" s="21">
        <f>IFERROR(Tabla54[[#This Row],[Atendidas]]/Tabla54[[#This Row],[Recibidas]],0)</f>
        <v>0</v>
      </c>
    </row>
    <row r="917" spans="2:9" x14ac:dyDescent="0.3">
      <c r="B917" s="25">
        <f t="shared" si="38"/>
        <v>46222</v>
      </c>
      <c r="C917" s="26">
        <v>0.97916666666666696</v>
      </c>
      <c r="D917" s="19">
        <f>+SUMIFS(Regiones[Ofrecidas],Regiones[Fecha],Tabla54[[#This Row],[Fecha]],Regiones[Intervalo],Tabla54[[#This Row],[Intervalo]],Regiones[Skill],'BUPA Seguros'!$L$3)</f>
        <v>0</v>
      </c>
      <c r="E917" s="19">
        <f>+SUMIFS(Regiones[Contestadas],Regiones[Fecha],Tabla54[[#This Row],[Fecha]],Regiones[Intervalo],Tabla54[[#This Row],[Intervalo]],Regiones[Skill],'BUPA Seguros'!$L$3)</f>
        <v>0</v>
      </c>
      <c r="F917" s="20">
        <v>0</v>
      </c>
      <c r="G917" s="19">
        <f>IFERROR(SUMIFS(Regiones[TMO],Regiones[Fecha],Tabla54[[#This Row],[Fecha]],Regiones[Intervalo],Tabla54[[#This Row],[Intervalo]],Regiones[Skill],'BUPA Seguros'!$L$3)/Tabla54[[#This Row],[Atendidas]],0)</f>
        <v>0</v>
      </c>
      <c r="H9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7" s="21">
        <f>IFERROR(Tabla54[[#This Row],[Atendidas]]/Tabla54[[#This Row],[Recibidas]],0)</f>
        <v>0</v>
      </c>
    </row>
    <row r="918" spans="2:9" x14ac:dyDescent="0.3">
      <c r="B918" s="27">
        <f t="shared" ref="B918" si="39">+B917+1</f>
        <v>46223</v>
      </c>
      <c r="C918" s="18">
        <v>0</v>
      </c>
      <c r="D918" s="19">
        <f>+SUMIFS(Regiones[Ofrecidas],Regiones[Fecha],Tabla54[[#This Row],[Fecha]],Regiones[Intervalo],Tabla54[[#This Row],[Intervalo]],Regiones[Skill],'BUPA Seguros'!$L$3)</f>
        <v>0</v>
      </c>
      <c r="E918" s="19">
        <f>+SUMIFS(Regiones[Contestadas],Regiones[Fecha],Tabla54[[#This Row],[Fecha]],Regiones[Intervalo],Tabla54[[#This Row],[Intervalo]],Regiones[Skill],'BUPA Seguros'!$L$3)</f>
        <v>0</v>
      </c>
      <c r="F918" s="20">
        <v>0</v>
      </c>
      <c r="G918" s="19">
        <f>IFERROR(SUMIFS(Regiones[TMO],Regiones[Fecha],Tabla54[[#This Row],[Fecha]],Regiones[Intervalo],Tabla54[[#This Row],[Intervalo]],Regiones[Skill],'BUPA Seguros'!$L$3)/Tabla54[[#This Row],[Atendidas]],0)</f>
        <v>0</v>
      </c>
      <c r="H9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8" s="21">
        <f>IFERROR(Tabla54[[#This Row],[Atendidas]]/Tabla54[[#This Row],[Recibidas]],0)</f>
        <v>0</v>
      </c>
    </row>
    <row r="919" spans="2:9" x14ac:dyDescent="0.3">
      <c r="B919" s="25">
        <f t="shared" ref="B919" si="40">+B918</f>
        <v>46223</v>
      </c>
      <c r="C919" s="26">
        <v>2.0833333333333332E-2</v>
      </c>
      <c r="D919" s="19">
        <f>+SUMIFS(Regiones[Ofrecidas],Regiones[Fecha],Tabla54[[#This Row],[Fecha]],Regiones[Intervalo],Tabla54[[#This Row],[Intervalo]],Regiones[Skill],'BUPA Seguros'!$L$3)</f>
        <v>0</v>
      </c>
      <c r="E919" s="19">
        <f>+SUMIFS(Regiones[Contestadas],Regiones[Fecha],Tabla54[[#This Row],[Fecha]],Regiones[Intervalo],Tabla54[[#This Row],[Intervalo]],Regiones[Skill],'BUPA Seguros'!$L$3)</f>
        <v>0</v>
      </c>
      <c r="F919" s="20">
        <v>0</v>
      </c>
      <c r="G919" s="19">
        <f>IFERROR(SUMIFS(Regiones[TMO],Regiones[Fecha],Tabla54[[#This Row],[Fecha]],Regiones[Intervalo],Tabla54[[#This Row],[Intervalo]],Regiones[Skill],'BUPA Seguros'!$L$3)/Tabla54[[#This Row],[Atendidas]],0)</f>
        <v>0</v>
      </c>
      <c r="H9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19" s="21">
        <f>IFERROR(Tabla54[[#This Row],[Atendidas]]/Tabla54[[#This Row],[Recibidas]],0)</f>
        <v>0</v>
      </c>
    </row>
    <row r="920" spans="2:9" x14ac:dyDescent="0.3">
      <c r="B920" s="27">
        <f t="shared" si="38"/>
        <v>46223</v>
      </c>
      <c r="C920" s="18">
        <v>4.1666666666666699E-2</v>
      </c>
      <c r="D920" s="19">
        <f>+SUMIFS(Regiones[Ofrecidas],Regiones[Fecha],Tabla54[[#This Row],[Fecha]],Regiones[Intervalo],Tabla54[[#This Row],[Intervalo]],Regiones[Skill],'BUPA Seguros'!$L$3)</f>
        <v>0</v>
      </c>
      <c r="E920" s="19">
        <f>+SUMIFS(Regiones[Contestadas],Regiones[Fecha],Tabla54[[#This Row],[Fecha]],Regiones[Intervalo],Tabla54[[#This Row],[Intervalo]],Regiones[Skill],'BUPA Seguros'!$L$3)</f>
        <v>0</v>
      </c>
      <c r="F920" s="20">
        <v>0</v>
      </c>
      <c r="G920" s="19">
        <f>IFERROR(SUMIFS(Regiones[TMO],Regiones[Fecha],Tabla54[[#This Row],[Fecha]],Regiones[Intervalo],Tabla54[[#This Row],[Intervalo]],Regiones[Skill],'BUPA Seguros'!$L$3)/Tabla54[[#This Row],[Atendidas]],0)</f>
        <v>0</v>
      </c>
      <c r="H9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0" s="21">
        <f>IFERROR(Tabla54[[#This Row],[Atendidas]]/Tabla54[[#This Row],[Recibidas]],0)</f>
        <v>0</v>
      </c>
    </row>
    <row r="921" spans="2:9" x14ac:dyDescent="0.3">
      <c r="B921" s="25">
        <f t="shared" si="38"/>
        <v>46223</v>
      </c>
      <c r="C921" s="26">
        <v>6.25E-2</v>
      </c>
      <c r="D921" s="19">
        <f>+SUMIFS(Regiones[Ofrecidas],Regiones[Fecha],Tabla54[[#This Row],[Fecha]],Regiones[Intervalo],Tabla54[[#This Row],[Intervalo]],Regiones[Skill],'BUPA Seguros'!$L$3)</f>
        <v>0</v>
      </c>
      <c r="E921" s="19">
        <f>+SUMIFS(Regiones[Contestadas],Regiones[Fecha],Tabla54[[#This Row],[Fecha]],Regiones[Intervalo],Tabla54[[#This Row],[Intervalo]],Regiones[Skill],'BUPA Seguros'!$L$3)</f>
        <v>0</v>
      </c>
      <c r="F921" s="20">
        <v>0</v>
      </c>
      <c r="G921" s="19">
        <f>IFERROR(SUMIFS(Regiones[TMO],Regiones[Fecha],Tabla54[[#This Row],[Fecha]],Regiones[Intervalo],Tabla54[[#This Row],[Intervalo]],Regiones[Skill],'BUPA Seguros'!$L$3)/Tabla54[[#This Row],[Atendidas]],0)</f>
        <v>0</v>
      </c>
      <c r="H9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1" s="21">
        <f>IFERROR(Tabla54[[#This Row],[Atendidas]]/Tabla54[[#This Row],[Recibidas]],0)</f>
        <v>0</v>
      </c>
    </row>
    <row r="922" spans="2:9" x14ac:dyDescent="0.3">
      <c r="B922" s="27">
        <f t="shared" si="38"/>
        <v>46223</v>
      </c>
      <c r="C922" s="18">
        <v>8.3333333333333301E-2</v>
      </c>
      <c r="D922" s="19">
        <f>+SUMIFS(Regiones[Ofrecidas],Regiones[Fecha],Tabla54[[#This Row],[Fecha]],Regiones[Intervalo],Tabla54[[#This Row],[Intervalo]],Regiones[Skill],'BUPA Seguros'!$L$3)</f>
        <v>0</v>
      </c>
      <c r="E922" s="19">
        <f>+SUMIFS(Regiones[Contestadas],Regiones[Fecha],Tabla54[[#This Row],[Fecha]],Regiones[Intervalo],Tabla54[[#This Row],[Intervalo]],Regiones[Skill],'BUPA Seguros'!$L$3)</f>
        <v>0</v>
      </c>
      <c r="F922" s="20">
        <v>0</v>
      </c>
      <c r="G922" s="19">
        <f>IFERROR(SUMIFS(Regiones[TMO],Regiones[Fecha],Tabla54[[#This Row],[Fecha]],Regiones[Intervalo],Tabla54[[#This Row],[Intervalo]],Regiones[Skill],'BUPA Seguros'!$L$3)/Tabla54[[#This Row],[Atendidas]],0)</f>
        <v>0</v>
      </c>
      <c r="H9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2" s="21">
        <f>IFERROR(Tabla54[[#This Row],[Atendidas]]/Tabla54[[#This Row],[Recibidas]],0)</f>
        <v>0</v>
      </c>
    </row>
    <row r="923" spans="2:9" x14ac:dyDescent="0.3">
      <c r="B923" s="25">
        <f t="shared" si="38"/>
        <v>46223</v>
      </c>
      <c r="C923" s="26">
        <v>0.104166666666667</v>
      </c>
      <c r="D923" s="19">
        <f>+SUMIFS(Regiones[Ofrecidas],Regiones[Fecha],Tabla54[[#This Row],[Fecha]],Regiones[Intervalo],Tabla54[[#This Row],[Intervalo]],Regiones[Skill],'BUPA Seguros'!$L$3)</f>
        <v>0</v>
      </c>
      <c r="E923" s="19">
        <f>+SUMIFS(Regiones[Contestadas],Regiones[Fecha],Tabla54[[#This Row],[Fecha]],Regiones[Intervalo],Tabla54[[#This Row],[Intervalo]],Regiones[Skill],'BUPA Seguros'!$L$3)</f>
        <v>0</v>
      </c>
      <c r="F923" s="20">
        <v>0</v>
      </c>
      <c r="G923" s="19">
        <f>IFERROR(SUMIFS(Regiones[TMO],Regiones[Fecha],Tabla54[[#This Row],[Fecha]],Regiones[Intervalo],Tabla54[[#This Row],[Intervalo]],Regiones[Skill],'BUPA Seguros'!$L$3)/Tabla54[[#This Row],[Atendidas]],0)</f>
        <v>0</v>
      </c>
      <c r="H9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3" s="21">
        <f>IFERROR(Tabla54[[#This Row],[Atendidas]]/Tabla54[[#This Row],[Recibidas]],0)</f>
        <v>0</v>
      </c>
    </row>
    <row r="924" spans="2:9" x14ac:dyDescent="0.3">
      <c r="B924" s="27">
        <f t="shared" si="38"/>
        <v>46223</v>
      </c>
      <c r="C924" s="18">
        <v>0.125</v>
      </c>
      <c r="D924" s="19">
        <f>+SUMIFS(Regiones[Ofrecidas],Regiones[Fecha],Tabla54[[#This Row],[Fecha]],Regiones[Intervalo],Tabla54[[#This Row],[Intervalo]],Regiones[Skill],'BUPA Seguros'!$L$3)</f>
        <v>0</v>
      </c>
      <c r="E924" s="19">
        <f>+SUMIFS(Regiones[Contestadas],Regiones[Fecha],Tabla54[[#This Row],[Fecha]],Regiones[Intervalo],Tabla54[[#This Row],[Intervalo]],Regiones[Skill],'BUPA Seguros'!$L$3)</f>
        <v>0</v>
      </c>
      <c r="F924" s="20">
        <v>0</v>
      </c>
      <c r="G924" s="19">
        <f>IFERROR(SUMIFS(Regiones[TMO],Regiones[Fecha],Tabla54[[#This Row],[Fecha]],Regiones[Intervalo],Tabla54[[#This Row],[Intervalo]],Regiones[Skill],'BUPA Seguros'!$L$3)/Tabla54[[#This Row],[Atendidas]],0)</f>
        <v>0</v>
      </c>
      <c r="H9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4" s="21">
        <f>IFERROR(Tabla54[[#This Row],[Atendidas]]/Tabla54[[#This Row],[Recibidas]],0)</f>
        <v>0</v>
      </c>
    </row>
    <row r="925" spans="2:9" x14ac:dyDescent="0.3">
      <c r="B925" s="25">
        <f t="shared" si="38"/>
        <v>46223</v>
      </c>
      <c r="C925" s="26">
        <v>0.14583333333333301</v>
      </c>
      <c r="D925" s="19">
        <f>+SUMIFS(Regiones[Ofrecidas],Regiones[Fecha],Tabla54[[#This Row],[Fecha]],Regiones[Intervalo],Tabla54[[#This Row],[Intervalo]],Regiones[Skill],'BUPA Seguros'!$L$3)</f>
        <v>0</v>
      </c>
      <c r="E925" s="19">
        <f>+SUMIFS(Regiones[Contestadas],Regiones[Fecha],Tabla54[[#This Row],[Fecha]],Regiones[Intervalo],Tabla54[[#This Row],[Intervalo]],Regiones[Skill],'BUPA Seguros'!$L$3)</f>
        <v>0</v>
      </c>
      <c r="F925" s="20">
        <v>0</v>
      </c>
      <c r="G925" s="19">
        <f>IFERROR(SUMIFS(Regiones[TMO],Regiones[Fecha],Tabla54[[#This Row],[Fecha]],Regiones[Intervalo],Tabla54[[#This Row],[Intervalo]],Regiones[Skill],'BUPA Seguros'!$L$3)/Tabla54[[#This Row],[Atendidas]],0)</f>
        <v>0</v>
      </c>
      <c r="H9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5" s="21">
        <f>IFERROR(Tabla54[[#This Row],[Atendidas]]/Tabla54[[#This Row],[Recibidas]],0)</f>
        <v>0</v>
      </c>
    </row>
    <row r="926" spans="2:9" x14ac:dyDescent="0.3">
      <c r="B926" s="27">
        <f t="shared" si="38"/>
        <v>46223</v>
      </c>
      <c r="C926" s="18">
        <v>0.16666666666666699</v>
      </c>
      <c r="D926" s="19">
        <f>+SUMIFS(Regiones[Ofrecidas],Regiones[Fecha],Tabla54[[#This Row],[Fecha]],Regiones[Intervalo],Tabla54[[#This Row],[Intervalo]],Regiones[Skill],'BUPA Seguros'!$L$3)</f>
        <v>0</v>
      </c>
      <c r="E926" s="19">
        <f>+SUMIFS(Regiones[Contestadas],Regiones[Fecha],Tabla54[[#This Row],[Fecha]],Regiones[Intervalo],Tabla54[[#This Row],[Intervalo]],Regiones[Skill],'BUPA Seguros'!$L$3)</f>
        <v>0</v>
      </c>
      <c r="F926" s="20">
        <v>0</v>
      </c>
      <c r="G926" s="19">
        <f>IFERROR(SUMIFS(Regiones[TMO],Regiones[Fecha],Tabla54[[#This Row],[Fecha]],Regiones[Intervalo],Tabla54[[#This Row],[Intervalo]],Regiones[Skill],'BUPA Seguros'!$L$3)/Tabla54[[#This Row],[Atendidas]],0)</f>
        <v>0</v>
      </c>
      <c r="H9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6" s="21">
        <f>IFERROR(Tabla54[[#This Row],[Atendidas]]/Tabla54[[#This Row],[Recibidas]],0)</f>
        <v>0</v>
      </c>
    </row>
    <row r="927" spans="2:9" x14ac:dyDescent="0.3">
      <c r="B927" s="25">
        <f t="shared" si="38"/>
        <v>46223</v>
      </c>
      <c r="C927" s="26">
        <v>0.1875</v>
      </c>
      <c r="D927" s="19">
        <f>+SUMIFS(Regiones[Ofrecidas],Regiones[Fecha],Tabla54[[#This Row],[Fecha]],Regiones[Intervalo],Tabla54[[#This Row],[Intervalo]],Regiones[Skill],'BUPA Seguros'!$L$3)</f>
        <v>0</v>
      </c>
      <c r="E927" s="19">
        <f>+SUMIFS(Regiones[Contestadas],Regiones[Fecha],Tabla54[[#This Row],[Fecha]],Regiones[Intervalo],Tabla54[[#This Row],[Intervalo]],Regiones[Skill],'BUPA Seguros'!$L$3)</f>
        <v>0</v>
      </c>
      <c r="F927" s="20">
        <v>0</v>
      </c>
      <c r="G927" s="19">
        <f>IFERROR(SUMIFS(Regiones[TMO],Regiones[Fecha],Tabla54[[#This Row],[Fecha]],Regiones[Intervalo],Tabla54[[#This Row],[Intervalo]],Regiones[Skill],'BUPA Seguros'!$L$3)/Tabla54[[#This Row],[Atendidas]],0)</f>
        <v>0</v>
      </c>
      <c r="H9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7" s="21">
        <f>IFERROR(Tabla54[[#This Row],[Atendidas]]/Tabla54[[#This Row],[Recibidas]],0)</f>
        <v>0</v>
      </c>
    </row>
    <row r="928" spans="2:9" x14ac:dyDescent="0.3">
      <c r="B928" s="27">
        <f t="shared" si="38"/>
        <v>46223</v>
      </c>
      <c r="C928" s="18">
        <v>0.20833333333333301</v>
      </c>
      <c r="D928" s="19">
        <f>+SUMIFS(Regiones[Ofrecidas],Regiones[Fecha],Tabla54[[#This Row],[Fecha]],Regiones[Intervalo],Tabla54[[#This Row],[Intervalo]],Regiones[Skill],'BUPA Seguros'!$L$3)</f>
        <v>0</v>
      </c>
      <c r="E928" s="19">
        <f>+SUMIFS(Regiones[Contestadas],Regiones[Fecha],Tabla54[[#This Row],[Fecha]],Regiones[Intervalo],Tabla54[[#This Row],[Intervalo]],Regiones[Skill],'BUPA Seguros'!$L$3)</f>
        <v>0</v>
      </c>
      <c r="F928" s="20">
        <v>0</v>
      </c>
      <c r="G928" s="19">
        <f>IFERROR(SUMIFS(Regiones[TMO],Regiones[Fecha],Tabla54[[#This Row],[Fecha]],Regiones[Intervalo],Tabla54[[#This Row],[Intervalo]],Regiones[Skill],'BUPA Seguros'!$L$3)/Tabla54[[#This Row],[Atendidas]],0)</f>
        <v>0</v>
      </c>
      <c r="H9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8" s="21">
        <f>IFERROR(Tabla54[[#This Row],[Atendidas]]/Tabla54[[#This Row],[Recibidas]],0)</f>
        <v>0</v>
      </c>
    </row>
    <row r="929" spans="2:9" x14ac:dyDescent="0.3">
      <c r="B929" s="25">
        <f t="shared" si="38"/>
        <v>46223</v>
      </c>
      <c r="C929" s="26">
        <v>0.22916666666666699</v>
      </c>
      <c r="D929" s="19">
        <f>+SUMIFS(Regiones[Ofrecidas],Regiones[Fecha],Tabla54[[#This Row],[Fecha]],Regiones[Intervalo],Tabla54[[#This Row],[Intervalo]],Regiones[Skill],'BUPA Seguros'!$L$3)</f>
        <v>0</v>
      </c>
      <c r="E929" s="19">
        <f>+SUMIFS(Regiones[Contestadas],Regiones[Fecha],Tabla54[[#This Row],[Fecha]],Regiones[Intervalo],Tabla54[[#This Row],[Intervalo]],Regiones[Skill],'BUPA Seguros'!$L$3)</f>
        <v>0</v>
      </c>
      <c r="F929" s="20">
        <v>0</v>
      </c>
      <c r="G929" s="19">
        <f>IFERROR(SUMIFS(Regiones[TMO],Regiones[Fecha],Tabla54[[#This Row],[Fecha]],Regiones[Intervalo],Tabla54[[#This Row],[Intervalo]],Regiones[Skill],'BUPA Seguros'!$L$3)/Tabla54[[#This Row],[Atendidas]],0)</f>
        <v>0</v>
      </c>
      <c r="H9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29" s="21">
        <f>IFERROR(Tabla54[[#This Row],[Atendidas]]/Tabla54[[#This Row],[Recibidas]],0)</f>
        <v>0</v>
      </c>
    </row>
    <row r="930" spans="2:9" x14ac:dyDescent="0.3">
      <c r="B930" s="27">
        <f t="shared" si="38"/>
        <v>46223</v>
      </c>
      <c r="C930" s="18">
        <v>0.25</v>
      </c>
      <c r="D930" s="19">
        <f>+SUMIFS(Regiones[Ofrecidas],Regiones[Fecha],Tabla54[[#This Row],[Fecha]],Regiones[Intervalo],Tabla54[[#This Row],[Intervalo]],Regiones[Skill],'BUPA Seguros'!$L$3)</f>
        <v>0</v>
      </c>
      <c r="E930" s="19">
        <f>+SUMIFS(Regiones[Contestadas],Regiones[Fecha],Tabla54[[#This Row],[Fecha]],Regiones[Intervalo],Tabla54[[#This Row],[Intervalo]],Regiones[Skill],'BUPA Seguros'!$L$3)</f>
        <v>0</v>
      </c>
      <c r="F930" s="20">
        <v>0</v>
      </c>
      <c r="G930" s="19">
        <f>IFERROR(SUMIFS(Regiones[TMO],Regiones[Fecha],Tabla54[[#This Row],[Fecha]],Regiones[Intervalo],Tabla54[[#This Row],[Intervalo]],Regiones[Skill],'BUPA Seguros'!$L$3)/Tabla54[[#This Row],[Atendidas]],0)</f>
        <v>0</v>
      </c>
      <c r="H9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0" s="21">
        <f>IFERROR(Tabla54[[#This Row],[Atendidas]]/Tabla54[[#This Row],[Recibidas]],0)</f>
        <v>0</v>
      </c>
    </row>
    <row r="931" spans="2:9" x14ac:dyDescent="0.3">
      <c r="B931" s="25">
        <f t="shared" si="38"/>
        <v>46223</v>
      </c>
      <c r="C931" s="26">
        <v>0.27083333333333298</v>
      </c>
      <c r="D931" s="19">
        <f>+SUMIFS(Regiones[Ofrecidas],Regiones[Fecha],Tabla54[[#This Row],[Fecha]],Regiones[Intervalo],Tabla54[[#This Row],[Intervalo]],Regiones[Skill],'BUPA Seguros'!$L$3)</f>
        <v>0</v>
      </c>
      <c r="E931" s="19">
        <f>+SUMIFS(Regiones[Contestadas],Regiones[Fecha],Tabla54[[#This Row],[Fecha]],Regiones[Intervalo],Tabla54[[#This Row],[Intervalo]],Regiones[Skill],'BUPA Seguros'!$L$3)</f>
        <v>0</v>
      </c>
      <c r="F931" s="20">
        <v>0</v>
      </c>
      <c r="G931" s="19">
        <f>IFERROR(SUMIFS(Regiones[TMO],Regiones[Fecha],Tabla54[[#This Row],[Fecha]],Regiones[Intervalo],Tabla54[[#This Row],[Intervalo]],Regiones[Skill],'BUPA Seguros'!$L$3)/Tabla54[[#This Row],[Atendidas]],0)</f>
        <v>0</v>
      </c>
      <c r="H9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1" s="21">
        <f>IFERROR(Tabla54[[#This Row],[Atendidas]]/Tabla54[[#This Row],[Recibidas]],0)</f>
        <v>0</v>
      </c>
    </row>
    <row r="932" spans="2:9" x14ac:dyDescent="0.3">
      <c r="B932" s="27">
        <f t="shared" si="38"/>
        <v>46223</v>
      </c>
      <c r="C932" s="18">
        <v>0.29166666666666702</v>
      </c>
      <c r="D932" s="19">
        <f>+SUMIFS(Regiones[Ofrecidas],Regiones[Fecha],Tabla54[[#This Row],[Fecha]],Regiones[Intervalo],Tabla54[[#This Row],[Intervalo]],Regiones[Skill],'BUPA Seguros'!$L$3)</f>
        <v>0</v>
      </c>
      <c r="E932" s="19">
        <f>+SUMIFS(Regiones[Contestadas],Regiones[Fecha],Tabla54[[#This Row],[Fecha]],Regiones[Intervalo],Tabla54[[#This Row],[Intervalo]],Regiones[Skill],'BUPA Seguros'!$L$3)</f>
        <v>0</v>
      </c>
      <c r="F932" s="20">
        <v>0</v>
      </c>
      <c r="G932" s="19">
        <f>IFERROR(SUMIFS(Regiones[TMO],Regiones[Fecha],Tabla54[[#This Row],[Fecha]],Regiones[Intervalo],Tabla54[[#This Row],[Intervalo]],Regiones[Skill],'BUPA Seguros'!$L$3)/Tabla54[[#This Row],[Atendidas]],0)</f>
        <v>0</v>
      </c>
      <c r="H9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2" s="21">
        <f>IFERROR(Tabla54[[#This Row],[Atendidas]]/Tabla54[[#This Row],[Recibidas]],0)</f>
        <v>0</v>
      </c>
    </row>
    <row r="933" spans="2:9" x14ac:dyDescent="0.3">
      <c r="B933" s="25">
        <f t="shared" si="38"/>
        <v>46223</v>
      </c>
      <c r="C933" s="26">
        <v>0.3125</v>
      </c>
      <c r="D933" s="19">
        <f>+SUMIFS(Regiones[Ofrecidas],Regiones[Fecha],Tabla54[[#This Row],[Fecha]],Regiones[Intervalo],Tabla54[[#This Row],[Intervalo]],Regiones[Skill],'BUPA Seguros'!$L$3)</f>
        <v>0</v>
      </c>
      <c r="E933" s="19">
        <f>+SUMIFS(Regiones[Contestadas],Regiones[Fecha],Tabla54[[#This Row],[Fecha]],Regiones[Intervalo],Tabla54[[#This Row],[Intervalo]],Regiones[Skill],'BUPA Seguros'!$L$3)</f>
        <v>0</v>
      </c>
      <c r="F933" s="20">
        <v>0</v>
      </c>
      <c r="G933" s="19">
        <f>IFERROR(SUMIFS(Regiones[TMO],Regiones[Fecha],Tabla54[[#This Row],[Fecha]],Regiones[Intervalo],Tabla54[[#This Row],[Intervalo]],Regiones[Skill],'BUPA Seguros'!$L$3)/Tabla54[[#This Row],[Atendidas]],0)</f>
        <v>0</v>
      </c>
      <c r="H9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3" s="21">
        <f>IFERROR(Tabla54[[#This Row],[Atendidas]]/Tabla54[[#This Row],[Recibidas]],0)</f>
        <v>0</v>
      </c>
    </row>
    <row r="934" spans="2:9" x14ac:dyDescent="0.3">
      <c r="B934" s="27">
        <f t="shared" si="38"/>
        <v>46223</v>
      </c>
      <c r="C934" s="18">
        <v>0.33333333333333298</v>
      </c>
      <c r="D934" s="19">
        <f>+SUMIFS(Regiones[Ofrecidas],Regiones[Fecha],Tabla54[[#This Row],[Fecha]],Regiones[Intervalo],Tabla54[[#This Row],[Intervalo]],Regiones[Skill],'BUPA Seguros'!$L$3)</f>
        <v>0</v>
      </c>
      <c r="E934" s="19">
        <f>+SUMIFS(Regiones[Contestadas],Regiones[Fecha],Tabla54[[#This Row],[Fecha]],Regiones[Intervalo],Tabla54[[#This Row],[Intervalo]],Regiones[Skill],'BUPA Seguros'!$L$3)</f>
        <v>0</v>
      </c>
      <c r="F934" s="20">
        <v>0</v>
      </c>
      <c r="G934" s="19">
        <f>IFERROR(SUMIFS(Regiones[TMO],Regiones[Fecha],Tabla54[[#This Row],[Fecha]],Regiones[Intervalo],Tabla54[[#This Row],[Intervalo]],Regiones[Skill],'BUPA Seguros'!$L$3)/Tabla54[[#This Row],[Atendidas]],0)</f>
        <v>0</v>
      </c>
      <c r="H9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4" s="21">
        <f>IFERROR(Tabla54[[#This Row],[Atendidas]]/Tabla54[[#This Row],[Recibidas]],0)</f>
        <v>0</v>
      </c>
    </row>
    <row r="935" spans="2:9" x14ac:dyDescent="0.3">
      <c r="B935" s="25">
        <f t="shared" si="38"/>
        <v>46223</v>
      </c>
      <c r="C935" s="26">
        <v>0.35416666666666702</v>
      </c>
      <c r="D935" s="19">
        <f>+SUMIFS(Regiones[Ofrecidas],Regiones[Fecha],Tabla54[[#This Row],[Fecha]],Regiones[Intervalo],Tabla54[[#This Row],[Intervalo]],Regiones[Skill],'BUPA Seguros'!$L$3)</f>
        <v>0</v>
      </c>
      <c r="E935" s="19">
        <f>+SUMIFS(Regiones[Contestadas],Regiones[Fecha],Tabla54[[#This Row],[Fecha]],Regiones[Intervalo],Tabla54[[#This Row],[Intervalo]],Regiones[Skill],'BUPA Seguros'!$L$3)</f>
        <v>0</v>
      </c>
      <c r="F935" s="20">
        <v>0</v>
      </c>
      <c r="G935" s="19">
        <f>IFERROR(SUMIFS(Regiones[TMO],Regiones[Fecha],Tabla54[[#This Row],[Fecha]],Regiones[Intervalo],Tabla54[[#This Row],[Intervalo]],Regiones[Skill],'BUPA Seguros'!$L$3)/Tabla54[[#This Row],[Atendidas]],0)</f>
        <v>0</v>
      </c>
      <c r="H9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5" s="21">
        <f>IFERROR(Tabla54[[#This Row],[Atendidas]]/Tabla54[[#This Row],[Recibidas]],0)</f>
        <v>0</v>
      </c>
    </row>
    <row r="936" spans="2:9" x14ac:dyDescent="0.3">
      <c r="B936" s="27">
        <f t="shared" si="38"/>
        <v>46223</v>
      </c>
      <c r="C936" s="18">
        <v>0.375</v>
      </c>
      <c r="D936" s="19">
        <f>+SUMIFS(Regiones[Ofrecidas],Regiones[Fecha],Tabla54[[#This Row],[Fecha]],Regiones[Intervalo],Tabla54[[#This Row],[Intervalo]],Regiones[Skill],'BUPA Seguros'!$L$3)</f>
        <v>0</v>
      </c>
      <c r="E936" s="19">
        <f>+SUMIFS(Regiones[Contestadas],Regiones[Fecha],Tabla54[[#This Row],[Fecha]],Regiones[Intervalo],Tabla54[[#This Row],[Intervalo]],Regiones[Skill],'BUPA Seguros'!$L$3)</f>
        <v>0</v>
      </c>
      <c r="F936" s="20">
        <v>54.040933213297343</v>
      </c>
      <c r="G936" s="19">
        <f>IFERROR(SUMIFS(Regiones[TMO],Regiones[Fecha],Tabla54[[#This Row],[Fecha]],Regiones[Intervalo],Tabla54[[#This Row],[Intervalo]],Regiones[Skill],'BUPA Seguros'!$L$3)/Tabla54[[#This Row],[Atendidas]],0)</f>
        <v>0</v>
      </c>
      <c r="H9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6" s="21">
        <f>IFERROR(Tabla54[[#This Row],[Atendidas]]/Tabla54[[#This Row],[Recibidas]],0)</f>
        <v>0</v>
      </c>
    </row>
    <row r="937" spans="2:9" x14ac:dyDescent="0.3">
      <c r="B937" s="25">
        <f t="shared" si="38"/>
        <v>46223</v>
      </c>
      <c r="C937" s="26">
        <v>0.39583333333333298</v>
      </c>
      <c r="D937" s="19">
        <f>+SUMIFS(Regiones[Ofrecidas],Regiones[Fecha],Tabla54[[#This Row],[Fecha]],Regiones[Intervalo],Tabla54[[#This Row],[Intervalo]],Regiones[Skill],'BUPA Seguros'!$L$3)</f>
        <v>0</v>
      </c>
      <c r="E937" s="19">
        <f>+SUMIFS(Regiones[Contestadas],Regiones[Fecha],Tabla54[[#This Row],[Fecha]],Regiones[Intervalo],Tabla54[[#This Row],[Intervalo]],Regiones[Skill],'BUPA Seguros'!$L$3)</f>
        <v>0</v>
      </c>
      <c r="F937" s="20">
        <v>54.477627623101753</v>
      </c>
      <c r="G937" s="19">
        <f>IFERROR(SUMIFS(Regiones[TMO],Regiones[Fecha],Tabla54[[#This Row],[Fecha]],Regiones[Intervalo],Tabla54[[#This Row],[Intervalo]],Regiones[Skill],'BUPA Seguros'!$L$3)/Tabla54[[#This Row],[Atendidas]],0)</f>
        <v>0</v>
      </c>
      <c r="H9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7" s="21">
        <f>IFERROR(Tabla54[[#This Row],[Atendidas]]/Tabla54[[#This Row],[Recibidas]],0)</f>
        <v>0</v>
      </c>
    </row>
    <row r="938" spans="2:9" x14ac:dyDescent="0.3">
      <c r="B938" s="27">
        <f t="shared" si="38"/>
        <v>46223</v>
      </c>
      <c r="C938" s="18">
        <v>0.41666666666666702</v>
      </c>
      <c r="D938" s="19">
        <f>+SUMIFS(Regiones[Ofrecidas],Regiones[Fecha],Tabla54[[#This Row],[Fecha]],Regiones[Intervalo],Tabla54[[#This Row],[Intervalo]],Regiones[Skill],'BUPA Seguros'!$L$3)</f>
        <v>0</v>
      </c>
      <c r="E938" s="19">
        <f>+SUMIFS(Regiones[Contestadas],Regiones[Fecha],Tabla54[[#This Row],[Fecha]],Regiones[Intervalo],Tabla54[[#This Row],[Intervalo]],Regiones[Skill],'BUPA Seguros'!$L$3)</f>
        <v>0</v>
      </c>
      <c r="F938" s="20">
        <v>55.542070247000041</v>
      </c>
      <c r="G938" s="19">
        <f>IFERROR(SUMIFS(Regiones[TMO],Regiones[Fecha],Tabla54[[#This Row],[Fecha]],Regiones[Intervalo],Tabla54[[#This Row],[Intervalo]],Regiones[Skill],'BUPA Seguros'!$L$3)/Tabla54[[#This Row],[Atendidas]],0)</f>
        <v>0</v>
      </c>
      <c r="H9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8" s="21">
        <f>IFERROR(Tabla54[[#This Row],[Atendidas]]/Tabla54[[#This Row],[Recibidas]],0)</f>
        <v>0</v>
      </c>
    </row>
    <row r="939" spans="2:9" x14ac:dyDescent="0.3">
      <c r="B939" s="25">
        <f t="shared" si="38"/>
        <v>46223</v>
      </c>
      <c r="C939" s="26">
        <v>0.4375</v>
      </c>
      <c r="D939" s="19">
        <f>+SUMIFS(Regiones[Ofrecidas],Regiones[Fecha],Tabla54[[#This Row],[Fecha]],Regiones[Intervalo],Tabla54[[#This Row],[Intervalo]],Regiones[Skill],'BUPA Seguros'!$L$3)</f>
        <v>0</v>
      </c>
      <c r="E939" s="19">
        <f>+SUMIFS(Regiones[Contestadas],Regiones[Fecha],Tabla54[[#This Row],[Fecha]],Regiones[Intervalo],Tabla54[[#This Row],[Intervalo]],Regiones[Skill],'BUPA Seguros'!$L$3)</f>
        <v>0</v>
      </c>
      <c r="F939" s="20">
        <v>56.952229278660148</v>
      </c>
      <c r="G939" s="19">
        <f>IFERROR(SUMIFS(Regiones[TMO],Regiones[Fecha],Tabla54[[#This Row],[Fecha]],Regiones[Intervalo],Tabla54[[#This Row],[Intervalo]],Regiones[Skill],'BUPA Seguros'!$L$3)/Tabla54[[#This Row],[Atendidas]],0)</f>
        <v>0</v>
      </c>
      <c r="H9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39" s="21">
        <f>IFERROR(Tabla54[[#This Row],[Atendidas]]/Tabla54[[#This Row],[Recibidas]],0)</f>
        <v>0</v>
      </c>
    </row>
    <row r="940" spans="2:9" x14ac:dyDescent="0.3">
      <c r="B940" s="27">
        <f t="shared" si="38"/>
        <v>46223</v>
      </c>
      <c r="C940" s="18">
        <v>0.45833333333333298</v>
      </c>
      <c r="D940" s="19">
        <f>+SUMIFS(Regiones[Ofrecidas],Regiones[Fecha],Tabla54[[#This Row],[Fecha]],Regiones[Intervalo],Tabla54[[#This Row],[Intervalo]],Regiones[Skill],'BUPA Seguros'!$L$3)</f>
        <v>0</v>
      </c>
      <c r="E940" s="19">
        <f>+SUMIFS(Regiones[Contestadas],Regiones[Fecha],Tabla54[[#This Row],[Fecha]],Regiones[Intervalo],Tabla54[[#This Row],[Intervalo]],Regiones[Skill],'BUPA Seguros'!$L$3)</f>
        <v>0</v>
      </c>
      <c r="F940" s="20">
        <v>58.498855313384141</v>
      </c>
      <c r="G940" s="19">
        <f>IFERROR(SUMIFS(Regiones[TMO],Regiones[Fecha],Tabla54[[#This Row],[Fecha]],Regiones[Intervalo],Tabla54[[#This Row],[Intervalo]],Regiones[Skill],'BUPA Seguros'!$L$3)/Tabla54[[#This Row],[Atendidas]],0)</f>
        <v>0</v>
      </c>
      <c r="H9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0" s="21">
        <f>IFERROR(Tabla54[[#This Row],[Atendidas]]/Tabla54[[#This Row],[Recibidas]],0)</f>
        <v>0</v>
      </c>
    </row>
    <row r="941" spans="2:9" x14ac:dyDescent="0.3">
      <c r="B941" s="25">
        <f t="shared" si="38"/>
        <v>46223</v>
      </c>
      <c r="C941" s="26">
        <v>0.47916666666666702</v>
      </c>
      <c r="D941" s="19">
        <f>+SUMIFS(Regiones[Ofrecidas],Regiones[Fecha],Tabla54[[#This Row],[Fecha]],Regiones[Intervalo],Tabla54[[#This Row],[Intervalo]],Regiones[Skill],'BUPA Seguros'!$L$3)</f>
        <v>0</v>
      </c>
      <c r="E941" s="19">
        <f>+SUMIFS(Regiones[Contestadas],Regiones[Fecha],Tabla54[[#This Row],[Fecha]],Regiones[Intervalo],Tabla54[[#This Row],[Intervalo]],Regiones[Skill],'BUPA Seguros'!$L$3)</f>
        <v>0</v>
      </c>
      <c r="F941" s="20">
        <v>57.316141286830501</v>
      </c>
      <c r="G941" s="19">
        <f>IFERROR(SUMIFS(Regiones[TMO],Regiones[Fecha],Tabla54[[#This Row],[Fecha]],Regiones[Intervalo],Tabla54[[#This Row],[Intervalo]],Regiones[Skill],'BUPA Seguros'!$L$3)/Tabla54[[#This Row],[Atendidas]],0)</f>
        <v>0</v>
      </c>
      <c r="H9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1" s="21">
        <f>IFERROR(Tabla54[[#This Row],[Atendidas]]/Tabla54[[#This Row],[Recibidas]],0)</f>
        <v>0</v>
      </c>
    </row>
    <row r="942" spans="2:9" x14ac:dyDescent="0.3">
      <c r="B942" s="27">
        <f t="shared" si="38"/>
        <v>46223</v>
      </c>
      <c r="C942" s="18">
        <v>0.5</v>
      </c>
      <c r="D942" s="19">
        <f>+SUMIFS(Regiones[Ofrecidas],Regiones[Fecha],Tabla54[[#This Row],[Fecha]],Regiones[Intervalo],Tabla54[[#This Row],[Intervalo]],Regiones[Skill],'BUPA Seguros'!$L$3)</f>
        <v>0</v>
      </c>
      <c r="E942" s="19">
        <f>+SUMIFS(Regiones[Contestadas],Regiones[Fecha],Tabla54[[#This Row],[Fecha]],Regiones[Intervalo],Tabla54[[#This Row],[Intervalo]],Regiones[Skill],'BUPA Seguros'!$L$3)</f>
        <v>0</v>
      </c>
      <c r="F942" s="20">
        <v>56.224405262319472</v>
      </c>
      <c r="G942" s="19">
        <f>IFERROR(SUMIFS(Regiones[TMO],Regiones[Fecha],Tabla54[[#This Row],[Fecha]],Regiones[Intervalo],Tabla54[[#This Row],[Intervalo]],Regiones[Skill],'BUPA Seguros'!$L$3)/Tabla54[[#This Row],[Atendidas]],0)</f>
        <v>0</v>
      </c>
      <c r="H9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2" s="21">
        <f>IFERROR(Tabla54[[#This Row],[Atendidas]]/Tabla54[[#This Row],[Recibidas]],0)</f>
        <v>0</v>
      </c>
    </row>
    <row r="943" spans="2:9" x14ac:dyDescent="0.3">
      <c r="B943" s="25">
        <f t="shared" si="38"/>
        <v>46223</v>
      </c>
      <c r="C943" s="26">
        <v>0.52083333333333304</v>
      </c>
      <c r="D943" s="19">
        <f>+SUMIFS(Regiones[Ofrecidas],Regiones[Fecha],Tabla54[[#This Row],[Fecha]],Regiones[Intervalo],Tabla54[[#This Row],[Intervalo]],Regiones[Skill],'BUPA Seguros'!$L$3)</f>
        <v>0</v>
      </c>
      <c r="E943" s="19">
        <f>+SUMIFS(Regiones[Contestadas],Regiones[Fecha],Tabla54[[#This Row],[Fecha]],Regiones[Intervalo],Tabla54[[#This Row],[Intervalo]],Regiones[Skill],'BUPA Seguros'!$L$3)</f>
        <v>0</v>
      </c>
      <c r="F943" s="20">
        <v>52.130395170402984</v>
      </c>
      <c r="G943" s="19">
        <f>IFERROR(SUMIFS(Regiones[TMO],Regiones[Fecha],Tabla54[[#This Row],[Fecha]],Regiones[Intervalo],Tabla54[[#This Row],[Intervalo]],Regiones[Skill],'BUPA Seguros'!$L$3)/Tabla54[[#This Row],[Atendidas]],0)</f>
        <v>0</v>
      </c>
      <c r="H9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3" s="21">
        <f>IFERROR(Tabla54[[#This Row],[Atendidas]]/Tabla54[[#This Row],[Recibidas]],0)</f>
        <v>0</v>
      </c>
    </row>
    <row r="944" spans="2:9" x14ac:dyDescent="0.3">
      <c r="B944" s="27">
        <f t="shared" si="38"/>
        <v>46223</v>
      </c>
      <c r="C944" s="18">
        <v>0.54166666666666696</v>
      </c>
      <c r="D944" s="19">
        <f>+SUMIFS(Regiones[Ofrecidas],Regiones[Fecha],Tabla54[[#This Row],[Fecha]],Regiones[Intervalo],Tabla54[[#This Row],[Intervalo]],Regiones[Skill],'BUPA Seguros'!$L$3)</f>
        <v>0</v>
      </c>
      <c r="E944" s="19">
        <f>+SUMIFS(Regiones[Contestadas],Regiones[Fecha],Tabla54[[#This Row],[Fecha]],Regiones[Intervalo],Tabla54[[#This Row],[Intervalo]],Regiones[Skill],'BUPA Seguros'!$L$3)</f>
        <v>0</v>
      </c>
      <c r="F944" s="20">
        <v>49.182707904223143</v>
      </c>
      <c r="G944" s="19">
        <f>IFERROR(SUMIFS(Regiones[TMO],Regiones[Fecha],Tabla54[[#This Row],[Fecha]],Regiones[Intervalo],Tabla54[[#This Row],[Intervalo]],Regiones[Skill],'BUPA Seguros'!$L$3)/Tabla54[[#This Row],[Atendidas]],0)</f>
        <v>0</v>
      </c>
      <c r="H9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4" s="21">
        <f>IFERROR(Tabla54[[#This Row],[Atendidas]]/Tabla54[[#This Row],[Recibidas]],0)</f>
        <v>0</v>
      </c>
    </row>
    <row r="945" spans="2:9" x14ac:dyDescent="0.3">
      <c r="B945" s="25">
        <f t="shared" si="38"/>
        <v>46223</v>
      </c>
      <c r="C945" s="26">
        <v>0.5625</v>
      </c>
      <c r="D945" s="19">
        <f>+SUMIFS(Regiones[Ofrecidas],Regiones[Fecha],Tabla54[[#This Row],[Fecha]],Regiones[Intervalo],Tabla54[[#This Row],[Intervalo]],Regiones[Skill],'BUPA Seguros'!$L$3)</f>
        <v>0</v>
      </c>
      <c r="E945" s="19">
        <f>+SUMIFS(Regiones[Contestadas],Regiones[Fecha],Tabla54[[#This Row],[Fecha]],Regiones[Intervalo],Tabla54[[#This Row],[Intervalo]],Regiones[Skill],'BUPA Seguros'!$L$3)</f>
        <v>0</v>
      </c>
      <c r="F945" s="20">
        <v>45.579979023336648</v>
      </c>
      <c r="G945" s="19">
        <f>IFERROR(SUMIFS(Regiones[TMO],Regiones[Fecha],Tabla54[[#This Row],[Fecha]],Regiones[Intervalo],Tabla54[[#This Row],[Intervalo]],Regiones[Skill],'BUPA Seguros'!$L$3)/Tabla54[[#This Row],[Atendidas]],0)</f>
        <v>0</v>
      </c>
      <c r="H9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5" s="21">
        <f>IFERROR(Tabla54[[#This Row],[Atendidas]]/Tabla54[[#This Row],[Recibidas]],0)</f>
        <v>0</v>
      </c>
    </row>
    <row r="946" spans="2:9" x14ac:dyDescent="0.3">
      <c r="B946" s="27">
        <f t="shared" si="38"/>
        <v>46223</v>
      </c>
      <c r="C946" s="18">
        <v>0.58333333333333304</v>
      </c>
      <c r="D946" s="19">
        <f>+SUMIFS(Regiones[Ofrecidas],Regiones[Fecha],Tabla54[[#This Row],[Fecha]],Regiones[Intervalo],Tabla54[[#This Row],[Intervalo]],Regiones[Skill],'BUPA Seguros'!$L$3)</f>
        <v>0</v>
      </c>
      <c r="E946" s="19">
        <f>+SUMIFS(Regiones[Contestadas],Regiones[Fecha],Tabla54[[#This Row],[Fecha]],Regiones[Intervalo],Tabla54[[#This Row],[Intervalo]],Regiones[Skill],'BUPA Seguros'!$L$3)</f>
        <v>0</v>
      </c>
      <c r="F946" s="20">
        <v>43.887788185344505</v>
      </c>
      <c r="G946" s="19">
        <f>IFERROR(SUMIFS(Regiones[TMO],Regiones[Fecha],Tabla54[[#This Row],[Fecha]],Regiones[Intervalo],Tabla54[[#This Row],[Intervalo]],Regiones[Skill],'BUPA Seguros'!$L$3)/Tabla54[[#This Row],[Atendidas]],0)</f>
        <v>0</v>
      </c>
      <c r="H9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6" s="21">
        <f>IFERROR(Tabla54[[#This Row],[Atendidas]]/Tabla54[[#This Row],[Recibidas]],0)</f>
        <v>0</v>
      </c>
    </row>
    <row r="947" spans="2:9" x14ac:dyDescent="0.3">
      <c r="B947" s="25">
        <f t="shared" si="38"/>
        <v>46223</v>
      </c>
      <c r="C947" s="26">
        <v>0.60416666666666696</v>
      </c>
      <c r="D947" s="19">
        <f>+SUMIFS(Regiones[Ofrecidas],Regiones[Fecha],Tabla54[[#This Row],[Fecha]],Regiones[Intervalo],Tabla54[[#This Row],[Intervalo]],Regiones[Skill],'BUPA Seguros'!$L$3)</f>
        <v>0</v>
      </c>
      <c r="E947" s="19">
        <f>+SUMIFS(Regiones[Contestadas],Regiones[Fecha],Tabla54[[#This Row],[Fecha]],Regiones[Intervalo],Tabla54[[#This Row],[Intervalo]],Regiones[Skill],'BUPA Seguros'!$L$3)</f>
        <v>0</v>
      </c>
      <c r="F947" s="20">
        <v>42.850638962059001</v>
      </c>
      <c r="G947" s="19">
        <f>IFERROR(SUMIFS(Regiones[TMO],Regiones[Fecha],Tabla54[[#This Row],[Fecha]],Regiones[Intervalo],Tabla54[[#This Row],[Intervalo]],Regiones[Skill],'BUPA Seguros'!$L$3)/Tabla54[[#This Row],[Atendidas]],0)</f>
        <v>0</v>
      </c>
      <c r="H9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7" s="21">
        <f>IFERROR(Tabla54[[#This Row],[Atendidas]]/Tabla54[[#This Row],[Recibidas]],0)</f>
        <v>0</v>
      </c>
    </row>
    <row r="948" spans="2:9" x14ac:dyDescent="0.3">
      <c r="B948" s="27">
        <f t="shared" si="38"/>
        <v>46223</v>
      </c>
      <c r="C948" s="18">
        <v>0.625</v>
      </c>
      <c r="D948" s="19">
        <f>+SUMIFS(Regiones[Ofrecidas],Regiones[Fecha],Tabla54[[#This Row],[Fecha]],Regiones[Intervalo],Tabla54[[#This Row],[Intervalo]],Regiones[Skill],'BUPA Seguros'!$L$3)</f>
        <v>0</v>
      </c>
      <c r="E948" s="19">
        <f>+SUMIFS(Regiones[Contestadas],Regiones[Fecha],Tabla54[[#This Row],[Fecha]],Regiones[Intervalo],Tabla54[[#This Row],[Intervalo]],Regiones[Skill],'BUPA Seguros'!$L$3)</f>
        <v>0</v>
      </c>
      <c r="F948" s="20">
        <v>42.541313755114203</v>
      </c>
      <c r="G948" s="19">
        <f>IFERROR(SUMIFS(Regiones[TMO],Regiones[Fecha],Tabla54[[#This Row],[Fecha]],Regiones[Intervalo],Tabla54[[#This Row],[Intervalo]],Regiones[Skill],'BUPA Seguros'!$L$3)/Tabla54[[#This Row],[Atendidas]],0)</f>
        <v>0</v>
      </c>
      <c r="H9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8" s="21">
        <f>IFERROR(Tabla54[[#This Row],[Atendidas]]/Tabla54[[#This Row],[Recibidas]],0)</f>
        <v>0</v>
      </c>
    </row>
    <row r="949" spans="2:9" x14ac:dyDescent="0.3">
      <c r="B949" s="25">
        <f t="shared" si="38"/>
        <v>46223</v>
      </c>
      <c r="C949" s="26">
        <v>0.64583333333333304</v>
      </c>
      <c r="D949" s="19">
        <f>+SUMIFS(Regiones[Ofrecidas],Regiones[Fecha],Tabla54[[#This Row],[Fecha]],Regiones[Intervalo],Tabla54[[#This Row],[Intervalo]],Regiones[Skill],'BUPA Seguros'!$L$3)</f>
        <v>0</v>
      </c>
      <c r="E949" s="19">
        <f>+SUMIFS(Regiones[Contestadas],Regiones[Fecha],Tabla54[[#This Row],[Fecha]],Regiones[Intervalo],Tabla54[[#This Row],[Intervalo]],Regiones[Skill],'BUPA Seguros'!$L$3)</f>
        <v>0</v>
      </c>
      <c r="F949" s="20">
        <v>42.195597347352368</v>
      </c>
      <c r="G949" s="19">
        <f>IFERROR(SUMIFS(Regiones[TMO],Regiones[Fecha],Tabla54[[#This Row],[Fecha]],Regiones[Intervalo],Tabla54[[#This Row],[Intervalo]],Regiones[Skill],'BUPA Seguros'!$L$3)/Tabla54[[#This Row],[Atendidas]],0)</f>
        <v>0</v>
      </c>
      <c r="H9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49" s="21">
        <f>IFERROR(Tabla54[[#This Row],[Atendidas]]/Tabla54[[#This Row],[Recibidas]],0)</f>
        <v>0</v>
      </c>
    </row>
    <row r="950" spans="2:9" x14ac:dyDescent="0.3">
      <c r="B950" s="27">
        <f t="shared" si="38"/>
        <v>46223</v>
      </c>
      <c r="C950" s="18">
        <v>0.66666666666666696</v>
      </c>
      <c r="D950" s="19">
        <f>+SUMIFS(Regiones[Ofrecidas],Regiones[Fecha],Tabla54[[#This Row],[Fecha]],Regiones[Intervalo],Tabla54[[#This Row],[Intervalo]],Regiones[Skill],'BUPA Seguros'!$L$3)</f>
        <v>0</v>
      </c>
      <c r="E950" s="19">
        <f>+SUMIFS(Regiones[Contestadas],Regiones[Fecha],Tabla54[[#This Row],[Fecha]],Regiones[Intervalo],Tabla54[[#This Row],[Intervalo]],Regiones[Skill],'BUPA Seguros'!$L$3)</f>
        <v>0</v>
      </c>
      <c r="F950" s="20">
        <v>41.185741524679635</v>
      </c>
      <c r="G950" s="19">
        <f>IFERROR(SUMIFS(Regiones[TMO],Regiones[Fecha],Tabla54[[#This Row],[Fecha]],Regiones[Intervalo],Tabla54[[#This Row],[Intervalo]],Regiones[Skill],'BUPA Seguros'!$L$3)/Tabla54[[#This Row],[Atendidas]],0)</f>
        <v>0</v>
      </c>
      <c r="H9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0" s="21">
        <f>IFERROR(Tabla54[[#This Row],[Atendidas]]/Tabla54[[#This Row],[Recibidas]],0)</f>
        <v>0</v>
      </c>
    </row>
    <row r="951" spans="2:9" x14ac:dyDescent="0.3">
      <c r="B951" s="25">
        <f t="shared" ref="B951:B1013" si="41">+B950</f>
        <v>46223</v>
      </c>
      <c r="C951" s="26">
        <v>0.6875</v>
      </c>
      <c r="D951" s="19">
        <f>+SUMIFS(Regiones[Ofrecidas],Regiones[Fecha],Tabla54[[#This Row],[Fecha]],Regiones[Intervalo],Tabla54[[#This Row],[Intervalo]],Regiones[Skill],'BUPA Seguros'!$L$3)</f>
        <v>0</v>
      </c>
      <c r="E951" s="19">
        <f>+SUMIFS(Regiones[Contestadas],Regiones[Fecha],Tabla54[[#This Row],[Fecha]],Regiones[Intervalo],Tabla54[[#This Row],[Intervalo]],Regiones[Skill],'BUPA Seguros'!$L$3)</f>
        <v>0</v>
      </c>
      <c r="F951" s="20">
        <v>39.166029879334189</v>
      </c>
      <c r="G951" s="19">
        <f>IFERROR(SUMIFS(Regiones[TMO],Regiones[Fecha],Tabla54[[#This Row],[Fecha]],Regiones[Intervalo],Tabla54[[#This Row],[Intervalo]],Regiones[Skill],'BUPA Seguros'!$L$3)/Tabla54[[#This Row],[Atendidas]],0)</f>
        <v>0</v>
      </c>
      <c r="H9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1" s="21">
        <f>IFERROR(Tabla54[[#This Row],[Atendidas]]/Tabla54[[#This Row],[Recibidas]],0)</f>
        <v>0</v>
      </c>
    </row>
    <row r="952" spans="2:9" x14ac:dyDescent="0.3">
      <c r="B952" s="27">
        <f t="shared" si="41"/>
        <v>46223</v>
      </c>
      <c r="C952" s="18">
        <v>0.70833333333333304</v>
      </c>
      <c r="D952" s="19">
        <f>+SUMIFS(Regiones[Ofrecidas],Regiones[Fecha],Tabla54[[#This Row],[Fecha]],Regiones[Intervalo],Tabla54[[#This Row],[Intervalo]],Regiones[Skill],'BUPA Seguros'!$L$3)</f>
        <v>0</v>
      </c>
      <c r="E952" s="19">
        <f>+SUMIFS(Regiones[Contestadas],Regiones[Fecha],Tabla54[[#This Row],[Fecha]],Regiones[Intervalo],Tabla54[[#This Row],[Intervalo]],Regiones[Skill],'BUPA Seguros'!$L$3)</f>
        <v>0</v>
      </c>
      <c r="F952" s="20">
        <v>36.709623824184305</v>
      </c>
      <c r="G952" s="19">
        <f>IFERROR(SUMIFS(Regiones[TMO],Regiones[Fecha],Tabla54[[#This Row],[Fecha]],Regiones[Intervalo],Tabla54[[#This Row],[Intervalo]],Regiones[Skill],'BUPA Seguros'!$L$3)/Tabla54[[#This Row],[Atendidas]],0)</f>
        <v>0</v>
      </c>
      <c r="H9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2" s="21">
        <f>IFERROR(Tabla54[[#This Row],[Atendidas]]/Tabla54[[#This Row],[Recibidas]],0)</f>
        <v>0</v>
      </c>
    </row>
    <row r="953" spans="2:9" x14ac:dyDescent="0.3">
      <c r="B953" s="25">
        <f t="shared" si="41"/>
        <v>46223</v>
      </c>
      <c r="C953" s="26">
        <v>0.72916666666666696</v>
      </c>
      <c r="D953" s="19">
        <f>+SUMIFS(Regiones[Ofrecidas],Regiones[Fecha],Tabla54[[#This Row],[Fecha]],Regiones[Intervalo],Tabla54[[#This Row],[Intervalo]],Regiones[Skill],'BUPA Seguros'!$L$3)</f>
        <v>0</v>
      </c>
      <c r="E953" s="19">
        <f>+SUMIFS(Regiones[Contestadas],Regiones[Fecha],Tabla54[[#This Row],[Fecha]],Regiones[Intervalo],Tabla54[[#This Row],[Intervalo]],Regiones[Skill],'BUPA Seguros'!$L$3)</f>
        <v>0</v>
      </c>
      <c r="F953" s="20">
        <v>33.611822854634177</v>
      </c>
      <c r="G953" s="19">
        <f>IFERROR(SUMIFS(Regiones[TMO],Regiones[Fecha],Tabla54[[#This Row],[Fecha]],Regiones[Intervalo],Tabla54[[#This Row],[Intervalo]],Regiones[Skill],'BUPA Seguros'!$L$3)/Tabla54[[#This Row],[Atendidas]],0)</f>
        <v>0</v>
      </c>
      <c r="H9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3" s="21">
        <f>IFERROR(Tabla54[[#This Row],[Atendidas]]/Tabla54[[#This Row],[Recibidas]],0)</f>
        <v>0</v>
      </c>
    </row>
    <row r="954" spans="2:9" x14ac:dyDescent="0.3">
      <c r="B954" s="27">
        <f t="shared" si="41"/>
        <v>46223</v>
      </c>
      <c r="C954" s="18">
        <v>0.75</v>
      </c>
      <c r="D954" s="19">
        <f>+SUMIFS(Regiones[Ofrecidas],Regiones[Fecha],Tabla54[[#This Row],[Fecha]],Regiones[Intervalo],Tabla54[[#This Row],[Intervalo]],Regiones[Skill],'BUPA Seguros'!$L$3)</f>
        <v>0</v>
      </c>
      <c r="E954" s="19">
        <f>+SUMIFS(Regiones[Contestadas],Regiones[Fecha],Tabla54[[#This Row],[Fecha]],Regiones[Intervalo],Tabla54[[#This Row],[Intervalo]],Regiones[Skill],'BUPA Seguros'!$L$3)</f>
        <v>0</v>
      </c>
      <c r="F954" s="20">
        <v>0</v>
      </c>
      <c r="G954" s="19">
        <f>IFERROR(SUMIFS(Regiones[TMO],Regiones[Fecha],Tabla54[[#This Row],[Fecha]],Regiones[Intervalo],Tabla54[[#This Row],[Intervalo]],Regiones[Skill],'BUPA Seguros'!$L$3)/Tabla54[[#This Row],[Atendidas]],0)</f>
        <v>0</v>
      </c>
      <c r="H9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4" s="21">
        <f>IFERROR(Tabla54[[#This Row],[Atendidas]]/Tabla54[[#This Row],[Recibidas]],0)</f>
        <v>0</v>
      </c>
    </row>
    <row r="955" spans="2:9" x14ac:dyDescent="0.3">
      <c r="B955" s="25">
        <f t="shared" si="41"/>
        <v>46223</v>
      </c>
      <c r="C955" s="26">
        <v>0.77083333333333304</v>
      </c>
      <c r="D955" s="19">
        <f>+SUMIFS(Regiones[Ofrecidas],Regiones[Fecha],Tabla54[[#This Row],[Fecha]],Regiones[Intervalo],Tabla54[[#This Row],[Intervalo]],Regiones[Skill],'BUPA Seguros'!$L$3)</f>
        <v>0</v>
      </c>
      <c r="E955" s="19">
        <f>+SUMIFS(Regiones[Contestadas],Regiones[Fecha],Tabla54[[#This Row],[Fecha]],Regiones[Intervalo],Tabla54[[#This Row],[Intervalo]],Regiones[Skill],'BUPA Seguros'!$L$3)</f>
        <v>0</v>
      </c>
      <c r="F955" s="20">
        <v>0</v>
      </c>
      <c r="G955" s="19">
        <f>IFERROR(SUMIFS(Regiones[TMO],Regiones[Fecha],Tabla54[[#This Row],[Fecha]],Regiones[Intervalo],Tabla54[[#This Row],[Intervalo]],Regiones[Skill],'BUPA Seguros'!$L$3)/Tabla54[[#This Row],[Atendidas]],0)</f>
        <v>0</v>
      </c>
      <c r="H9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5" s="21">
        <f>IFERROR(Tabla54[[#This Row],[Atendidas]]/Tabla54[[#This Row],[Recibidas]],0)</f>
        <v>0</v>
      </c>
    </row>
    <row r="956" spans="2:9" x14ac:dyDescent="0.3">
      <c r="B956" s="27">
        <f t="shared" si="41"/>
        <v>46223</v>
      </c>
      <c r="C956" s="18">
        <v>0.79166666666666696</v>
      </c>
      <c r="D956" s="19">
        <f>+SUMIFS(Regiones[Ofrecidas],Regiones[Fecha],Tabla54[[#This Row],[Fecha]],Regiones[Intervalo],Tabla54[[#This Row],[Intervalo]],Regiones[Skill],'BUPA Seguros'!$L$3)</f>
        <v>0</v>
      </c>
      <c r="E956" s="19">
        <f>+SUMIFS(Regiones[Contestadas],Regiones[Fecha],Tabla54[[#This Row],[Fecha]],Regiones[Intervalo],Tabla54[[#This Row],[Intervalo]],Regiones[Skill],'BUPA Seguros'!$L$3)</f>
        <v>0</v>
      </c>
      <c r="F956" s="20">
        <v>0</v>
      </c>
      <c r="G956" s="19">
        <f>IFERROR(SUMIFS(Regiones[TMO],Regiones[Fecha],Tabla54[[#This Row],[Fecha]],Regiones[Intervalo],Tabla54[[#This Row],[Intervalo]],Regiones[Skill],'BUPA Seguros'!$L$3)/Tabla54[[#This Row],[Atendidas]],0)</f>
        <v>0</v>
      </c>
      <c r="H9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6" s="21">
        <f>IFERROR(Tabla54[[#This Row],[Atendidas]]/Tabla54[[#This Row],[Recibidas]],0)</f>
        <v>0</v>
      </c>
    </row>
    <row r="957" spans="2:9" x14ac:dyDescent="0.3">
      <c r="B957" s="25">
        <f t="shared" si="41"/>
        <v>46223</v>
      </c>
      <c r="C957" s="26">
        <v>0.8125</v>
      </c>
      <c r="D957" s="19">
        <f>+SUMIFS(Regiones[Ofrecidas],Regiones[Fecha],Tabla54[[#This Row],[Fecha]],Regiones[Intervalo],Tabla54[[#This Row],[Intervalo]],Regiones[Skill],'BUPA Seguros'!$L$3)</f>
        <v>0</v>
      </c>
      <c r="E957" s="19">
        <f>+SUMIFS(Regiones[Contestadas],Regiones[Fecha],Tabla54[[#This Row],[Fecha]],Regiones[Intervalo],Tabla54[[#This Row],[Intervalo]],Regiones[Skill],'BUPA Seguros'!$L$3)</f>
        <v>0</v>
      </c>
      <c r="F957" s="20">
        <v>0</v>
      </c>
      <c r="G957" s="19">
        <f>IFERROR(SUMIFS(Regiones[TMO],Regiones[Fecha],Tabla54[[#This Row],[Fecha]],Regiones[Intervalo],Tabla54[[#This Row],[Intervalo]],Regiones[Skill],'BUPA Seguros'!$L$3)/Tabla54[[#This Row],[Atendidas]],0)</f>
        <v>0</v>
      </c>
      <c r="H9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7" s="21">
        <f>IFERROR(Tabla54[[#This Row],[Atendidas]]/Tabla54[[#This Row],[Recibidas]],0)</f>
        <v>0</v>
      </c>
    </row>
    <row r="958" spans="2:9" x14ac:dyDescent="0.3">
      <c r="B958" s="27">
        <f t="shared" si="41"/>
        <v>46223</v>
      </c>
      <c r="C958" s="18">
        <v>0.83333333333333304</v>
      </c>
      <c r="D958" s="19">
        <f>+SUMIFS(Regiones[Ofrecidas],Regiones[Fecha],Tabla54[[#This Row],[Fecha]],Regiones[Intervalo],Tabla54[[#This Row],[Intervalo]],Regiones[Skill],'BUPA Seguros'!$L$3)</f>
        <v>0</v>
      </c>
      <c r="E958" s="19">
        <f>+SUMIFS(Regiones[Contestadas],Regiones[Fecha],Tabla54[[#This Row],[Fecha]],Regiones[Intervalo],Tabla54[[#This Row],[Intervalo]],Regiones[Skill],'BUPA Seguros'!$L$3)</f>
        <v>0</v>
      </c>
      <c r="F958" s="20">
        <v>0</v>
      </c>
      <c r="G958" s="19">
        <f>IFERROR(SUMIFS(Regiones[TMO],Regiones[Fecha],Tabla54[[#This Row],[Fecha]],Regiones[Intervalo],Tabla54[[#This Row],[Intervalo]],Regiones[Skill],'BUPA Seguros'!$L$3)/Tabla54[[#This Row],[Atendidas]],0)</f>
        <v>0</v>
      </c>
      <c r="H9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8" s="21">
        <f>IFERROR(Tabla54[[#This Row],[Atendidas]]/Tabla54[[#This Row],[Recibidas]],0)</f>
        <v>0</v>
      </c>
    </row>
    <row r="959" spans="2:9" x14ac:dyDescent="0.3">
      <c r="B959" s="25">
        <f t="shared" si="41"/>
        <v>46223</v>
      </c>
      <c r="C959" s="26">
        <v>0.85416666666666696</v>
      </c>
      <c r="D959" s="19">
        <f>+SUMIFS(Regiones[Ofrecidas],Regiones[Fecha],Tabla54[[#This Row],[Fecha]],Regiones[Intervalo],Tabla54[[#This Row],[Intervalo]],Regiones[Skill],'BUPA Seguros'!$L$3)</f>
        <v>0</v>
      </c>
      <c r="E959" s="19">
        <f>+SUMIFS(Regiones[Contestadas],Regiones[Fecha],Tabla54[[#This Row],[Fecha]],Regiones[Intervalo],Tabla54[[#This Row],[Intervalo]],Regiones[Skill],'BUPA Seguros'!$L$3)</f>
        <v>0</v>
      </c>
      <c r="F959" s="20">
        <v>0</v>
      </c>
      <c r="G959" s="19">
        <f>IFERROR(SUMIFS(Regiones[TMO],Regiones[Fecha],Tabla54[[#This Row],[Fecha]],Regiones[Intervalo],Tabla54[[#This Row],[Intervalo]],Regiones[Skill],'BUPA Seguros'!$L$3)/Tabla54[[#This Row],[Atendidas]],0)</f>
        <v>0</v>
      </c>
      <c r="H9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59" s="21">
        <f>IFERROR(Tabla54[[#This Row],[Atendidas]]/Tabla54[[#This Row],[Recibidas]],0)</f>
        <v>0</v>
      </c>
    </row>
    <row r="960" spans="2:9" x14ac:dyDescent="0.3">
      <c r="B960" s="27">
        <f t="shared" si="41"/>
        <v>46223</v>
      </c>
      <c r="C960" s="18">
        <v>0.875</v>
      </c>
      <c r="D960" s="19">
        <f>+SUMIFS(Regiones[Ofrecidas],Regiones[Fecha],Tabla54[[#This Row],[Fecha]],Regiones[Intervalo],Tabla54[[#This Row],[Intervalo]],Regiones[Skill],'BUPA Seguros'!$L$3)</f>
        <v>0</v>
      </c>
      <c r="E960" s="19">
        <f>+SUMIFS(Regiones[Contestadas],Regiones[Fecha],Tabla54[[#This Row],[Fecha]],Regiones[Intervalo],Tabla54[[#This Row],[Intervalo]],Regiones[Skill],'BUPA Seguros'!$L$3)</f>
        <v>0</v>
      </c>
      <c r="F960" s="20">
        <v>0</v>
      </c>
      <c r="G960" s="19">
        <f>IFERROR(SUMIFS(Regiones[TMO],Regiones[Fecha],Tabla54[[#This Row],[Fecha]],Regiones[Intervalo],Tabla54[[#This Row],[Intervalo]],Regiones[Skill],'BUPA Seguros'!$L$3)/Tabla54[[#This Row],[Atendidas]],0)</f>
        <v>0</v>
      </c>
      <c r="H9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0" s="21">
        <f>IFERROR(Tabla54[[#This Row],[Atendidas]]/Tabla54[[#This Row],[Recibidas]],0)</f>
        <v>0</v>
      </c>
    </row>
    <row r="961" spans="2:9" x14ac:dyDescent="0.3">
      <c r="B961" s="25">
        <f t="shared" si="41"/>
        <v>46223</v>
      </c>
      <c r="C961" s="26">
        <v>0.89583333333333304</v>
      </c>
      <c r="D961" s="19">
        <f>+SUMIFS(Regiones[Ofrecidas],Regiones[Fecha],Tabla54[[#This Row],[Fecha]],Regiones[Intervalo],Tabla54[[#This Row],[Intervalo]],Regiones[Skill],'BUPA Seguros'!$L$3)</f>
        <v>0</v>
      </c>
      <c r="E961" s="19">
        <f>+SUMIFS(Regiones[Contestadas],Regiones[Fecha],Tabla54[[#This Row],[Fecha]],Regiones[Intervalo],Tabla54[[#This Row],[Intervalo]],Regiones[Skill],'BUPA Seguros'!$L$3)</f>
        <v>0</v>
      </c>
      <c r="F961" s="20">
        <v>0</v>
      </c>
      <c r="G961" s="19">
        <f>IFERROR(SUMIFS(Regiones[TMO],Regiones[Fecha],Tabla54[[#This Row],[Fecha]],Regiones[Intervalo],Tabla54[[#This Row],[Intervalo]],Regiones[Skill],'BUPA Seguros'!$L$3)/Tabla54[[#This Row],[Atendidas]],0)</f>
        <v>0</v>
      </c>
      <c r="H9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1" s="21">
        <f>IFERROR(Tabla54[[#This Row],[Atendidas]]/Tabla54[[#This Row],[Recibidas]],0)</f>
        <v>0</v>
      </c>
    </row>
    <row r="962" spans="2:9" x14ac:dyDescent="0.3">
      <c r="B962" s="27">
        <f t="shared" si="41"/>
        <v>46223</v>
      </c>
      <c r="C962" s="18">
        <v>0.91666666666666696</v>
      </c>
      <c r="D962" s="19">
        <f>+SUMIFS(Regiones[Ofrecidas],Regiones[Fecha],Tabla54[[#This Row],[Fecha]],Regiones[Intervalo],Tabla54[[#This Row],[Intervalo]],Regiones[Skill],'BUPA Seguros'!$L$3)</f>
        <v>0</v>
      </c>
      <c r="E962" s="19">
        <f>+SUMIFS(Regiones[Contestadas],Regiones[Fecha],Tabla54[[#This Row],[Fecha]],Regiones[Intervalo],Tabla54[[#This Row],[Intervalo]],Regiones[Skill],'BUPA Seguros'!$L$3)</f>
        <v>0</v>
      </c>
      <c r="F962" s="20">
        <v>0</v>
      </c>
      <c r="G962" s="19">
        <f>IFERROR(SUMIFS(Regiones[TMO],Regiones[Fecha],Tabla54[[#This Row],[Fecha]],Regiones[Intervalo],Tabla54[[#This Row],[Intervalo]],Regiones[Skill],'BUPA Seguros'!$L$3)/Tabla54[[#This Row],[Atendidas]],0)</f>
        <v>0</v>
      </c>
      <c r="H9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2" s="21">
        <f>IFERROR(Tabla54[[#This Row],[Atendidas]]/Tabla54[[#This Row],[Recibidas]],0)</f>
        <v>0</v>
      </c>
    </row>
    <row r="963" spans="2:9" x14ac:dyDescent="0.3">
      <c r="B963" s="25">
        <f t="shared" si="41"/>
        <v>46223</v>
      </c>
      <c r="C963" s="26">
        <v>0.9375</v>
      </c>
      <c r="D963" s="19">
        <f>+SUMIFS(Regiones[Ofrecidas],Regiones[Fecha],Tabla54[[#This Row],[Fecha]],Regiones[Intervalo],Tabla54[[#This Row],[Intervalo]],Regiones[Skill],'BUPA Seguros'!$L$3)</f>
        <v>0</v>
      </c>
      <c r="E963" s="19">
        <f>+SUMIFS(Regiones[Contestadas],Regiones[Fecha],Tabla54[[#This Row],[Fecha]],Regiones[Intervalo],Tabla54[[#This Row],[Intervalo]],Regiones[Skill],'BUPA Seguros'!$L$3)</f>
        <v>0</v>
      </c>
      <c r="F963" s="20">
        <v>0</v>
      </c>
      <c r="G963" s="19">
        <f>IFERROR(SUMIFS(Regiones[TMO],Regiones[Fecha],Tabla54[[#This Row],[Fecha]],Regiones[Intervalo],Tabla54[[#This Row],[Intervalo]],Regiones[Skill],'BUPA Seguros'!$L$3)/Tabla54[[#This Row],[Atendidas]],0)</f>
        <v>0</v>
      </c>
      <c r="H9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3" s="21">
        <f>IFERROR(Tabla54[[#This Row],[Atendidas]]/Tabla54[[#This Row],[Recibidas]],0)</f>
        <v>0</v>
      </c>
    </row>
    <row r="964" spans="2:9" x14ac:dyDescent="0.3">
      <c r="B964" s="27">
        <f t="shared" si="41"/>
        <v>46223</v>
      </c>
      <c r="C964" s="18">
        <v>0.95833333333333304</v>
      </c>
      <c r="D964" s="19">
        <f>+SUMIFS(Regiones[Ofrecidas],Regiones[Fecha],Tabla54[[#This Row],[Fecha]],Regiones[Intervalo],Tabla54[[#This Row],[Intervalo]],Regiones[Skill],'BUPA Seguros'!$L$3)</f>
        <v>0</v>
      </c>
      <c r="E964" s="19">
        <f>+SUMIFS(Regiones[Contestadas],Regiones[Fecha],Tabla54[[#This Row],[Fecha]],Regiones[Intervalo],Tabla54[[#This Row],[Intervalo]],Regiones[Skill],'BUPA Seguros'!$L$3)</f>
        <v>0</v>
      </c>
      <c r="F964" s="20">
        <v>0</v>
      </c>
      <c r="G964" s="19">
        <f>IFERROR(SUMIFS(Regiones[TMO],Regiones[Fecha],Tabla54[[#This Row],[Fecha]],Regiones[Intervalo],Tabla54[[#This Row],[Intervalo]],Regiones[Skill],'BUPA Seguros'!$L$3)/Tabla54[[#This Row],[Atendidas]],0)</f>
        <v>0</v>
      </c>
      <c r="H9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4" s="21">
        <f>IFERROR(Tabla54[[#This Row],[Atendidas]]/Tabla54[[#This Row],[Recibidas]],0)</f>
        <v>0</v>
      </c>
    </row>
    <row r="965" spans="2:9" x14ac:dyDescent="0.3">
      <c r="B965" s="25">
        <f t="shared" si="41"/>
        <v>46223</v>
      </c>
      <c r="C965" s="26">
        <v>0.97916666666666696</v>
      </c>
      <c r="D965" s="19">
        <f>+SUMIFS(Regiones[Ofrecidas],Regiones[Fecha],Tabla54[[#This Row],[Fecha]],Regiones[Intervalo],Tabla54[[#This Row],[Intervalo]],Regiones[Skill],'BUPA Seguros'!$L$3)</f>
        <v>0</v>
      </c>
      <c r="E965" s="19">
        <f>+SUMIFS(Regiones[Contestadas],Regiones[Fecha],Tabla54[[#This Row],[Fecha]],Regiones[Intervalo],Tabla54[[#This Row],[Intervalo]],Regiones[Skill],'BUPA Seguros'!$L$3)</f>
        <v>0</v>
      </c>
      <c r="F965" s="20">
        <v>0</v>
      </c>
      <c r="G965" s="19">
        <f>IFERROR(SUMIFS(Regiones[TMO],Regiones[Fecha],Tabla54[[#This Row],[Fecha]],Regiones[Intervalo],Tabla54[[#This Row],[Intervalo]],Regiones[Skill],'BUPA Seguros'!$L$3)/Tabla54[[#This Row],[Atendidas]],0)</f>
        <v>0</v>
      </c>
      <c r="H9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5" s="21">
        <f>IFERROR(Tabla54[[#This Row],[Atendidas]]/Tabla54[[#This Row],[Recibidas]],0)</f>
        <v>0</v>
      </c>
    </row>
    <row r="966" spans="2:9" x14ac:dyDescent="0.3">
      <c r="B966" s="27">
        <f t="shared" ref="B966" si="42">+B965+1</f>
        <v>46224</v>
      </c>
      <c r="C966" s="18">
        <v>0</v>
      </c>
      <c r="D966" s="19">
        <f>+SUMIFS(Regiones[Ofrecidas],Regiones[Fecha],Tabla54[[#This Row],[Fecha]],Regiones[Intervalo],Tabla54[[#This Row],[Intervalo]],Regiones[Skill],'BUPA Seguros'!$L$3)</f>
        <v>0</v>
      </c>
      <c r="E966" s="19">
        <f>+SUMIFS(Regiones[Contestadas],Regiones[Fecha],Tabla54[[#This Row],[Fecha]],Regiones[Intervalo],Tabla54[[#This Row],[Intervalo]],Regiones[Skill],'BUPA Seguros'!$L$3)</f>
        <v>0</v>
      </c>
      <c r="F966" s="20">
        <v>0</v>
      </c>
      <c r="G966" s="19">
        <f>IFERROR(SUMIFS(Regiones[TMO],Regiones[Fecha],Tabla54[[#This Row],[Fecha]],Regiones[Intervalo],Tabla54[[#This Row],[Intervalo]],Regiones[Skill],'BUPA Seguros'!$L$3)/Tabla54[[#This Row],[Atendidas]],0)</f>
        <v>0</v>
      </c>
      <c r="H9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6" s="21">
        <f>IFERROR(Tabla54[[#This Row],[Atendidas]]/Tabla54[[#This Row],[Recibidas]],0)</f>
        <v>0</v>
      </c>
    </row>
    <row r="967" spans="2:9" x14ac:dyDescent="0.3">
      <c r="B967" s="25">
        <f t="shared" ref="B967" si="43">+B966</f>
        <v>46224</v>
      </c>
      <c r="C967" s="26">
        <v>2.0833333333333332E-2</v>
      </c>
      <c r="D967" s="19">
        <f>+SUMIFS(Regiones[Ofrecidas],Regiones[Fecha],Tabla54[[#This Row],[Fecha]],Regiones[Intervalo],Tabla54[[#This Row],[Intervalo]],Regiones[Skill],'BUPA Seguros'!$L$3)</f>
        <v>0</v>
      </c>
      <c r="E967" s="19">
        <f>+SUMIFS(Regiones[Contestadas],Regiones[Fecha],Tabla54[[#This Row],[Fecha]],Regiones[Intervalo],Tabla54[[#This Row],[Intervalo]],Regiones[Skill],'BUPA Seguros'!$L$3)</f>
        <v>0</v>
      </c>
      <c r="F967" s="20">
        <v>0</v>
      </c>
      <c r="G967" s="19">
        <f>IFERROR(SUMIFS(Regiones[TMO],Regiones[Fecha],Tabla54[[#This Row],[Fecha]],Regiones[Intervalo],Tabla54[[#This Row],[Intervalo]],Regiones[Skill],'BUPA Seguros'!$L$3)/Tabla54[[#This Row],[Atendidas]],0)</f>
        <v>0</v>
      </c>
      <c r="H9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7" s="21">
        <f>IFERROR(Tabla54[[#This Row],[Atendidas]]/Tabla54[[#This Row],[Recibidas]],0)</f>
        <v>0</v>
      </c>
    </row>
    <row r="968" spans="2:9" x14ac:dyDescent="0.3">
      <c r="B968" s="27">
        <f t="shared" si="41"/>
        <v>46224</v>
      </c>
      <c r="C968" s="18">
        <v>4.1666666666666699E-2</v>
      </c>
      <c r="D968" s="19">
        <f>+SUMIFS(Regiones[Ofrecidas],Regiones[Fecha],Tabla54[[#This Row],[Fecha]],Regiones[Intervalo],Tabla54[[#This Row],[Intervalo]],Regiones[Skill],'BUPA Seguros'!$L$3)</f>
        <v>0</v>
      </c>
      <c r="E968" s="19">
        <f>+SUMIFS(Regiones[Contestadas],Regiones[Fecha],Tabla54[[#This Row],[Fecha]],Regiones[Intervalo],Tabla54[[#This Row],[Intervalo]],Regiones[Skill],'BUPA Seguros'!$L$3)</f>
        <v>0</v>
      </c>
      <c r="F968" s="20">
        <v>0</v>
      </c>
      <c r="G968" s="19">
        <f>IFERROR(SUMIFS(Regiones[TMO],Regiones[Fecha],Tabla54[[#This Row],[Fecha]],Regiones[Intervalo],Tabla54[[#This Row],[Intervalo]],Regiones[Skill],'BUPA Seguros'!$L$3)/Tabla54[[#This Row],[Atendidas]],0)</f>
        <v>0</v>
      </c>
      <c r="H9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8" s="21">
        <f>IFERROR(Tabla54[[#This Row],[Atendidas]]/Tabla54[[#This Row],[Recibidas]],0)</f>
        <v>0</v>
      </c>
    </row>
    <row r="969" spans="2:9" x14ac:dyDescent="0.3">
      <c r="B969" s="25">
        <f t="shared" si="41"/>
        <v>46224</v>
      </c>
      <c r="C969" s="26">
        <v>6.25E-2</v>
      </c>
      <c r="D969" s="19">
        <f>+SUMIFS(Regiones[Ofrecidas],Regiones[Fecha],Tabla54[[#This Row],[Fecha]],Regiones[Intervalo],Tabla54[[#This Row],[Intervalo]],Regiones[Skill],'BUPA Seguros'!$L$3)</f>
        <v>0</v>
      </c>
      <c r="E969" s="19">
        <f>+SUMIFS(Regiones[Contestadas],Regiones[Fecha],Tabla54[[#This Row],[Fecha]],Regiones[Intervalo],Tabla54[[#This Row],[Intervalo]],Regiones[Skill],'BUPA Seguros'!$L$3)</f>
        <v>0</v>
      </c>
      <c r="F969" s="20">
        <v>0</v>
      </c>
      <c r="G969" s="19">
        <f>IFERROR(SUMIFS(Regiones[TMO],Regiones[Fecha],Tabla54[[#This Row],[Fecha]],Regiones[Intervalo],Tabla54[[#This Row],[Intervalo]],Regiones[Skill],'BUPA Seguros'!$L$3)/Tabla54[[#This Row],[Atendidas]],0)</f>
        <v>0</v>
      </c>
      <c r="H9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69" s="21">
        <f>IFERROR(Tabla54[[#This Row],[Atendidas]]/Tabla54[[#This Row],[Recibidas]],0)</f>
        <v>0</v>
      </c>
    </row>
    <row r="970" spans="2:9" x14ac:dyDescent="0.3">
      <c r="B970" s="27">
        <f t="shared" si="41"/>
        <v>46224</v>
      </c>
      <c r="C970" s="18">
        <v>8.3333333333333301E-2</v>
      </c>
      <c r="D970" s="19">
        <f>+SUMIFS(Regiones[Ofrecidas],Regiones[Fecha],Tabla54[[#This Row],[Fecha]],Regiones[Intervalo],Tabla54[[#This Row],[Intervalo]],Regiones[Skill],'BUPA Seguros'!$L$3)</f>
        <v>0</v>
      </c>
      <c r="E970" s="19">
        <f>+SUMIFS(Regiones[Contestadas],Regiones[Fecha],Tabla54[[#This Row],[Fecha]],Regiones[Intervalo],Tabla54[[#This Row],[Intervalo]],Regiones[Skill],'BUPA Seguros'!$L$3)</f>
        <v>0</v>
      </c>
      <c r="F970" s="20">
        <v>0</v>
      </c>
      <c r="G970" s="19">
        <f>IFERROR(SUMIFS(Regiones[TMO],Regiones[Fecha],Tabla54[[#This Row],[Fecha]],Regiones[Intervalo],Tabla54[[#This Row],[Intervalo]],Regiones[Skill],'BUPA Seguros'!$L$3)/Tabla54[[#This Row],[Atendidas]],0)</f>
        <v>0</v>
      </c>
      <c r="H9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0" s="21">
        <f>IFERROR(Tabla54[[#This Row],[Atendidas]]/Tabla54[[#This Row],[Recibidas]],0)</f>
        <v>0</v>
      </c>
    </row>
    <row r="971" spans="2:9" x14ac:dyDescent="0.3">
      <c r="B971" s="25">
        <f t="shared" si="41"/>
        <v>46224</v>
      </c>
      <c r="C971" s="26">
        <v>0.104166666666667</v>
      </c>
      <c r="D971" s="19">
        <f>+SUMIFS(Regiones[Ofrecidas],Regiones[Fecha],Tabla54[[#This Row],[Fecha]],Regiones[Intervalo],Tabla54[[#This Row],[Intervalo]],Regiones[Skill],'BUPA Seguros'!$L$3)</f>
        <v>0</v>
      </c>
      <c r="E971" s="19">
        <f>+SUMIFS(Regiones[Contestadas],Regiones[Fecha],Tabla54[[#This Row],[Fecha]],Regiones[Intervalo],Tabla54[[#This Row],[Intervalo]],Regiones[Skill],'BUPA Seguros'!$L$3)</f>
        <v>0</v>
      </c>
      <c r="F971" s="20">
        <v>0</v>
      </c>
      <c r="G971" s="19">
        <f>IFERROR(SUMIFS(Regiones[TMO],Regiones[Fecha],Tabla54[[#This Row],[Fecha]],Regiones[Intervalo],Tabla54[[#This Row],[Intervalo]],Regiones[Skill],'BUPA Seguros'!$L$3)/Tabla54[[#This Row],[Atendidas]],0)</f>
        <v>0</v>
      </c>
      <c r="H9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1" s="21">
        <f>IFERROR(Tabla54[[#This Row],[Atendidas]]/Tabla54[[#This Row],[Recibidas]],0)</f>
        <v>0</v>
      </c>
    </row>
    <row r="972" spans="2:9" x14ac:dyDescent="0.3">
      <c r="B972" s="27">
        <f t="shared" si="41"/>
        <v>46224</v>
      </c>
      <c r="C972" s="18">
        <v>0.125</v>
      </c>
      <c r="D972" s="19">
        <f>+SUMIFS(Regiones[Ofrecidas],Regiones[Fecha],Tabla54[[#This Row],[Fecha]],Regiones[Intervalo],Tabla54[[#This Row],[Intervalo]],Regiones[Skill],'BUPA Seguros'!$L$3)</f>
        <v>0</v>
      </c>
      <c r="E972" s="19">
        <f>+SUMIFS(Regiones[Contestadas],Regiones[Fecha],Tabla54[[#This Row],[Fecha]],Regiones[Intervalo],Tabla54[[#This Row],[Intervalo]],Regiones[Skill],'BUPA Seguros'!$L$3)</f>
        <v>0</v>
      </c>
      <c r="F972" s="20">
        <v>0</v>
      </c>
      <c r="G972" s="19">
        <f>IFERROR(SUMIFS(Regiones[TMO],Regiones[Fecha],Tabla54[[#This Row],[Fecha]],Regiones[Intervalo],Tabla54[[#This Row],[Intervalo]],Regiones[Skill],'BUPA Seguros'!$L$3)/Tabla54[[#This Row],[Atendidas]],0)</f>
        <v>0</v>
      </c>
      <c r="H9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2" s="21">
        <f>IFERROR(Tabla54[[#This Row],[Atendidas]]/Tabla54[[#This Row],[Recibidas]],0)</f>
        <v>0</v>
      </c>
    </row>
    <row r="973" spans="2:9" x14ac:dyDescent="0.3">
      <c r="B973" s="25">
        <f t="shared" si="41"/>
        <v>46224</v>
      </c>
      <c r="C973" s="26">
        <v>0.14583333333333301</v>
      </c>
      <c r="D973" s="19">
        <f>+SUMIFS(Regiones[Ofrecidas],Regiones[Fecha],Tabla54[[#This Row],[Fecha]],Regiones[Intervalo],Tabla54[[#This Row],[Intervalo]],Regiones[Skill],'BUPA Seguros'!$L$3)</f>
        <v>0</v>
      </c>
      <c r="E973" s="19">
        <f>+SUMIFS(Regiones[Contestadas],Regiones[Fecha],Tabla54[[#This Row],[Fecha]],Regiones[Intervalo],Tabla54[[#This Row],[Intervalo]],Regiones[Skill],'BUPA Seguros'!$L$3)</f>
        <v>0</v>
      </c>
      <c r="F973" s="20">
        <v>0</v>
      </c>
      <c r="G973" s="19">
        <f>IFERROR(SUMIFS(Regiones[TMO],Regiones[Fecha],Tabla54[[#This Row],[Fecha]],Regiones[Intervalo],Tabla54[[#This Row],[Intervalo]],Regiones[Skill],'BUPA Seguros'!$L$3)/Tabla54[[#This Row],[Atendidas]],0)</f>
        <v>0</v>
      </c>
      <c r="H9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3" s="21">
        <f>IFERROR(Tabla54[[#This Row],[Atendidas]]/Tabla54[[#This Row],[Recibidas]],0)</f>
        <v>0</v>
      </c>
    </row>
    <row r="974" spans="2:9" x14ac:dyDescent="0.3">
      <c r="B974" s="27">
        <f t="shared" si="41"/>
        <v>46224</v>
      </c>
      <c r="C974" s="18">
        <v>0.16666666666666699</v>
      </c>
      <c r="D974" s="19">
        <f>+SUMIFS(Regiones[Ofrecidas],Regiones[Fecha],Tabla54[[#This Row],[Fecha]],Regiones[Intervalo],Tabla54[[#This Row],[Intervalo]],Regiones[Skill],'BUPA Seguros'!$L$3)</f>
        <v>0</v>
      </c>
      <c r="E974" s="19">
        <f>+SUMIFS(Regiones[Contestadas],Regiones[Fecha],Tabla54[[#This Row],[Fecha]],Regiones[Intervalo],Tabla54[[#This Row],[Intervalo]],Regiones[Skill],'BUPA Seguros'!$L$3)</f>
        <v>0</v>
      </c>
      <c r="F974" s="20">
        <v>0</v>
      </c>
      <c r="G974" s="19">
        <f>IFERROR(SUMIFS(Regiones[TMO],Regiones[Fecha],Tabla54[[#This Row],[Fecha]],Regiones[Intervalo],Tabla54[[#This Row],[Intervalo]],Regiones[Skill],'BUPA Seguros'!$L$3)/Tabla54[[#This Row],[Atendidas]],0)</f>
        <v>0</v>
      </c>
      <c r="H9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4" s="21">
        <f>IFERROR(Tabla54[[#This Row],[Atendidas]]/Tabla54[[#This Row],[Recibidas]],0)</f>
        <v>0</v>
      </c>
    </row>
    <row r="975" spans="2:9" x14ac:dyDescent="0.3">
      <c r="B975" s="25">
        <f t="shared" si="41"/>
        <v>46224</v>
      </c>
      <c r="C975" s="26">
        <v>0.1875</v>
      </c>
      <c r="D975" s="19">
        <f>+SUMIFS(Regiones[Ofrecidas],Regiones[Fecha],Tabla54[[#This Row],[Fecha]],Regiones[Intervalo],Tabla54[[#This Row],[Intervalo]],Regiones[Skill],'BUPA Seguros'!$L$3)</f>
        <v>0</v>
      </c>
      <c r="E975" s="19">
        <f>+SUMIFS(Regiones[Contestadas],Regiones[Fecha],Tabla54[[#This Row],[Fecha]],Regiones[Intervalo],Tabla54[[#This Row],[Intervalo]],Regiones[Skill],'BUPA Seguros'!$L$3)</f>
        <v>0</v>
      </c>
      <c r="F975" s="20">
        <v>0</v>
      </c>
      <c r="G975" s="19">
        <f>IFERROR(SUMIFS(Regiones[TMO],Regiones[Fecha],Tabla54[[#This Row],[Fecha]],Regiones[Intervalo],Tabla54[[#This Row],[Intervalo]],Regiones[Skill],'BUPA Seguros'!$L$3)/Tabla54[[#This Row],[Atendidas]],0)</f>
        <v>0</v>
      </c>
      <c r="H9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5" s="21">
        <f>IFERROR(Tabla54[[#This Row],[Atendidas]]/Tabla54[[#This Row],[Recibidas]],0)</f>
        <v>0</v>
      </c>
    </row>
    <row r="976" spans="2:9" x14ac:dyDescent="0.3">
      <c r="B976" s="27">
        <f t="shared" si="41"/>
        <v>46224</v>
      </c>
      <c r="C976" s="18">
        <v>0.20833333333333301</v>
      </c>
      <c r="D976" s="19">
        <f>+SUMIFS(Regiones[Ofrecidas],Regiones[Fecha],Tabla54[[#This Row],[Fecha]],Regiones[Intervalo],Tabla54[[#This Row],[Intervalo]],Regiones[Skill],'BUPA Seguros'!$L$3)</f>
        <v>0</v>
      </c>
      <c r="E976" s="19">
        <f>+SUMIFS(Regiones[Contestadas],Regiones[Fecha],Tabla54[[#This Row],[Fecha]],Regiones[Intervalo],Tabla54[[#This Row],[Intervalo]],Regiones[Skill],'BUPA Seguros'!$L$3)</f>
        <v>0</v>
      </c>
      <c r="F976" s="20">
        <v>0</v>
      </c>
      <c r="G976" s="19">
        <f>IFERROR(SUMIFS(Regiones[TMO],Regiones[Fecha],Tabla54[[#This Row],[Fecha]],Regiones[Intervalo],Tabla54[[#This Row],[Intervalo]],Regiones[Skill],'BUPA Seguros'!$L$3)/Tabla54[[#This Row],[Atendidas]],0)</f>
        <v>0</v>
      </c>
      <c r="H9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6" s="21">
        <f>IFERROR(Tabla54[[#This Row],[Atendidas]]/Tabla54[[#This Row],[Recibidas]],0)</f>
        <v>0</v>
      </c>
    </row>
    <row r="977" spans="2:9" x14ac:dyDescent="0.3">
      <c r="B977" s="25">
        <f t="shared" si="41"/>
        <v>46224</v>
      </c>
      <c r="C977" s="26">
        <v>0.22916666666666699</v>
      </c>
      <c r="D977" s="19">
        <f>+SUMIFS(Regiones[Ofrecidas],Regiones[Fecha],Tabla54[[#This Row],[Fecha]],Regiones[Intervalo],Tabla54[[#This Row],[Intervalo]],Regiones[Skill],'BUPA Seguros'!$L$3)</f>
        <v>0</v>
      </c>
      <c r="E977" s="19">
        <f>+SUMIFS(Regiones[Contestadas],Regiones[Fecha],Tabla54[[#This Row],[Fecha]],Regiones[Intervalo],Tabla54[[#This Row],[Intervalo]],Regiones[Skill],'BUPA Seguros'!$L$3)</f>
        <v>0</v>
      </c>
      <c r="F977" s="20">
        <v>0</v>
      </c>
      <c r="G977" s="19">
        <f>IFERROR(SUMIFS(Regiones[TMO],Regiones[Fecha],Tabla54[[#This Row],[Fecha]],Regiones[Intervalo],Tabla54[[#This Row],[Intervalo]],Regiones[Skill],'BUPA Seguros'!$L$3)/Tabla54[[#This Row],[Atendidas]],0)</f>
        <v>0</v>
      </c>
      <c r="H9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7" s="21">
        <f>IFERROR(Tabla54[[#This Row],[Atendidas]]/Tabla54[[#This Row],[Recibidas]],0)</f>
        <v>0</v>
      </c>
    </row>
    <row r="978" spans="2:9" x14ac:dyDescent="0.3">
      <c r="B978" s="27">
        <f t="shared" si="41"/>
        <v>46224</v>
      </c>
      <c r="C978" s="18">
        <v>0.25</v>
      </c>
      <c r="D978" s="19">
        <f>+SUMIFS(Regiones[Ofrecidas],Regiones[Fecha],Tabla54[[#This Row],[Fecha]],Regiones[Intervalo],Tabla54[[#This Row],[Intervalo]],Regiones[Skill],'BUPA Seguros'!$L$3)</f>
        <v>0</v>
      </c>
      <c r="E978" s="19">
        <f>+SUMIFS(Regiones[Contestadas],Regiones[Fecha],Tabla54[[#This Row],[Fecha]],Regiones[Intervalo],Tabla54[[#This Row],[Intervalo]],Regiones[Skill],'BUPA Seguros'!$L$3)</f>
        <v>0</v>
      </c>
      <c r="F978" s="20">
        <v>0</v>
      </c>
      <c r="G978" s="19">
        <f>IFERROR(SUMIFS(Regiones[TMO],Regiones[Fecha],Tabla54[[#This Row],[Fecha]],Regiones[Intervalo],Tabla54[[#This Row],[Intervalo]],Regiones[Skill],'BUPA Seguros'!$L$3)/Tabla54[[#This Row],[Atendidas]],0)</f>
        <v>0</v>
      </c>
      <c r="H9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8" s="21">
        <f>IFERROR(Tabla54[[#This Row],[Atendidas]]/Tabla54[[#This Row],[Recibidas]],0)</f>
        <v>0</v>
      </c>
    </row>
    <row r="979" spans="2:9" x14ac:dyDescent="0.3">
      <c r="B979" s="25">
        <f t="shared" si="41"/>
        <v>46224</v>
      </c>
      <c r="C979" s="26">
        <v>0.27083333333333298</v>
      </c>
      <c r="D979" s="19">
        <f>+SUMIFS(Regiones[Ofrecidas],Regiones[Fecha],Tabla54[[#This Row],[Fecha]],Regiones[Intervalo],Tabla54[[#This Row],[Intervalo]],Regiones[Skill],'BUPA Seguros'!$L$3)</f>
        <v>0</v>
      </c>
      <c r="E979" s="19">
        <f>+SUMIFS(Regiones[Contestadas],Regiones[Fecha],Tabla54[[#This Row],[Fecha]],Regiones[Intervalo],Tabla54[[#This Row],[Intervalo]],Regiones[Skill],'BUPA Seguros'!$L$3)</f>
        <v>0</v>
      </c>
      <c r="F979" s="20">
        <v>0</v>
      </c>
      <c r="G979" s="19">
        <f>IFERROR(SUMIFS(Regiones[TMO],Regiones[Fecha],Tabla54[[#This Row],[Fecha]],Regiones[Intervalo],Tabla54[[#This Row],[Intervalo]],Regiones[Skill],'BUPA Seguros'!$L$3)/Tabla54[[#This Row],[Atendidas]],0)</f>
        <v>0</v>
      </c>
      <c r="H9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79" s="21">
        <f>IFERROR(Tabla54[[#This Row],[Atendidas]]/Tabla54[[#This Row],[Recibidas]],0)</f>
        <v>0</v>
      </c>
    </row>
    <row r="980" spans="2:9" x14ac:dyDescent="0.3">
      <c r="B980" s="27">
        <f t="shared" si="41"/>
        <v>46224</v>
      </c>
      <c r="C980" s="18">
        <v>0.29166666666666702</v>
      </c>
      <c r="D980" s="19">
        <f>+SUMIFS(Regiones[Ofrecidas],Regiones[Fecha],Tabla54[[#This Row],[Fecha]],Regiones[Intervalo],Tabla54[[#This Row],[Intervalo]],Regiones[Skill],'BUPA Seguros'!$L$3)</f>
        <v>0</v>
      </c>
      <c r="E980" s="19">
        <f>+SUMIFS(Regiones[Contestadas],Regiones[Fecha],Tabla54[[#This Row],[Fecha]],Regiones[Intervalo],Tabla54[[#This Row],[Intervalo]],Regiones[Skill],'BUPA Seguros'!$L$3)</f>
        <v>0</v>
      </c>
      <c r="F980" s="20">
        <v>0</v>
      </c>
      <c r="G980" s="19">
        <f>IFERROR(SUMIFS(Regiones[TMO],Regiones[Fecha],Tabla54[[#This Row],[Fecha]],Regiones[Intervalo],Tabla54[[#This Row],[Intervalo]],Regiones[Skill],'BUPA Seguros'!$L$3)/Tabla54[[#This Row],[Atendidas]],0)</f>
        <v>0</v>
      </c>
      <c r="H9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0" s="21">
        <f>IFERROR(Tabla54[[#This Row],[Atendidas]]/Tabla54[[#This Row],[Recibidas]],0)</f>
        <v>0</v>
      </c>
    </row>
    <row r="981" spans="2:9" x14ac:dyDescent="0.3">
      <c r="B981" s="25">
        <f t="shared" si="41"/>
        <v>46224</v>
      </c>
      <c r="C981" s="26">
        <v>0.3125</v>
      </c>
      <c r="D981" s="19">
        <f>+SUMIFS(Regiones[Ofrecidas],Regiones[Fecha],Tabla54[[#This Row],[Fecha]],Regiones[Intervalo],Tabla54[[#This Row],[Intervalo]],Regiones[Skill],'BUPA Seguros'!$L$3)</f>
        <v>0</v>
      </c>
      <c r="E981" s="19">
        <f>+SUMIFS(Regiones[Contestadas],Regiones[Fecha],Tabla54[[#This Row],[Fecha]],Regiones[Intervalo],Tabla54[[#This Row],[Intervalo]],Regiones[Skill],'BUPA Seguros'!$L$3)</f>
        <v>0</v>
      </c>
      <c r="F981" s="20">
        <v>0</v>
      </c>
      <c r="G981" s="19">
        <f>IFERROR(SUMIFS(Regiones[TMO],Regiones[Fecha],Tabla54[[#This Row],[Fecha]],Regiones[Intervalo],Tabla54[[#This Row],[Intervalo]],Regiones[Skill],'BUPA Seguros'!$L$3)/Tabla54[[#This Row],[Atendidas]],0)</f>
        <v>0</v>
      </c>
      <c r="H9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1" s="21">
        <f>IFERROR(Tabla54[[#This Row],[Atendidas]]/Tabla54[[#This Row],[Recibidas]],0)</f>
        <v>0</v>
      </c>
    </row>
    <row r="982" spans="2:9" x14ac:dyDescent="0.3">
      <c r="B982" s="27">
        <f t="shared" si="41"/>
        <v>46224</v>
      </c>
      <c r="C982" s="18">
        <v>0.33333333333333298</v>
      </c>
      <c r="D982" s="19">
        <f>+SUMIFS(Regiones[Ofrecidas],Regiones[Fecha],Tabla54[[#This Row],[Fecha]],Regiones[Intervalo],Tabla54[[#This Row],[Intervalo]],Regiones[Skill],'BUPA Seguros'!$L$3)</f>
        <v>0</v>
      </c>
      <c r="E982" s="19">
        <f>+SUMIFS(Regiones[Contestadas],Regiones[Fecha],Tabla54[[#This Row],[Fecha]],Regiones[Intervalo],Tabla54[[#This Row],[Intervalo]],Regiones[Skill],'BUPA Seguros'!$L$3)</f>
        <v>0</v>
      </c>
      <c r="F982" s="20">
        <v>0</v>
      </c>
      <c r="G982" s="19">
        <f>IFERROR(SUMIFS(Regiones[TMO],Regiones[Fecha],Tabla54[[#This Row],[Fecha]],Regiones[Intervalo],Tabla54[[#This Row],[Intervalo]],Regiones[Skill],'BUPA Seguros'!$L$3)/Tabla54[[#This Row],[Atendidas]],0)</f>
        <v>0</v>
      </c>
      <c r="H9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2" s="21">
        <f>IFERROR(Tabla54[[#This Row],[Atendidas]]/Tabla54[[#This Row],[Recibidas]],0)</f>
        <v>0</v>
      </c>
    </row>
    <row r="983" spans="2:9" x14ac:dyDescent="0.3">
      <c r="B983" s="25">
        <f t="shared" si="41"/>
        <v>46224</v>
      </c>
      <c r="C983" s="26">
        <v>0.35416666666666702</v>
      </c>
      <c r="D983" s="19">
        <f>+SUMIFS(Regiones[Ofrecidas],Regiones[Fecha],Tabla54[[#This Row],[Fecha]],Regiones[Intervalo],Tabla54[[#This Row],[Intervalo]],Regiones[Skill],'BUPA Seguros'!$L$3)</f>
        <v>0</v>
      </c>
      <c r="E983" s="19">
        <f>+SUMIFS(Regiones[Contestadas],Regiones[Fecha],Tabla54[[#This Row],[Fecha]],Regiones[Intervalo],Tabla54[[#This Row],[Intervalo]],Regiones[Skill],'BUPA Seguros'!$L$3)</f>
        <v>0</v>
      </c>
      <c r="F983" s="20">
        <v>0</v>
      </c>
      <c r="G983" s="19">
        <f>IFERROR(SUMIFS(Regiones[TMO],Regiones[Fecha],Tabla54[[#This Row],[Fecha]],Regiones[Intervalo],Tabla54[[#This Row],[Intervalo]],Regiones[Skill],'BUPA Seguros'!$L$3)/Tabla54[[#This Row],[Atendidas]],0)</f>
        <v>0</v>
      </c>
      <c r="H9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3" s="21">
        <f>IFERROR(Tabla54[[#This Row],[Atendidas]]/Tabla54[[#This Row],[Recibidas]],0)</f>
        <v>0</v>
      </c>
    </row>
    <row r="984" spans="2:9" x14ac:dyDescent="0.3">
      <c r="B984" s="27">
        <f t="shared" si="41"/>
        <v>46224</v>
      </c>
      <c r="C984" s="18">
        <v>0.375</v>
      </c>
      <c r="D984" s="19">
        <f>+SUMIFS(Regiones[Ofrecidas],Regiones[Fecha],Tabla54[[#This Row],[Fecha]],Regiones[Intervalo],Tabla54[[#This Row],[Intervalo]],Regiones[Skill],'BUPA Seguros'!$L$3)</f>
        <v>0</v>
      </c>
      <c r="E984" s="19">
        <f>+SUMIFS(Regiones[Contestadas],Regiones[Fecha],Tabla54[[#This Row],[Fecha]],Regiones[Intervalo],Tabla54[[#This Row],[Intervalo]],Regiones[Skill],'BUPA Seguros'!$L$3)</f>
        <v>0</v>
      </c>
      <c r="F984" s="20">
        <v>41.213318776683067</v>
      </c>
      <c r="G984" s="19">
        <f>IFERROR(SUMIFS(Regiones[TMO],Regiones[Fecha],Tabla54[[#This Row],[Fecha]],Regiones[Intervalo],Tabla54[[#This Row],[Intervalo]],Regiones[Skill],'BUPA Seguros'!$L$3)/Tabla54[[#This Row],[Atendidas]],0)</f>
        <v>0</v>
      </c>
      <c r="H9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4" s="21">
        <f>IFERROR(Tabla54[[#This Row],[Atendidas]]/Tabla54[[#This Row],[Recibidas]],0)</f>
        <v>0</v>
      </c>
    </row>
    <row r="985" spans="2:9" x14ac:dyDescent="0.3">
      <c r="B985" s="25">
        <f t="shared" si="41"/>
        <v>46224</v>
      </c>
      <c r="C985" s="26">
        <v>0.39583333333333298</v>
      </c>
      <c r="D985" s="19">
        <f>+SUMIFS(Regiones[Ofrecidas],Regiones[Fecha],Tabla54[[#This Row],[Fecha]],Regiones[Intervalo],Tabla54[[#This Row],[Intervalo]],Regiones[Skill],'BUPA Seguros'!$L$3)</f>
        <v>0</v>
      </c>
      <c r="E985" s="19">
        <f>+SUMIFS(Regiones[Contestadas],Regiones[Fecha],Tabla54[[#This Row],[Fecha]],Regiones[Intervalo],Tabla54[[#This Row],[Intervalo]],Regiones[Skill],'BUPA Seguros'!$L$3)</f>
        <v>0</v>
      </c>
      <c r="F985" s="20">
        <v>39.616766788036784</v>
      </c>
      <c r="G985" s="19">
        <f>IFERROR(SUMIFS(Regiones[TMO],Regiones[Fecha],Tabla54[[#This Row],[Fecha]],Regiones[Intervalo],Tabla54[[#This Row],[Intervalo]],Regiones[Skill],'BUPA Seguros'!$L$3)/Tabla54[[#This Row],[Atendidas]],0)</f>
        <v>0</v>
      </c>
      <c r="H9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5" s="21">
        <f>IFERROR(Tabla54[[#This Row],[Atendidas]]/Tabla54[[#This Row],[Recibidas]],0)</f>
        <v>0</v>
      </c>
    </row>
    <row r="986" spans="2:9" x14ac:dyDescent="0.3">
      <c r="B986" s="27">
        <f t="shared" si="41"/>
        <v>46224</v>
      </c>
      <c r="C986" s="18">
        <v>0.41666666666666702</v>
      </c>
      <c r="D986" s="19">
        <f>+SUMIFS(Regiones[Ofrecidas],Regiones[Fecha],Tabla54[[#This Row],[Fecha]],Regiones[Intervalo],Tabla54[[#This Row],[Intervalo]],Regiones[Skill],'BUPA Seguros'!$L$3)</f>
        <v>0</v>
      </c>
      <c r="E986" s="19">
        <f>+SUMIFS(Regiones[Contestadas],Regiones[Fecha],Tabla54[[#This Row],[Fecha]],Regiones[Intervalo],Tabla54[[#This Row],[Intervalo]],Regiones[Skill],'BUPA Seguros'!$L$3)</f>
        <v>0</v>
      </c>
      <c r="F986" s="20">
        <v>39.938552460167038</v>
      </c>
      <c r="G986" s="19">
        <f>IFERROR(SUMIFS(Regiones[TMO],Regiones[Fecha],Tabla54[[#This Row],[Fecha]],Regiones[Intervalo],Tabla54[[#This Row],[Intervalo]],Regiones[Skill],'BUPA Seguros'!$L$3)/Tabla54[[#This Row],[Atendidas]],0)</f>
        <v>0</v>
      </c>
      <c r="H9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6" s="21">
        <f>IFERROR(Tabla54[[#This Row],[Atendidas]]/Tabla54[[#This Row],[Recibidas]],0)</f>
        <v>0</v>
      </c>
    </row>
    <row r="987" spans="2:9" x14ac:dyDescent="0.3">
      <c r="B987" s="25">
        <f t="shared" si="41"/>
        <v>46224</v>
      </c>
      <c r="C987" s="26">
        <v>0.4375</v>
      </c>
      <c r="D987" s="19">
        <f>+SUMIFS(Regiones[Ofrecidas],Regiones[Fecha],Tabla54[[#This Row],[Fecha]],Regiones[Intervalo],Tabla54[[#This Row],[Intervalo]],Regiones[Skill],'BUPA Seguros'!$L$3)</f>
        <v>0</v>
      </c>
      <c r="E987" s="19">
        <f>+SUMIFS(Regiones[Contestadas],Regiones[Fecha],Tabla54[[#This Row],[Fecha]],Regiones[Intervalo],Tabla54[[#This Row],[Intervalo]],Regiones[Skill],'BUPA Seguros'!$L$3)</f>
        <v>0</v>
      </c>
      <c r="F987" s="20">
        <v>41.279326094043114</v>
      </c>
      <c r="G987" s="19">
        <f>IFERROR(SUMIFS(Regiones[TMO],Regiones[Fecha],Tabla54[[#This Row],[Fecha]],Regiones[Intervalo],Tabla54[[#This Row],[Intervalo]],Regiones[Skill],'BUPA Seguros'!$L$3)/Tabla54[[#This Row],[Atendidas]],0)</f>
        <v>0</v>
      </c>
      <c r="H9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7" s="21">
        <f>IFERROR(Tabla54[[#This Row],[Atendidas]]/Tabla54[[#This Row],[Recibidas]],0)</f>
        <v>0</v>
      </c>
    </row>
    <row r="988" spans="2:9" x14ac:dyDescent="0.3">
      <c r="B988" s="27">
        <f t="shared" si="41"/>
        <v>46224</v>
      </c>
      <c r="C988" s="18">
        <v>0.45833333333333298</v>
      </c>
      <c r="D988" s="19">
        <f>+SUMIFS(Regiones[Ofrecidas],Regiones[Fecha],Tabla54[[#This Row],[Fecha]],Regiones[Intervalo],Tabla54[[#This Row],[Intervalo]],Regiones[Skill],'BUPA Seguros'!$L$3)</f>
        <v>0</v>
      </c>
      <c r="E988" s="19">
        <f>+SUMIFS(Regiones[Contestadas],Regiones[Fecha],Tabla54[[#This Row],[Fecha]],Regiones[Intervalo],Tabla54[[#This Row],[Intervalo]],Regiones[Skill],'BUPA Seguros'!$L$3)</f>
        <v>0</v>
      </c>
      <c r="F988" s="20">
        <v>42.706734331954266</v>
      </c>
      <c r="G988" s="19">
        <f>IFERROR(SUMIFS(Regiones[TMO],Regiones[Fecha],Tabla54[[#This Row],[Fecha]],Regiones[Intervalo],Tabla54[[#This Row],[Intervalo]],Regiones[Skill],'BUPA Seguros'!$L$3)/Tabla54[[#This Row],[Atendidas]],0)</f>
        <v>0</v>
      </c>
      <c r="H9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8" s="21">
        <f>IFERROR(Tabla54[[#This Row],[Atendidas]]/Tabla54[[#This Row],[Recibidas]],0)</f>
        <v>0</v>
      </c>
    </row>
    <row r="989" spans="2:9" x14ac:dyDescent="0.3">
      <c r="B989" s="25">
        <f t="shared" si="41"/>
        <v>46224</v>
      </c>
      <c r="C989" s="26">
        <v>0.47916666666666702</v>
      </c>
      <c r="D989" s="19">
        <f>+SUMIFS(Regiones[Ofrecidas],Regiones[Fecha],Tabla54[[#This Row],[Fecha]],Regiones[Intervalo],Tabla54[[#This Row],[Intervalo]],Regiones[Skill],'BUPA Seguros'!$L$3)</f>
        <v>0</v>
      </c>
      <c r="E989" s="19">
        <f>+SUMIFS(Regiones[Contestadas],Regiones[Fecha],Tabla54[[#This Row],[Fecha]],Regiones[Intervalo],Tabla54[[#This Row],[Intervalo]],Regiones[Skill],'BUPA Seguros'!$L$3)</f>
        <v>0</v>
      </c>
      <c r="F989" s="20">
        <v>43.515323969614904</v>
      </c>
      <c r="G989" s="19">
        <f>IFERROR(SUMIFS(Regiones[TMO],Regiones[Fecha],Tabla54[[#This Row],[Fecha]],Regiones[Intervalo],Tabla54[[#This Row],[Intervalo]],Regiones[Skill],'BUPA Seguros'!$L$3)/Tabla54[[#This Row],[Atendidas]],0)</f>
        <v>0</v>
      </c>
      <c r="H9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89" s="21">
        <f>IFERROR(Tabla54[[#This Row],[Atendidas]]/Tabla54[[#This Row],[Recibidas]],0)</f>
        <v>0</v>
      </c>
    </row>
    <row r="990" spans="2:9" x14ac:dyDescent="0.3">
      <c r="B990" s="27">
        <f t="shared" si="41"/>
        <v>46224</v>
      </c>
      <c r="C990" s="18">
        <v>0.5</v>
      </c>
      <c r="D990" s="19">
        <f>+SUMIFS(Regiones[Ofrecidas],Regiones[Fecha],Tabla54[[#This Row],[Fecha]],Regiones[Intervalo],Tabla54[[#This Row],[Intervalo]],Regiones[Skill],'BUPA Seguros'!$L$3)</f>
        <v>0</v>
      </c>
      <c r="E990" s="19">
        <f>+SUMIFS(Regiones[Contestadas],Regiones[Fecha],Tabla54[[#This Row],[Fecha]],Regiones[Intervalo],Tabla54[[#This Row],[Intervalo]],Regiones[Skill],'BUPA Seguros'!$L$3)</f>
        <v>0</v>
      </c>
      <c r="F990" s="20">
        <v>43.630836774995004</v>
      </c>
      <c r="G990" s="19">
        <f>IFERROR(SUMIFS(Regiones[TMO],Regiones[Fecha],Tabla54[[#This Row],[Fecha]],Regiones[Intervalo],Tabla54[[#This Row],[Intervalo]],Regiones[Skill],'BUPA Seguros'!$L$3)/Tabla54[[#This Row],[Atendidas]],0)</f>
        <v>0</v>
      </c>
      <c r="H9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0" s="21">
        <f>IFERROR(Tabla54[[#This Row],[Atendidas]]/Tabla54[[#This Row],[Recibidas]],0)</f>
        <v>0</v>
      </c>
    </row>
    <row r="991" spans="2:9" x14ac:dyDescent="0.3">
      <c r="B991" s="25">
        <f t="shared" si="41"/>
        <v>46224</v>
      </c>
      <c r="C991" s="26">
        <v>0.52083333333333304</v>
      </c>
      <c r="D991" s="19">
        <f>+SUMIFS(Regiones[Ofrecidas],Regiones[Fecha],Tabla54[[#This Row],[Fecha]],Regiones[Intervalo],Tabla54[[#This Row],[Intervalo]],Regiones[Skill],'BUPA Seguros'!$L$3)</f>
        <v>0</v>
      </c>
      <c r="E991" s="19">
        <f>+SUMIFS(Regiones[Contestadas],Regiones[Fecha],Tabla54[[#This Row],[Fecha]],Regiones[Intervalo],Tabla54[[#This Row],[Intervalo]],Regiones[Skill],'BUPA Seguros'!$L$3)</f>
        <v>0</v>
      </c>
      <c r="F991" s="20">
        <v>42.624225185254197</v>
      </c>
      <c r="G991" s="19">
        <f>IFERROR(SUMIFS(Regiones[TMO],Regiones[Fecha],Tabla54[[#This Row],[Fecha]],Regiones[Intervalo],Tabla54[[#This Row],[Intervalo]],Regiones[Skill],'BUPA Seguros'!$L$3)/Tabla54[[#This Row],[Atendidas]],0)</f>
        <v>0</v>
      </c>
      <c r="H9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1" s="21">
        <f>IFERROR(Tabla54[[#This Row],[Atendidas]]/Tabla54[[#This Row],[Recibidas]],0)</f>
        <v>0</v>
      </c>
    </row>
    <row r="992" spans="2:9" x14ac:dyDescent="0.3">
      <c r="B992" s="27">
        <f t="shared" si="41"/>
        <v>46224</v>
      </c>
      <c r="C992" s="18">
        <v>0.54166666666666696</v>
      </c>
      <c r="D992" s="19">
        <f>+SUMIFS(Regiones[Ofrecidas],Regiones[Fecha],Tabla54[[#This Row],[Fecha]],Regiones[Intervalo],Tabla54[[#This Row],[Intervalo]],Regiones[Skill],'BUPA Seguros'!$L$3)</f>
        <v>0</v>
      </c>
      <c r="E992" s="19">
        <f>+SUMIFS(Regiones[Contestadas],Regiones[Fecha],Tabla54[[#This Row],[Fecha]],Regiones[Intervalo],Tabla54[[#This Row],[Intervalo]],Regiones[Skill],'BUPA Seguros'!$L$3)</f>
        <v>0</v>
      </c>
      <c r="F992" s="20">
        <v>40.644005664452607</v>
      </c>
      <c r="G992" s="19">
        <f>IFERROR(SUMIFS(Regiones[TMO],Regiones[Fecha],Tabla54[[#This Row],[Fecha]],Regiones[Intervalo],Tabla54[[#This Row],[Intervalo]],Regiones[Skill],'BUPA Seguros'!$L$3)/Tabla54[[#This Row],[Atendidas]],0)</f>
        <v>0</v>
      </c>
      <c r="H9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2" s="21">
        <f>IFERROR(Tabla54[[#This Row],[Atendidas]]/Tabla54[[#This Row],[Recibidas]],0)</f>
        <v>0</v>
      </c>
    </row>
    <row r="993" spans="2:9" x14ac:dyDescent="0.3">
      <c r="B993" s="25">
        <f t="shared" si="41"/>
        <v>46224</v>
      </c>
      <c r="C993" s="26">
        <v>0.5625</v>
      </c>
      <c r="D993" s="19">
        <f>+SUMIFS(Regiones[Ofrecidas],Regiones[Fecha],Tabla54[[#This Row],[Fecha]],Regiones[Intervalo],Tabla54[[#This Row],[Intervalo]],Regiones[Skill],'BUPA Seguros'!$L$3)</f>
        <v>0</v>
      </c>
      <c r="E993" s="19">
        <f>+SUMIFS(Regiones[Contestadas],Regiones[Fecha],Tabla54[[#This Row],[Fecha]],Regiones[Intervalo],Tabla54[[#This Row],[Intervalo]],Regiones[Skill],'BUPA Seguros'!$L$3)</f>
        <v>0</v>
      </c>
      <c r="F993" s="20">
        <v>37.921203823350424</v>
      </c>
      <c r="G993" s="19">
        <f>IFERROR(SUMIFS(Regiones[TMO],Regiones[Fecha],Tabla54[[#This Row],[Fecha]],Regiones[Intervalo],Tabla54[[#This Row],[Intervalo]],Regiones[Skill],'BUPA Seguros'!$L$3)/Tabla54[[#This Row],[Atendidas]],0)</f>
        <v>0</v>
      </c>
      <c r="H9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3" s="21">
        <f>IFERROR(Tabla54[[#This Row],[Atendidas]]/Tabla54[[#This Row],[Recibidas]],0)</f>
        <v>0</v>
      </c>
    </row>
    <row r="994" spans="2:9" x14ac:dyDescent="0.3">
      <c r="B994" s="27">
        <f t="shared" si="41"/>
        <v>46224</v>
      </c>
      <c r="C994" s="18">
        <v>0.58333333333333304</v>
      </c>
      <c r="D994" s="19">
        <f>+SUMIFS(Regiones[Ofrecidas],Regiones[Fecha],Tabla54[[#This Row],[Fecha]],Regiones[Intervalo],Tabla54[[#This Row],[Intervalo]],Regiones[Skill],'BUPA Seguros'!$L$3)</f>
        <v>0</v>
      </c>
      <c r="E994" s="19">
        <f>+SUMIFS(Regiones[Contestadas],Regiones[Fecha],Tabla54[[#This Row],[Fecha]],Regiones[Intervalo],Tabla54[[#This Row],[Intervalo]],Regiones[Skill],'BUPA Seguros'!$L$3)</f>
        <v>0</v>
      </c>
      <c r="F994" s="20">
        <v>35.297412958288319</v>
      </c>
      <c r="G994" s="19">
        <f>IFERROR(SUMIFS(Regiones[TMO],Regiones[Fecha],Tabla54[[#This Row],[Fecha]],Regiones[Intervalo],Tabla54[[#This Row],[Intervalo]],Regiones[Skill],'BUPA Seguros'!$L$3)/Tabla54[[#This Row],[Atendidas]],0)</f>
        <v>0</v>
      </c>
      <c r="H9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4" s="21">
        <f>IFERROR(Tabla54[[#This Row],[Atendidas]]/Tabla54[[#This Row],[Recibidas]],0)</f>
        <v>0</v>
      </c>
    </row>
    <row r="995" spans="2:9" x14ac:dyDescent="0.3">
      <c r="B995" s="25">
        <f t="shared" si="41"/>
        <v>46224</v>
      </c>
      <c r="C995" s="26">
        <v>0.60416666666666696</v>
      </c>
      <c r="D995" s="19">
        <f>+SUMIFS(Regiones[Ofrecidas],Regiones[Fecha],Tabla54[[#This Row],[Fecha]],Regiones[Intervalo],Tabla54[[#This Row],[Intervalo]],Regiones[Skill],'BUPA Seguros'!$L$3)</f>
        <v>0</v>
      </c>
      <c r="E995" s="19">
        <f>+SUMIFS(Regiones[Contestadas],Regiones[Fecha],Tabla54[[#This Row],[Fecha]],Regiones[Intervalo],Tabla54[[#This Row],[Intervalo]],Regiones[Skill],'BUPA Seguros'!$L$3)</f>
        <v>0</v>
      </c>
      <c r="F995" s="20">
        <v>32.888145874646391</v>
      </c>
      <c r="G995" s="19">
        <f>IFERROR(SUMIFS(Regiones[TMO],Regiones[Fecha],Tabla54[[#This Row],[Fecha]],Regiones[Intervalo],Tabla54[[#This Row],[Intervalo]],Regiones[Skill],'BUPA Seguros'!$L$3)/Tabla54[[#This Row],[Atendidas]],0)</f>
        <v>0</v>
      </c>
      <c r="H9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5" s="21">
        <f>IFERROR(Tabla54[[#This Row],[Atendidas]]/Tabla54[[#This Row],[Recibidas]],0)</f>
        <v>0</v>
      </c>
    </row>
    <row r="996" spans="2:9" x14ac:dyDescent="0.3">
      <c r="B996" s="27">
        <f t="shared" si="41"/>
        <v>46224</v>
      </c>
      <c r="C996" s="18">
        <v>0.625</v>
      </c>
      <c r="D996" s="19">
        <f>+SUMIFS(Regiones[Ofrecidas],Regiones[Fecha],Tabla54[[#This Row],[Fecha]],Regiones[Intervalo],Tabla54[[#This Row],[Intervalo]],Regiones[Skill],'BUPA Seguros'!$L$3)</f>
        <v>0</v>
      </c>
      <c r="E996" s="19">
        <f>+SUMIFS(Regiones[Contestadas],Regiones[Fecha],Tabla54[[#This Row],[Fecha]],Regiones[Intervalo],Tabla54[[#This Row],[Intervalo]],Regiones[Skill],'BUPA Seguros'!$L$3)</f>
        <v>0</v>
      </c>
      <c r="F996" s="20">
        <v>31.303970258005116</v>
      </c>
      <c r="G996" s="19">
        <f>IFERROR(SUMIFS(Regiones[TMO],Regiones[Fecha],Tabla54[[#This Row],[Fecha]],Regiones[Intervalo],Tabla54[[#This Row],[Intervalo]],Regiones[Skill],'BUPA Seguros'!$L$3)/Tabla54[[#This Row],[Atendidas]],0)</f>
        <v>0</v>
      </c>
      <c r="H9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6" s="21">
        <f>IFERROR(Tabla54[[#This Row],[Atendidas]]/Tabla54[[#This Row],[Recibidas]],0)</f>
        <v>0</v>
      </c>
    </row>
    <row r="997" spans="2:9" x14ac:dyDescent="0.3">
      <c r="B997" s="25">
        <f t="shared" si="41"/>
        <v>46224</v>
      </c>
      <c r="C997" s="26">
        <v>0.64583333333333304</v>
      </c>
      <c r="D997" s="19">
        <f>+SUMIFS(Regiones[Ofrecidas],Regiones[Fecha],Tabla54[[#This Row],[Fecha]],Regiones[Intervalo],Tabla54[[#This Row],[Intervalo]],Regiones[Skill],'BUPA Seguros'!$L$3)</f>
        <v>0</v>
      </c>
      <c r="E997" s="19">
        <f>+SUMIFS(Regiones[Contestadas],Regiones[Fecha],Tabla54[[#This Row],[Fecha]],Regiones[Intervalo],Tabla54[[#This Row],[Intervalo]],Regiones[Skill],'BUPA Seguros'!$L$3)</f>
        <v>0</v>
      </c>
      <c r="F997" s="20">
        <v>30.148842204204193</v>
      </c>
      <c r="G997" s="19">
        <f>IFERROR(SUMIFS(Regiones[TMO],Regiones[Fecha],Tabla54[[#This Row],[Fecha]],Regiones[Intervalo],Tabla54[[#This Row],[Intervalo]],Regiones[Skill],'BUPA Seguros'!$L$3)/Tabla54[[#This Row],[Atendidas]],0)</f>
        <v>0</v>
      </c>
      <c r="H9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7" s="21">
        <f>IFERROR(Tabla54[[#This Row],[Atendidas]]/Tabla54[[#This Row],[Recibidas]],0)</f>
        <v>0</v>
      </c>
    </row>
    <row r="998" spans="2:9" x14ac:dyDescent="0.3">
      <c r="B998" s="27">
        <f t="shared" si="41"/>
        <v>46224</v>
      </c>
      <c r="C998" s="18">
        <v>0.66666666666666696</v>
      </c>
      <c r="D998" s="19">
        <f>+SUMIFS(Regiones[Ofrecidas],Regiones[Fecha],Tabla54[[#This Row],[Fecha]],Regiones[Intervalo],Tabla54[[#This Row],[Intervalo]],Regiones[Skill],'BUPA Seguros'!$L$3)</f>
        <v>0</v>
      </c>
      <c r="E998" s="19">
        <f>+SUMIFS(Regiones[Contestadas],Regiones[Fecha],Tabla54[[#This Row],[Fecha]],Regiones[Intervalo],Tabla54[[#This Row],[Intervalo]],Regiones[Skill],'BUPA Seguros'!$L$3)</f>
        <v>0</v>
      </c>
      <c r="F998" s="20">
        <v>29.736296470703859</v>
      </c>
      <c r="G998" s="19">
        <f>IFERROR(SUMIFS(Regiones[TMO],Regiones[Fecha],Tabla54[[#This Row],[Fecha]],Regiones[Intervalo],Tabla54[[#This Row],[Intervalo]],Regiones[Skill],'BUPA Seguros'!$L$3)/Tabla54[[#This Row],[Atendidas]],0)</f>
        <v>0</v>
      </c>
      <c r="H9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8" s="21">
        <f>IFERROR(Tabla54[[#This Row],[Atendidas]]/Tabla54[[#This Row],[Recibidas]],0)</f>
        <v>0</v>
      </c>
    </row>
    <row r="999" spans="2:9" x14ac:dyDescent="0.3">
      <c r="B999" s="25">
        <f t="shared" si="41"/>
        <v>46224</v>
      </c>
      <c r="C999" s="26">
        <v>0.6875</v>
      </c>
      <c r="D999" s="19">
        <f>+SUMIFS(Regiones[Ofrecidas],Regiones[Fecha],Tabla54[[#This Row],[Fecha]],Regiones[Intervalo],Tabla54[[#This Row],[Intervalo]],Regiones[Skill],'BUPA Seguros'!$L$3)</f>
        <v>0</v>
      </c>
      <c r="E999" s="19">
        <f>+SUMIFS(Regiones[Contestadas],Regiones[Fecha],Tabla54[[#This Row],[Fecha]],Regiones[Intervalo],Tabla54[[#This Row],[Intervalo]],Regiones[Skill],'BUPA Seguros'!$L$3)</f>
        <v>0</v>
      </c>
      <c r="F999" s="20">
        <v>29.884812934763978</v>
      </c>
      <c r="G999" s="19">
        <f>IFERROR(SUMIFS(Regiones[TMO],Regiones[Fecha],Tabla54[[#This Row],[Fecha]],Regiones[Intervalo],Tabla54[[#This Row],[Intervalo]],Regiones[Skill],'BUPA Seguros'!$L$3)/Tabla54[[#This Row],[Atendidas]],0)</f>
        <v>0</v>
      </c>
      <c r="H9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999" s="21">
        <f>IFERROR(Tabla54[[#This Row],[Atendidas]]/Tabla54[[#This Row],[Recibidas]],0)</f>
        <v>0</v>
      </c>
    </row>
    <row r="1000" spans="2:9" x14ac:dyDescent="0.3">
      <c r="B1000" s="27">
        <f t="shared" si="41"/>
        <v>46224</v>
      </c>
      <c r="C1000" s="18">
        <v>0.70833333333333304</v>
      </c>
      <c r="D1000" s="19">
        <f>+SUMIFS(Regiones[Ofrecidas],Regiones[Fecha],Tabla54[[#This Row],[Fecha]],Regiones[Intervalo],Tabla54[[#This Row],[Intervalo]],Regiones[Skill],'BUPA Seguros'!$L$3)</f>
        <v>0</v>
      </c>
      <c r="E1000" s="19">
        <f>+SUMIFS(Regiones[Contestadas],Regiones[Fecha],Tabla54[[#This Row],[Fecha]],Regiones[Intervalo],Tabla54[[#This Row],[Intervalo]],Regiones[Skill],'BUPA Seguros'!$L$3)</f>
        <v>0</v>
      </c>
      <c r="F1000" s="20">
        <v>30.297358668264309</v>
      </c>
      <c r="G1000" s="19">
        <f>IFERROR(SUMIFS(Regiones[TMO],Regiones[Fecha],Tabla54[[#This Row],[Fecha]],Regiones[Intervalo],Tabla54[[#This Row],[Intervalo]],Regiones[Skill],'BUPA Seguros'!$L$3)/Tabla54[[#This Row],[Atendidas]],0)</f>
        <v>0</v>
      </c>
      <c r="H10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0" s="21">
        <f>IFERROR(Tabla54[[#This Row],[Atendidas]]/Tabla54[[#This Row],[Recibidas]],0)</f>
        <v>0</v>
      </c>
    </row>
    <row r="1001" spans="2:9" x14ac:dyDescent="0.3">
      <c r="B1001" s="25">
        <f t="shared" si="41"/>
        <v>46224</v>
      </c>
      <c r="C1001" s="26">
        <v>0.72916666666666696</v>
      </c>
      <c r="D1001" s="19">
        <f>+SUMIFS(Regiones[Ofrecidas],Regiones[Fecha],Tabla54[[#This Row],[Fecha]],Regiones[Intervalo],Tabla54[[#This Row],[Intervalo]],Regiones[Skill],'BUPA Seguros'!$L$3)</f>
        <v>0</v>
      </c>
      <c r="E1001" s="19">
        <f>+SUMIFS(Regiones[Contestadas],Regiones[Fecha],Tabla54[[#This Row],[Fecha]],Regiones[Intervalo],Tabla54[[#This Row],[Intervalo]],Regiones[Skill],'BUPA Seguros'!$L$3)</f>
        <v>0</v>
      </c>
      <c r="F1001" s="20">
        <v>31.559748612775326</v>
      </c>
      <c r="G1001" s="19">
        <f>IFERROR(SUMIFS(Regiones[TMO],Regiones[Fecha],Tabla54[[#This Row],[Fecha]],Regiones[Intervalo],Tabla54[[#This Row],[Intervalo]],Regiones[Skill],'BUPA Seguros'!$L$3)/Tabla54[[#This Row],[Atendidas]],0)</f>
        <v>0</v>
      </c>
      <c r="H10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1" s="21">
        <f>IFERROR(Tabla54[[#This Row],[Atendidas]]/Tabla54[[#This Row],[Recibidas]],0)</f>
        <v>0</v>
      </c>
    </row>
    <row r="1002" spans="2:9" x14ac:dyDescent="0.3">
      <c r="B1002" s="27">
        <f t="shared" si="41"/>
        <v>46224</v>
      </c>
      <c r="C1002" s="18">
        <v>0.75</v>
      </c>
      <c r="D1002" s="19">
        <f>+SUMIFS(Regiones[Ofrecidas],Regiones[Fecha],Tabla54[[#This Row],[Fecha]],Regiones[Intervalo],Tabla54[[#This Row],[Intervalo]],Regiones[Skill],'BUPA Seguros'!$L$3)</f>
        <v>0</v>
      </c>
      <c r="E1002" s="19">
        <f>+SUMIFS(Regiones[Contestadas],Regiones[Fecha],Tabla54[[#This Row],[Fecha]],Regiones[Intervalo],Tabla54[[#This Row],[Intervalo]],Regiones[Skill],'BUPA Seguros'!$L$3)</f>
        <v>0</v>
      </c>
      <c r="F1002" s="20">
        <v>0</v>
      </c>
      <c r="G1002" s="19">
        <f>IFERROR(SUMIFS(Regiones[TMO],Regiones[Fecha],Tabla54[[#This Row],[Fecha]],Regiones[Intervalo],Tabla54[[#This Row],[Intervalo]],Regiones[Skill],'BUPA Seguros'!$L$3)/Tabla54[[#This Row],[Atendidas]],0)</f>
        <v>0</v>
      </c>
      <c r="H10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2" s="21">
        <f>IFERROR(Tabla54[[#This Row],[Atendidas]]/Tabla54[[#This Row],[Recibidas]],0)</f>
        <v>0</v>
      </c>
    </row>
    <row r="1003" spans="2:9" x14ac:dyDescent="0.3">
      <c r="B1003" s="25">
        <f t="shared" si="41"/>
        <v>46224</v>
      </c>
      <c r="C1003" s="26">
        <v>0.77083333333333304</v>
      </c>
      <c r="D1003" s="19">
        <f>+SUMIFS(Regiones[Ofrecidas],Regiones[Fecha],Tabla54[[#This Row],[Fecha]],Regiones[Intervalo],Tabla54[[#This Row],[Intervalo]],Regiones[Skill],'BUPA Seguros'!$L$3)</f>
        <v>0</v>
      </c>
      <c r="E1003" s="19">
        <f>+SUMIFS(Regiones[Contestadas],Regiones[Fecha],Tabla54[[#This Row],[Fecha]],Regiones[Intervalo],Tabla54[[#This Row],[Intervalo]],Regiones[Skill],'BUPA Seguros'!$L$3)</f>
        <v>0</v>
      </c>
      <c r="F1003" s="20">
        <v>0</v>
      </c>
      <c r="G1003" s="19">
        <f>IFERROR(SUMIFS(Regiones[TMO],Regiones[Fecha],Tabla54[[#This Row],[Fecha]],Regiones[Intervalo],Tabla54[[#This Row],[Intervalo]],Regiones[Skill],'BUPA Seguros'!$L$3)/Tabla54[[#This Row],[Atendidas]],0)</f>
        <v>0</v>
      </c>
      <c r="H10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3" s="21">
        <f>IFERROR(Tabla54[[#This Row],[Atendidas]]/Tabla54[[#This Row],[Recibidas]],0)</f>
        <v>0</v>
      </c>
    </row>
    <row r="1004" spans="2:9" x14ac:dyDescent="0.3">
      <c r="B1004" s="27">
        <f t="shared" si="41"/>
        <v>46224</v>
      </c>
      <c r="C1004" s="18">
        <v>0.79166666666666696</v>
      </c>
      <c r="D1004" s="19">
        <f>+SUMIFS(Regiones[Ofrecidas],Regiones[Fecha],Tabla54[[#This Row],[Fecha]],Regiones[Intervalo],Tabla54[[#This Row],[Intervalo]],Regiones[Skill],'BUPA Seguros'!$L$3)</f>
        <v>0</v>
      </c>
      <c r="E1004" s="19">
        <f>+SUMIFS(Regiones[Contestadas],Regiones[Fecha],Tabla54[[#This Row],[Fecha]],Regiones[Intervalo],Tabla54[[#This Row],[Intervalo]],Regiones[Skill],'BUPA Seguros'!$L$3)</f>
        <v>0</v>
      </c>
      <c r="F1004" s="20">
        <v>0</v>
      </c>
      <c r="G1004" s="19">
        <f>IFERROR(SUMIFS(Regiones[TMO],Regiones[Fecha],Tabla54[[#This Row],[Fecha]],Regiones[Intervalo],Tabla54[[#This Row],[Intervalo]],Regiones[Skill],'BUPA Seguros'!$L$3)/Tabla54[[#This Row],[Atendidas]],0)</f>
        <v>0</v>
      </c>
      <c r="H10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4" s="21">
        <f>IFERROR(Tabla54[[#This Row],[Atendidas]]/Tabla54[[#This Row],[Recibidas]],0)</f>
        <v>0</v>
      </c>
    </row>
    <row r="1005" spans="2:9" x14ac:dyDescent="0.3">
      <c r="B1005" s="25">
        <f t="shared" si="41"/>
        <v>46224</v>
      </c>
      <c r="C1005" s="26">
        <v>0.8125</v>
      </c>
      <c r="D1005" s="19">
        <f>+SUMIFS(Regiones[Ofrecidas],Regiones[Fecha],Tabla54[[#This Row],[Fecha]],Regiones[Intervalo],Tabla54[[#This Row],[Intervalo]],Regiones[Skill],'BUPA Seguros'!$L$3)</f>
        <v>0</v>
      </c>
      <c r="E1005" s="19">
        <f>+SUMIFS(Regiones[Contestadas],Regiones[Fecha],Tabla54[[#This Row],[Fecha]],Regiones[Intervalo],Tabla54[[#This Row],[Intervalo]],Regiones[Skill],'BUPA Seguros'!$L$3)</f>
        <v>0</v>
      </c>
      <c r="F1005" s="20">
        <v>0</v>
      </c>
      <c r="G1005" s="19">
        <f>IFERROR(SUMIFS(Regiones[TMO],Regiones[Fecha],Tabla54[[#This Row],[Fecha]],Regiones[Intervalo],Tabla54[[#This Row],[Intervalo]],Regiones[Skill],'BUPA Seguros'!$L$3)/Tabla54[[#This Row],[Atendidas]],0)</f>
        <v>0</v>
      </c>
      <c r="H10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5" s="21">
        <f>IFERROR(Tabla54[[#This Row],[Atendidas]]/Tabla54[[#This Row],[Recibidas]],0)</f>
        <v>0</v>
      </c>
    </row>
    <row r="1006" spans="2:9" x14ac:dyDescent="0.3">
      <c r="B1006" s="27">
        <f t="shared" si="41"/>
        <v>46224</v>
      </c>
      <c r="C1006" s="18">
        <v>0.83333333333333304</v>
      </c>
      <c r="D1006" s="19">
        <f>+SUMIFS(Regiones[Ofrecidas],Regiones[Fecha],Tabla54[[#This Row],[Fecha]],Regiones[Intervalo],Tabla54[[#This Row],[Intervalo]],Regiones[Skill],'BUPA Seguros'!$L$3)</f>
        <v>0</v>
      </c>
      <c r="E1006" s="19">
        <f>+SUMIFS(Regiones[Contestadas],Regiones[Fecha],Tabla54[[#This Row],[Fecha]],Regiones[Intervalo],Tabla54[[#This Row],[Intervalo]],Regiones[Skill],'BUPA Seguros'!$L$3)</f>
        <v>0</v>
      </c>
      <c r="F1006" s="20">
        <v>0</v>
      </c>
      <c r="G1006" s="19">
        <f>IFERROR(SUMIFS(Regiones[TMO],Regiones[Fecha],Tabla54[[#This Row],[Fecha]],Regiones[Intervalo],Tabla54[[#This Row],[Intervalo]],Regiones[Skill],'BUPA Seguros'!$L$3)/Tabla54[[#This Row],[Atendidas]],0)</f>
        <v>0</v>
      </c>
      <c r="H10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6" s="21">
        <f>IFERROR(Tabla54[[#This Row],[Atendidas]]/Tabla54[[#This Row],[Recibidas]],0)</f>
        <v>0</v>
      </c>
    </row>
    <row r="1007" spans="2:9" x14ac:dyDescent="0.3">
      <c r="B1007" s="25">
        <f t="shared" si="41"/>
        <v>46224</v>
      </c>
      <c r="C1007" s="26">
        <v>0.85416666666666696</v>
      </c>
      <c r="D1007" s="19">
        <f>+SUMIFS(Regiones[Ofrecidas],Regiones[Fecha],Tabla54[[#This Row],[Fecha]],Regiones[Intervalo],Tabla54[[#This Row],[Intervalo]],Regiones[Skill],'BUPA Seguros'!$L$3)</f>
        <v>0</v>
      </c>
      <c r="E1007" s="19">
        <f>+SUMIFS(Regiones[Contestadas],Regiones[Fecha],Tabla54[[#This Row],[Fecha]],Regiones[Intervalo],Tabla54[[#This Row],[Intervalo]],Regiones[Skill],'BUPA Seguros'!$L$3)</f>
        <v>0</v>
      </c>
      <c r="F1007" s="20">
        <v>0</v>
      </c>
      <c r="G1007" s="19">
        <f>IFERROR(SUMIFS(Regiones[TMO],Regiones[Fecha],Tabla54[[#This Row],[Fecha]],Regiones[Intervalo],Tabla54[[#This Row],[Intervalo]],Regiones[Skill],'BUPA Seguros'!$L$3)/Tabla54[[#This Row],[Atendidas]],0)</f>
        <v>0</v>
      </c>
      <c r="H10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7" s="21">
        <f>IFERROR(Tabla54[[#This Row],[Atendidas]]/Tabla54[[#This Row],[Recibidas]],0)</f>
        <v>0</v>
      </c>
    </row>
    <row r="1008" spans="2:9" x14ac:dyDescent="0.3">
      <c r="B1008" s="27">
        <f t="shared" si="41"/>
        <v>46224</v>
      </c>
      <c r="C1008" s="18">
        <v>0.875</v>
      </c>
      <c r="D1008" s="19">
        <f>+SUMIFS(Regiones[Ofrecidas],Regiones[Fecha],Tabla54[[#This Row],[Fecha]],Regiones[Intervalo],Tabla54[[#This Row],[Intervalo]],Regiones[Skill],'BUPA Seguros'!$L$3)</f>
        <v>0</v>
      </c>
      <c r="E1008" s="19">
        <f>+SUMIFS(Regiones[Contestadas],Regiones[Fecha],Tabla54[[#This Row],[Fecha]],Regiones[Intervalo],Tabla54[[#This Row],[Intervalo]],Regiones[Skill],'BUPA Seguros'!$L$3)</f>
        <v>0</v>
      </c>
      <c r="F1008" s="20">
        <v>0</v>
      </c>
      <c r="G1008" s="19">
        <f>IFERROR(SUMIFS(Regiones[TMO],Regiones[Fecha],Tabla54[[#This Row],[Fecha]],Regiones[Intervalo],Tabla54[[#This Row],[Intervalo]],Regiones[Skill],'BUPA Seguros'!$L$3)/Tabla54[[#This Row],[Atendidas]],0)</f>
        <v>0</v>
      </c>
      <c r="H10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8" s="21">
        <f>IFERROR(Tabla54[[#This Row],[Atendidas]]/Tabla54[[#This Row],[Recibidas]],0)</f>
        <v>0</v>
      </c>
    </row>
    <row r="1009" spans="2:9" x14ac:dyDescent="0.3">
      <c r="B1009" s="25">
        <f t="shared" si="41"/>
        <v>46224</v>
      </c>
      <c r="C1009" s="26">
        <v>0.89583333333333304</v>
      </c>
      <c r="D1009" s="19">
        <f>+SUMIFS(Regiones[Ofrecidas],Regiones[Fecha],Tabla54[[#This Row],[Fecha]],Regiones[Intervalo],Tabla54[[#This Row],[Intervalo]],Regiones[Skill],'BUPA Seguros'!$L$3)</f>
        <v>0</v>
      </c>
      <c r="E1009" s="19">
        <f>+SUMIFS(Regiones[Contestadas],Regiones[Fecha],Tabla54[[#This Row],[Fecha]],Regiones[Intervalo],Tabla54[[#This Row],[Intervalo]],Regiones[Skill],'BUPA Seguros'!$L$3)</f>
        <v>0</v>
      </c>
      <c r="F1009" s="20">
        <v>0</v>
      </c>
      <c r="G1009" s="19">
        <f>IFERROR(SUMIFS(Regiones[TMO],Regiones[Fecha],Tabla54[[#This Row],[Fecha]],Regiones[Intervalo],Tabla54[[#This Row],[Intervalo]],Regiones[Skill],'BUPA Seguros'!$L$3)/Tabla54[[#This Row],[Atendidas]],0)</f>
        <v>0</v>
      </c>
      <c r="H10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09" s="21">
        <f>IFERROR(Tabla54[[#This Row],[Atendidas]]/Tabla54[[#This Row],[Recibidas]],0)</f>
        <v>0</v>
      </c>
    </row>
    <row r="1010" spans="2:9" x14ac:dyDescent="0.3">
      <c r="B1010" s="27">
        <f t="shared" si="41"/>
        <v>46224</v>
      </c>
      <c r="C1010" s="18">
        <v>0.91666666666666696</v>
      </c>
      <c r="D1010" s="19">
        <f>+SUMIFS(Regiones[Ofrecidas],Regiones[Fecha],Tabla54[[#This Row],[Fecha]],Regiones[Intervalo],Tabla54[[#This Row],[Intervalo]],Regiones[Skill],'BUPA Seguros'!$L$3)</f>
        <v>0</v>
      </c>
      <c r="E1010" s="19">
        <f>+SUMIFS(Regiones[Contestadas],Regiones[Fecha],Tabla54[[#This Row],[Fecha]],Regiones[Intervalo],Tabla54[[#This Row],[Intervalo]],Regiones[Skill],'BUPA Seguros'!$L$3)</f>
        <v>0</v>
      </c>
      <c r="F1010" s="20">
        <v>0</v>
      </c>
      <c r="G1010" s="19">
        <f>IFERROR(SUMIFS(Regiones[TMO],Regiones[Fecha],Tabla54[[#This Row],[Fecha]],Regiones[Intervalo],Tabla54[[#This Row],[Intervalo]],Regiones[Skill],'BUPA Seguros'!$L$3)/Tabla54[[#This Row],[Atendidas]],0)</f>
        <v>0</v>
      </c>
      <c r="H10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0" s="21">
        <f>IFERROR(Tabla54[[#This Row],[Atendidas]]/Tabla54[[#This Row],[Recibidas]],0)</f>
        <v>0</v>
      </c>
    </row>
    <row r="1011" spans="2:9" x14ac:dyDescent="0.3">
      <c r="B1011" s="25">
        <f t="shared" si="41"/>
        <v>46224</v>
      </c>
      <c r="C1011" s="26">
        <v>0.9375</v>
      </c>
      <c r="D1011" s="19">
        <f>+SUMIFS(Regiones[Ofrecidas],Regiones[Fecha],Tabla54[[#This Row],[Fecha]],Regiones[Intervalo],Tabla54[[#This Row],[Intervalo]],Regiones[Skill],'BUPA Seguros'!$L$3)</f>
        <v>0</v>
      </c>
      <c r="E1011" s="19">
        <f>+SUMIFS(Regiones[Contestadas],Regiones[Fecha],Tabla54[[#This Row],[Fecha]],Regiones[Intervalo],Tabla54[[#This Row],[Intervalo]],Regiones[Skill],'BUPA Seguros'!$L$3)</f>
        <v>0</v>
      </c>
      <c r="F1011" s="20">
        <v>0</v>
      </c>
      <c r="G1011" s="19">
        <f>IFERROR(SUMIFS(Regiones[TMO],Regiones[Fecha],Tabla54[[#This Row],[Fecha]],Regiones[Intervalo],Tabla54[[#This Row],[Intervalo]],Regiones[Skill],'BUPA Seguros'!$L$3)/Tabla54[[#This Row],[Atendidas]],0)</f>
        <v>0</v>
      </c>
      <c r="H10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1" s="21">
        <f>IFERROR(Tabla54[[#This Row],[Atendidas]]/Tabla54[[#This Row],[Recibidas]],0)</f>
        <v>0</v>
      </c>
    </row>
    <row r="1012" spans="2:9" x14ac:dyDescent="0.3">
      <c r="B1012" s="27">
        <f t="shared" si="41"/>
        <v>46224</v>
      </c>
      <c r="C1012" s="18">
        <v>0.95833333333333304</v>
      </c>
      <c r="D1012" s="19">
        <f>+SUMIFS(Regiones[Ofrecidas],Regiones[Fecha],Tabla54[[#This Row],[Fecha]],Regiones[Intervalo],Tabla54[[#This Row],[Intervalo]],Regiones[Skill],'BUPA Seguros'!$L$3)</f>
        <v>0</v>
      </c>
      <c r="E1012" s="19">
        <f>+SUMIFS(Regiones[Contestadas],Regiones[Fecha],Tabla54[[#This Row],[Fecha]],Regiones[Intervalo],Tabla54[[#This Row],[Intervalo]],Regiones[Skill],'BUPA Seguros'!$L$3)</f>
        <v>0</v>
      </c>
      <c r="F1012" s="20">
        <v>0</v>
      </c>
      <c r="G1012" s="19">
        <f>IFERROR(SUMIFS(Regiones[TMO],Regiones[Fecha],Tabla54[[#This Row],[Fecha]],Regiones[Intervalo],Tabla54[[#This Row],[Intervalo]],Regiones[Skill],'BUPA Seguros'!$L$3)/Tabla54[[#This Row],[Atendidas]],0)</f>
        <v>0</v>
      </c>
      <c r="H10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2" s="21">
        <f>IFERROR(Tabla54[[#This Row],[Atendidas]]/Tabla54[[#This Row],[Recibidas]],0)</f>
        <v>0</v>
      </c>
    </row>
    <row r="1013" spans="2:9" x14ac:dyDescent="0.3">
      <c r="B1013" s="25">
        <f t="shared" si="41"/>
        <v>46224</v>
      </c>
      <c r="C1013" s="26">
        <v>0.97916666666666696</v>
      </c>
      <c r="D1013" s="19">
        <f>+SUMIFS(Regiones[Ofrecidas],Regiones[Fecha],Tabla54[[#This Row],[Fecha]],Regiones[Intervalo],Tabla54[[#This Row],[Intervalo]],Regiones[Skill],'BUPA Seguros'!$L$3)</f>
        <v>0</v>
      </c>
      <c r="E1013" s="19">
        <f>+SUMIFS(Regiones[Contestadas],Regiones[Fecha],Tabla54[[#This Row],[Fecha]],Regiones[Intervalo],Tabla54[[#This Row],[Intervalo]],Regiones[Skill],'BUPA Seguros'!$L$3)</f>
        <v>0</v>
      </c>
      <c r="F1013" s="20">
        <v>0</v>
      </c>
      <c r="G1013" s="19">
        <f>IFERROR(SUMIFS(Regiones[TMO],Regiones[Fecha],Tabla54[[#This Row],[Fecha]],Regiones[Intervalo],Tabla54[[#This Row],[Intervalo]],Regiones[Skill],'BUPA Seguros'!$L$3)/Tabla54[[#This Row],[Atendidas]],0)</f>
        <v>0</v>
      </c>
      <c r="H10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3" s="21">
        <f>IFERROR(Tabla54[[#This Row],[Atendidas]]/Tabla54[[#This Row],[Recibidas]],0)</f>
        <v>0</v>
      </c>
    </row>
    <row r="1014" spans="2:9" x14ac:dyDescent="0.3">
      <c r="B1014" s="27">
        <f t="shared" ref="B1014" si="44">+B1013+1</f>
        <v>46225</v>
      </c>
      <c r="C1014" s="18">
        <v>0</v>
      </c>
      <c r="D1014" s="19">
        <f>+SUMIFS(Regiones[Ofrecidas],Regiones[Fecha],Tabla54[[#This Row],[Fecha]],Regiones[Intervalo],Tabla54[[#This Row],[Intervalo]],Regiones[Skill],'BUPA Seguros'!$L$3)</f>
        <v>0</v>
      </c>
      <c r="E1014" s="19">
        <f>+SUMIFS(Regiones[Contestadas],Regiones[Fecha],Tabla54[[#This Row],[Fecha]],Regiones[Intervalo],Tabla54[[#This Row],[Intervalo]],Regiones[Skill],'BUPA Seguros'!$L$3)</f>
        <v>0</v>
      </c>
      <c r="F1014" s="20">
        <v>0</v>
      </c>
      <c r="G1014" s="19">
        <f>IFERROR(SUMIFS(Regiones[TMO],Regiones[Fecha],Tabla54[[#This Row],[Fecha]],Regiones[Intervalo],Tabla54[[#This Row],[Intervalo]],Regiones[Skill],'BUPA Seguros'!$L$3)/Tabla54[[#This Row],[Atendidas]],0)</f>
        <v>0</v>
      </c>
      <c r="H10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4" s="21">
        <f>IFERROR(Tabla54[[#This Row],[Atendidas]]/Tabla54[[#This Row],[Recibidas]],0)</f>
        <v>0</v>
      </c>
    </row>
    <row r="1015" spans="2:9" x14ac:dyDescent="0.3">
      <c r="B1015" s="25">
        <f t="shared" ref="B1015:B1078" si="45">+B1014</f>
        <v>46225</v>
      </c>
      <c r="C1015" s="26">
        <v>2.0833333333333332E-2</v>
      </c>
      <c r="D1015" s="19">
        <f>+SUMIFS(Regiones[Ofrecidas],Regiones[Fecha],Tabla54[[#This Row],[Fecha]],Regiones[Intervalo],Tabla54[[#This Row],[Intervalo]],Regiones[Skill],'BUPA Seguros'!$L$3)</f>
        <v>0</v>
      </c>
      <c r="E1015" s="19">
        <f>+SUMIFS(Regiones[Contestadas],Regiones[Fecha],Tabla54[[#This Row],[Fecha]],Regiones[Intervalo],Tabla54[[#This Row],[Intervalo]],Regiones[Skill],'BUPA Seguros'!$L$3)</f>
        <v>0</v>
      </c>
      <c r="F1015" s="20">
        <v>0</v>
      </c>
      <c r="G1015" s="19">
        <f>IFERROR(SUMIFS(Regiones[TMO],Regiones[Fecha],Tabla54[[#This Row],[Fecha]],Regiones[Intervalo],Tabla54[[#This Row],[Intervalo]],Regiones[Skill],'BUPA Seguros'!$L$3)/Tabla54[[#This Row],[Atendidas]],0)</f>
        <v>0</v>
      </c>
      <c r="H10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5" s="21">
        <f>IFERROR(Tabla54[[#This Row],[Atendidas]]/Tabla54[[#This Row],[Recibidas]],0)</f>
        <v>0</v>
      </c>
    </row>
    <row r="1016" spans="2:9" x14ac:dyDescent="0.3">
      <c r="B1016" s="27">
        <f t="shared" si="45"/>
        <v>46225</v>
      </c>
      <c r="C1016" s="18">
        <v>4.1666666666666699E-2</v>
      </c>
      <c r="D1016" s="19">
        <f>+SUMIFS(Regiones[Ofrecidas],Regiones[Fecha],Tabla54[[#This Row],[Fecha]],Regiones[Intervalo],Tabla54[[#This Row],[Intervalo]],Regiones[Skill],'BUPA Seguros'!$L$3)</f>
        <v>0</v>
      </c>
      <c r="E1016" s="19">
        <f>+SUMIFS(Regiones[Contestadas],Regiones[Fecha],Tabla54[[#This Row],[Fecha]],Regiones[Intervalo],Tabla54[[#This Row],[Intervalo]],Regiones[Skill],'BUPA Seguros'!$L$3)</f>
        <v>0</v>
      </c>
      <c r="F1016" s="20">
        <v>0</v>
      </c>
      <c r="G1016" s="19">
        <f>IFERROR(SUMIFS(Regiones[TMO],Regiones[Fecha],Tabla54[[#This Row],[Fecha]],Regiones[Intervalo],Tabla54[[#This Row],[Intervalo]],Regiones[Skill],'BUPA Seguros'!$L$3)/Tabla54[[#This Row],[Atendidas]],0)</f>
        <v>0</v>
      </c>
      <c r="H10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6" s="21">
        <f>IFERROR(Tabla54[[#This Row],[Atendidas]]/Tabla54[[#This Row],[Recibidas]],0)</f>
        <v>0</v>
      </c>
    </row>
    <row r="1017" spans="2:9" x14ac:dyDescent="0.3">
      <c r="B1017" s="25">
        <f t="shared" si="45"/>
        <v>46225</v>
      </c>
      <c r="C1017" s="26">
        <v>6.25E-2</v>
      </c>
      <c r="D1017" s="19">
        <f>+SUMIFS(Regiones[Ofrecidas],Regiones[Fecha],Tabla54[[#This Row],[Fecha]],Regiones[Intervalo],Tabla54[[#This Row],[Intervalo]],Regiones[Skill],'BUPA Seguros'!$L$3)</f>
        <v>0</v>
      </c>
      <c r="E1017" s="19">
        <f>+SUMIFS(Regiones[Contestadas],Regiones[Fecha],Tabla54[[#This Row],[Fecha]],Regiones[Intervalo],Tabla54[[#This Row],[Intervalo]],Regiones[Skill],'BUPA Seguros'!$L$3)</f>
        <v>0</v>
      </c>
      <c r="F1017" s="20">
        <v>0</v>
      </c>
      <c r="G1017" s="19">
        <f>IFERROR(SUMIFS(Regiones[TMO],Regiones[Fecha],Tabla54[[#This Row],[Fecha]],Regiones[Intervalo],Tabla54[[#This Row],[Intervalo]],Regiones[Skill],'BUPA Seguros'!$L$3)/Tabla54[[#This Row],[Atendidas]],0)</f>
        <v>0</v>
      </c>
      <c r="H10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7" s="21">
        <f>IFERROR(Tabla54[[#This Row],[Atendidas]]/Tabla54[[#This Row],[Recibidas]],0)</f>
        <v>0</v>
      </c>
    </row>
    <row r="1018" spans="2:9" x14ac:dyDescent="0.3">
      <c r="B1018" s="27">
        <f t="shared" si="45"/>
        <v>46225</v>
      </c>
      <c r="C1018" s="18">
        <v>8.3333333333333301E-2</v>
      </c>
      <c r="D1018" s="19">
        <f>+SUMIFS(Regiones[Ofrecidas],Regiones[Fecha],Tabla54[[#This Row],[Fecha]],Regiones[Intervalo],Tabla54[[#This Row],[Intervalo]],Regiones[Skill],'BUPA Seguros'!$L$3)</f>
        <v>0</v>
      </c>
      <c r="E1018" s="19">
        <f>+SUMIFS(Regiones[Contestadas],Regiones[Fecha],Tabla54[[#This Row],[Fecha]],Regiones[Intervalo],Tabla54[[#This Row],[Intervalo]],Regiones[Skill],'BUPA Seguros'!$L$3)</f>
        <v>0</v>
      </c>
      <c r="F1018" s="20">
        <v>0</v>
      </c>
      <c r="G1018" s="19">
        <f>IFERROR(SUMIFS(Regiones[TMO],Regiones[Fecha],Tabla54[[#This Row],[Fecha]],Regiones[Intervalo],Tabla54[[#This Row],[Intervalo]],Regiones[Skill],'BUPA Seguros'!$L$3)/Tabla54[[#This Row],[Atendidas]],0)</f>
        <v>0</v>
      </c>
      <c r="H10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8" s="21">
        <f>IFERROR(Tabla54[[#This Row],[Atendidas]]/Tabla54[[#This Row],[Recibidas]],0)</f>
        <v>0</v>
      </c>
    </row>
    <row r="1019" spans="2:9" x14ac:dyDescent="0.3">
      <c r="B1019" s="25">
        <f t="shared" si="45"/>
        <v>46225</v>
      </c>
      <c r="C1019" s="26">
        <v>0.104166666666667</v>
      </c>
      <c r="D1019" s="19">
        <f>+SUMIFS(Regiones[Ofrecidas],Regiones[Fecha],Tabla54[[#This Row],[Fecha]],Regiones[Intervalo],Tabla54[[#This Row],[Intervalo]],Regiones[Skill],'BUPA Seguros'!$L$3)</f>
        <v>0</v>
      </c>
      <c r="E1019" s="19">
        <f>+SUMIFS(Regiones[Contestadas],Regiones[Fecha],Tabla54[[#This Row],[Fecha]],Regiones[Intervalo],Tabla54[[#This Row],[Intervalo]],Regiones[Skill],'BUPA Seguros'!$L$3)</f>
        <v>0</v>
      </c>
      <c r="F1019" s="20">
        <v>0</v>
      </c>
      <c r="G1019" s="19">
        <f>IFERROR(SUMIFS(Regiones[TMO],Regiones[Fecha],Tabla54[[#This Row],[Fecha]],Regiones[Intervalo],Tabla54[[#This Row],[Intervalo]],Regiones[Skill],'BUPA Seguros'!$L$3)/Tabla54[[#This Row],[Atendidas]],0)</f>
        <v>0</v>
      </c>
      <c r="H10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19" s="21">
        <f>IFERROR(Tabla54[[#This Row],[Atendidas]]/Tabla54[[#This Row],[Recibidas]],0)</f>
        <v>0</v>
      </c>
    </row>
    <row r="1020" spans="2:9" x14ac:dyDescent="0.3">
      <c r="B1020" s="27">
        <f t="shared" si="45"/>
        <v>46225</v>
      </c>
      <c r="C1020" s="18">
        <v>0.125</v>
      </c>
      <c r="D1020" s="19">
        <f>+SUMIFS(Regiones[Ofrecidas],Regiones[Fecha],Tabla54[[#This Row],[Fecha]],Regiones[Intervalo],Tabla54[[#This Row],[Intervalo]],Regiones[Skill],'BUPA Seguros'!$L$3)</f>
        <v>0</v>
      </c>
      <c r="E1020" s="19">
        <f>+SUMIFS(Regiones[Contestadas],Regiones[Fecha],Tabla54[[#This Row],[Fecha]],Regiones[Intervalo],Tabla54[[#This Row],[Intervalo]],Regiones[Skill],'BUPA Seguros'!$L$3)</f>
        <v>0</v>
      </c>
      <c r="F1020" s="20">
        <v>0</v>
      </c>
      <c r="G1020" s="19">
        <f>IFERROR(SUMIFS(Regiones[TMO],Regiones[Fecha],Tabla54[[#This Row],[Fecha]],Regiones[Intervalo],Tabla54[[#This Row],[Intervalo]],Regiones[Skill],'BUPA Seguros'!$L$3)/Tabla54[[#This Row],[Atendidas]],0)</f>
        <v>0</v>
      </c>
      <c r="H10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0" s="21">
        <f>IFERROR(Tabla54[[#This Row],[Atendidas]]/Tabla54[[#This Row],[Recibidas]],0)</f>
        <v>0</v>
      </c>
    </row>
    <row r="1021" spans="2:9" x14ac:dyDescent="0.3">
      <c r="B1021" s="25">
        <f t="shared" si="45"/>
        <v>46225</v>
      </c>
      <c r="C1021" s="26">
        <v>0.14583333333333301</v>
      </c>
      <c r="D1021" s="19">
        <f>+SUMIFS(Regiones[Ofrecidas],Regiones[Fecha],Tabla54[[#This Row],[Fecha]],Regiones[Intervalo],Tabla54[[#This Row],[Intervalo]],Regiones[Skill],'BUPA Seguros'!$L$3)</f>
        <v>0</v>
      </c>
      <c r="E1021" s="19">
        <f>+SUMIFS(Regiones[Contestadas],Regiones[Fecha],Tabla54[[#This Row],[Fecha]],Regiones[Intervalo],Tabla54[[#This Row],[Intervalo]],Regiones[Skill],'BUPA Seguros'!$L$3)</f>
        <v>0</v>
      </c>
      <c r="F1021" s="20">
        <v>0</v>
      </c>
      <c r="G1021" s="19">
        <f>IFERROR(SUMIFS(Regiones[TMO],Regiones[Fecha],Tabla54[[#This Row],[Fecha]],Regiones[Intervalo],Tabla54[[#This Row],[Intervalo]],Regiones[Skill],'BUPA Seguros'!$L$3)/Tabla54[[#This Row],[Atendidas]],0)</f>
        <v>0</v>
      </c>
      <c r="H10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1" s="21">
        <f>IFERROR(Tabla54[[#This Row],[Atendidas]]/Tabla54[[#This Row],[Recibidas]],0)</f>
        <v>0</v>
      </c>
    </row>
    <row r="1022" spans="2:9" x14ac:dyDescent="0.3">
      <c r="B1022" s="27">
        <f t="shared" si="45"/>
        <v>46225</v>
      </c>
      <c r="C1022" s="18">
        <v>0.16666666666666699</v>
      </c>
      <c r="D1022" s="19">
        <f>+SUMIFS(Regiones[Ofrecidas],Regiones[Fecha],Tabla54[[#This Row],[Fecha]],Regiones[Intervalo],Tabla54[[#This Row],[Intervalo]],Regiones[Skill],'BUPA Seguros'!$L$3)</f>
        <v>0</v>
      </c>
      <c r="E1022" s="19">
        <f>+SUMIFS(Regiones[Contestadas],Regiones[Fecha],Tabla54[[#This Row],[Fecha]],Regiones[Intervalo],Tabla54[[#This Row],[Intervalo]],Regiones[Skill],'BUPA Seguros'!$L$3)</f>
        <v>0</v>
      </c>
      <c r="F1022" s="20">
        <v>0</v>
      </c>
      <c r="G1022" s="19">
        <f>IFERROR(SUMIFS(Regiones[TMO],Regiones[Fecha],Tabla54[[#This Row],[Fecha]],Regiones[Intervalo],Tabla54[[#This Row],[Intervalo]],Regiones[Skill],'BUPA Seguros'!$L$3)/Tabla54[[#This Row],[Atendidas]],0)</f>
        <v>0</v>
      </c>
      <c r="H10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2" s="21">
        <f>IFERROR(Tabla54[[#This Row],[Atendidas]]/Tabla54[[#This Row],[Recibidas]],0)</f>
        <v>0</v>
      </c>
    </row>
    <row r="1023" spans="2:9" x14ac:dyDescent="0.3">
      <c r="B1023" s="25">
        <f t="shared" si="45"/>
        <v>46225</v>
      </c>
      <c r="C1023" s="26">
        <v>0.1875</v>
      </c>
      <c r="D1023" s="19">
        <f>+SUMIFS(Regiones[Ofrecidas],Regiones[Fecha],Tabla54[[#This Row],[Fecha]],Regiones[Intervalo],Tabla54[[#This Row],[Intervalo]],Regiones[Skill],'BUPA Seguros'!$L$3)</f>
        <v>0</v>
      </c>
      <c r="E1023" s="19">
        <f>+SUMIFS(Regiones[Contestadas],Regiones[Fecha],Tabla54[[#This Row],[Fecha]],Regiones[Intervalo],Tabla54[[#This Row],[Intervalo]],Regiones[Skill],'BUPA Seguros'!$L$3)</f>
        <v>0</v>
      </c>
      <c r="F1023" s="20">
        <v>0</v>
      </c>
      <c r="G1023" s="19">
        <f>IFERROR(SUMIFS(Regiones[TMO],Regiones[Fecha],Tabla54[[#This Row],[Fecha]],Regiones[Intervalo],Tabla54[[#This Row],[Intervalo]],Regiones[Skill],'BUPA Seguros'!$L$3)/Tabla54[[#This Row],[Atendidas]],0)</f>
        <v>0</v>
      </c>
      <c r="H10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3" s="21">
        <f>IFERROR(Tabla54[[#This Row],[Atendidas]]/Tabla54[[#This Row],[Recibidas]],0)</f>
        <v>0</v>
      </c>
    </row>
    <row r="1024" spans="2:9" x14ac:dyDescent="0.3">
      <c r="B1024" s="27">
        <f t="shared" si="45"/>
        <v>46225</v>
      </c>
      <c r="C1024" s="18">
        <v>0.20833333333333301</v>
      </c>
      <c r="D1024" s="19">
        <f>+SUMIFS(Regiones[Ofrecidas],Regiones[Fecha],Tabla54[[#This Row],[Fecha]],Regiones[Intervalo],Tabla54[[#This Row],[Intervalo]],Regiones[Skill],'BUPA Seguros'!$L$3)</f>
        <v>0</v>
      </c>
      <c r="E1024" s="19">
        <f>+SUMIFS(Regiones[Contestadas],Regiones[Fecha],Tabla54[[#This Row],[Fecha]],Regiones[Intervalo],Tabla54[[#This Row],[Intervalo]],Regiones[Skill],'BUPA Seguros'!$L$3)</f>
        <v>0</v>
      </c>
      <c r="F1024" s="20">
        <v>0</v>
      </c>
      <c r="G1024" s="19">
        <f>IFERROR(SUMIFS(Regiones[TMO],Regiones[Fecha],Tabla54[[#This Row],[Fecha]],Regiones[Intervalo],Tabla54[[#This Row],[Intervalo]],Regiones[Skill],'BUPA Seguros'!$L$3)/Tabla54[[#This Row],[Atendidas]],0)</f>
        <v>0</v>
      </c>
      <c r="H10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4" s="21">
        <f>IFERROR(Tabla54[[#This Row],[Atendidas]]/Tabla54[[#This Row],[Recibidas]],0)</f>
        <v>0</v>
      </c>
    </row>
    <row r="1025" spans="2:9" x14ac:dyDescent="0.3">
      <c r="B1025" s="25">
        <f t="shared" si="45"/>
        <v>46225</v>
      </c>
      <c r="C1025" s="26">
        <v>0.22916666666666699</v>
      </c>
      <c r="D1025" s="19">
        <f>+SUMIFS(Regiones[Ofrecidas],Regiones[Fecha],Tabla54[[#This Row],[Fecha]],Regiones[Intervalo],Tabla54[[#This Row],[Intervalo]],Regiones[Skill],'BUPA Seguros'!$L$3)</f>
        <v>0</v>
      </c>
      <c r="E1025" s="19">
        <f>+SUMIFS(Regiones[Contestadas],Regiones[Fecha],Tabla54[[#This Row],[Fecha]],Regiones[Intervalo],Tabla54[[#This Row],[Intervalo]],Regiones[Skill],'BUPA Seguros'!$L$3)</f>
        <v>0</v>
      </c>
      <c r="F1025" s="20">
        <v>0</v>
      </c>
      <c r="G1025" s="19">
        <f>IFERROR(SUMIFS(Regiones[TMO],Regiones[Fecha],Tabla54[[#This Row],[Fecha]],Regiones[Intervalo],Tabla54[[#This Row],[Intervalo]],Regiones[Skill],'BUPA Seguros'!$L$3)/Tabla54[[#This Row],[Atendidas]],0)</f>
        <v>0</v>
      </c>
      <c r="H10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5" s="21">
        <f>IFERROR(Tabla54[[#This Row],[Atendidas]]/Tabla54[[#This Row],[Recibidas]],0)</f>
        <v>0</v>
      </c>
    </row>
    <row r="1026" spans="2:9" x14ac:dyDescent="0.3">
      <c r="B1026" s="27">
        <f t="shared" si="45"/>
        <v>46225</v>
      </c>
      <c r="C1026" s="18">
        <v>0.25</v>
      </c>
      <c r="D1026" s="19">
        <f>+SUMIFS(Regiones[Ofrecidas],Regiones[Fecha],Tabla54[[#This Row],[Fecha]],Regiones[Intervalo],Tabla54[[#This Row],[Intervalo]],Regiones[Skill],'BUPA Seguros'!$L$3)</f>
        <v>0</v>
      </c>
      <c r="E1026" s="19">
        <f>+SUMIFS(Regiones[Contestadas],Regiones[Fecha],Tabla54[[#This Row],[Fecha]],Regiones[Intervalo],Tabla54[[#This Row],[Intervalo]],Regiones[Skill],'BUPA Seguros'!$L$3)</f>
        <v>0</v>
      </c>
      <c r="F1026" s="20">
        <v>0</v>
      </c>
      <c r="G1026" s="19">
        <f>IFERROR(SUMIFS(Regiones[TMO],Regiones[Fecha],Tabla54[[#This Row],[Fecha]],Regiones[Intervalo],Tabla54[[#This Row],[Intervalo]],Regiones[Skill],'BUPA Seguros'!$L$3)/Tabla54[[#This Row],[Atendidas]],0)</f>
        <v>0</v>
      </c>
      <c r="H10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6" s="21">
        <f>IFERROR(Tabla54[[#This Row],[Atendidas]]/Tabla54[[#This Row],[Recibidas]],0)</f>
        <v>0</v>
      </c>
    </row>
    <row r="1027" spans="2:9" x14ac:dyDescent="0.3">
      <c r="B1027" s="25">
        <f t="shared" si="45"/>
        <v>46225</v>
      </c>
      <c r="C1027" s="26">
        <v>0.27083333333333298</v>
      </c>
      <c r="D1027" s="19">
        <f>+SUMIFS(Regiones[Ofrecidas],Regiones[Fecha],Tabla54[[#This Row],[Fecha]],Regiones[Intervalo],Tabla54[[#This Row],[Intervalo]],Regiones[Skill],'BUPA Seguros'!$L$3)</f>
        <v>0</v>
      </c>
      <c r="E1027" s="19">
        <f>+SUMIFS(Regiones[Contestadas],Regiones[Fecha],Tabla54[[#This Row],[Fecha]],Regiones[Intervalo],Tabla54[[#This Row],[Intervalo]],Regiones[Skill],'BUPA Seguros'!$L$3)</f>
        <v>0</v>
      </c>
      <c r="F1027" s="20">
        <v>0</v>
      </c>
      <c r="G1027" s="19">
        <f>IFERROR(SUMIFS(Regiones[TMO],Regiones[Fecha],Tabla54[[#This Row],[Fecha]],Regiones[Intervalo],Tabla54[[#This Row],[Intervalo]],Regiones[Skill],'BUPA Seguros'!$L$3)/Tabla54[[#This Row],[Atendidas]],0)</f>
        <v>0</v>
      </c>
      <c r="H10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7" s="21">
        <f>IFERROR(Tabla54[[#This Row],[Atendidas]]/Tabla54[[#This Row],[Recibidas]],0)</f>
        <v>0</v>
      </c>
    </row>
    <row r="1028" spans="2:9" x14ac:dyDescent="0.3">
      <c r="B1028" s="27">
        <f t="shared" si="45"/>
        <v>46225</v>
      </c>
      <c r="C1028" s="18">
        <v>0.29166666666666702</v>
      </c>
      <c r="D1028" s="19">
        <f>+SUMIFS(Regiones[Ofrecidas],Regiones[Fecha],Tabla54[[#This Row],[Fecha]],Regiones[Intervalo],Tabla54[[#This Row],[Intervalo]],Regiones[Skill],'BUPA Seguros'!$L$3)</f>
        <v>0</v>
      </c>
      <c r="E1028" s="19">
        <f>+SUMIFS(Regiones[Contestadas],Regiones[Fecha],Tabla54[[#This Row],[Fecha]],Regiones[Intervalo],Tabla54[[#This Row],[Intervalo]],Regiones[Skill],'BUPA Seguros'!$L$3)</f>
        <v>0</v>
      </c>
      <c r="F1028" s="20">
        <v>0</v>
      </c>
      <c r="G1028" s="19">
        <f>IFERROR(SUMIFS(Regiones[TMO],Regiones[Fecha],Tabla54[[#This Row],[Fecha]],Regiones[Intervalo],Tabla54[[#This Row],[Intervalo]],Regiones[Skill],'BUPA Seguros'!$L$3)/Tabla54[[#This Row],[Atendidas]],0)</f>
        <v>0</v>
      </c>
      <c r="H10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8" s="21">
        <f>IFERROR(Tabla54[[#This Row],[Atendidas]]/Tabla54[[#This Row],[Recibidas]],0)</f>
        <v>0</v>
      </c>
    </row>
    <row r="1029" spans="2:9" x14ac:dyDescent="0.3">
      <c r="B1029" s="25">
        <f t="shared" si="45"/>
        <v>46225</v>
      </c>
      <c r="C1029" s="26">
        <v>0.3125</v>
      </c>
      <c r="D1029" s="19">
        <f>+SUMIFS(Regiones[Ofrecidas],Regiones[Fecha],Tabla54[[#This Row],[Fecha]],Regiones[Intervalo],Tabla54[[#This Row],[Intervalo]],Regiones[Skill],'BUPA Seguros'!$L$3)</f>
        <v>0</v>
      </c>
      <c r="E1029" s="19">
        <f>+SUMIFS(Regiones[Contestadas],Regiones[Fecha],Tabla54[[#This Row],[Fecha]],Regiones[Intervalo],Tabla54[[#This Row],[Intervalo]],Regiones[Skill],'BUPA Seguros'!$L$3)</f>
        <v>0</v>
      </c>
      <c r="F1029" s="20">
        <v>0</v>
      </c>
      <c r="G1029" s="19">
        <f>IFERROR(SUMIFS(Regiones[TMO],Regiones[Fecha],Tabla54[[#This Row],[Fecha]],Regiones[Intervalo],Tabla54[[#This Row],[Intervalo]],Regiones[Skill],'BUPA Seguros'!$L$3)/Tabla54[[#This Row],[Atendidas]],0)</f>
        <v>0</v>
      </c>
      <c r="H10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29" s="21">
        <f>IFERROR(Tabla54[[#This Row],[Atendidas]]/Tabla54[[#This Row],[Recibidas]],0)</f>
        <v>0</v>
      </c>
    </row>
    <row r="1030" spans="2:9" x14ac:dyDescent="0.3">
      <c r="B1030" s="27">
        <f t="shared" si="45"/>
        <v>46225</v>
      </c>
      <c r="C1030" s="18">
        <v>0.33333333333333298</v>
      </c>
      <c r="D1030" s="19">
        <f>+SUMIFS(Regiones[Ofrecidas],Regiones[Fecha],Tabla54[[#This Row],[Fecha]],Regiones[Intervalo],Tabla54[[#This Row],[Intervalo]],Regiones[Skill],'BUPA Seguros'!$L$3)</f>
        <v>0</v>
      </c>
      <c r="E1030" s="19">
        <f>+SUMIFS(Regiones[Contestadas],Regiones[Fecha],Tabla54[[#This Row],[Fecha]],Regiones[Intervalo],Tabla54[[#This Row],[Intervalo]],Regiones[Skill],'BUPA Seguros'!$L$3)</f>
        <v>0</v>
      </c>
      <c r="F1030" s="20">
        <v>0</v>
      </c>
      <c r="G1030" s="19">
        <f>IFERROR(SUMIFS(Regiones[TMO],Regiones[Fecha],Tabla54[[#This Row],[Fecha]],Regiones[Intervalo],Tabla54[[#This Row],[Intervalo]],Regiones[Skill],'BUPA Seguros'!$L$3)/Tabla54[[#This Row],[Atendidas]],0)</f>
        <v>0</v>
      </c>
      <c r="H10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0" s="21">
        <f>IFERROR(Tabla54[[#This Row],[Atendidas]]/Tabla54[[#This Row],[Recibidas]],0)</f>
        <v>0</v>
      </c>
    </row>
    <row r="1031" spans="2:9" x14ac:dyDescent="0.3">
      <c r="B1031" s="25">
        <f t="shared" si="45"/>
        <v>46225</v>
      </c>
      <c r="C1031" s="26">
        <v>0.35416666666666702</v>
      </c>
      <c r="D1031" s="19">
        <f>+SUMIFS(Regiones[Ofrecidas],Regiones[Fecha],Tabla54[[#This Row],[Fecha]],Regiones[Intervalo],Tabla54[[#This Row],[Intervalo]],Regiones[Skill],'BUPA Seguros'!$L$3)</f>
        <v>0</v>
      </c>
      <c r="E1031" s="19">
        <f>+SUMIFS(Regiones[Contestadas],Regiones[Fecha],Tabla54[[#This Row],[Fecha]],Regiones[Intervalo],Tabla54[[#This Row],[Intervalo]],Regiones[Skill],'BUPA Seguros'!$L$3)</f>
        <v>0</v>
      </c>
      <c r="F1031" s="20">
        <v>0</v>
      </c>
      <c r="G1031" s="19">
        <f>IFERROR(SUMIFS(Regiones[TMO],Regiones[Fecha],Tabla54[[#This Row],[Fecha]],Regiones[Intervalo],Tabla54[[#This Row],[Intervalo]],Regiones[Skill],'BUPA Seguros'!$L$3)/Tabla54[[#This Row],[Atendidas]],0)</f>
        <v>0</v>
      </c>
      <c r="H10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1" s="21">
        <f>IFERROR(Tabla54[[#This Row],[Atendidas]]/Tabla54[[#This Row],[Recibidas]],0)</f>
        <v>0</v>
      </c>
    </row>
    <row r="1032" spans="2:9" x14ac:dyDescent="0.3">
      <c r="B1032" s="27">
        <f t="shared" si="45"/>
        <v>46225</v>
      </c>
      <c r="C1032" s="18">
        <v>0.375</v>
      </c>
      <c r="D1032" s="19">
        <f>+SUMIFS(Regiones[Ofrecidas],Regiones[Fecha],Tabla54[[#This Row],[Fecha]],Regiones[Intervalo],Tabla54[[#This Row],[Intervalo]],Regiones[Skill],'BUPA Seguros'!$L$3)</f>
        <v>0</v>
      </c>
      <c r="E1032" s="19">
        <f>+SUMIFS(Regiones[Contestadas],Regiones[Fecha],Tabla54[[#This Row],[Fecha]],Regiones[Intervalo],Tabla54[[#This Row],[Intervalo]],Regiones[Skill],'BUPA Seguros'!$L$3)</f>
        <v>0</v>
      </c>
      <c r="F1032" s="20">
        <v>32.18026835671958</v>
      </c>
      <c r="G1032" s="19">
        <f>IFERROR(SUMIFS(Regiones[TMO],Regiones[Fecha],Tabla54[[#This Row],[Fecha]],Regiones[Intervalo],Tabla54[[#This Row],[Intervalo]],Regiones[Skill],'BUPA Seguros'!$L$3)/Tabla54[[#This Row],[Atendidas]],0)</f>
        <v>0</v>
      </c>
      <c r="H10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2" s="21">
        <f>IFERROR(Tabla54[[#This Row],[Atendidas]]/Tabla54[[#This Row],[Recibidas]],0)</f>
        <v>0</v>
      </c>
    </row>
    <row r="1033" spans="2:9" x14ac:dyDescent="0.3">
      <c r="B1033" s="25">
        <f t="shared" si="45"/>
        <v>46225</v>
      </c>
      <c r="C1033" s="26">
        <v>0.39583333333333298</v>
      </c>
      <c r="D1033" s="19">
        <f>+SUMIFS(Regiones[Ofrecidas],Regiones[Fecha],Tabla54[[#This Row],[Fecha]],Regiones[Intervalo],Tabla54[[#This Row],[Intervalo]],Regiones[Skill],'BUPA Seguros'!$L$3)</f>
        <v>0</v>
      </c>
      <c r="E1033" s="19">
        <f>+SUMIFS(Regiones[Contestadas],Regiones[Fecha],Tabla54[[#This Row],[Fecha]],Regiones[Intervalo],Tabla54[[#This Row],[Intervalo]],Regiones[Skill],'BUPA Seguros'!$L$3)</f>
        <v>0</v>
      </c>
      <c r="F1033" s="20">
        <v>31.95329927600676</v>
      </c>
      <c r="G1033" s="19">
        <f>IFERROR(SUMIFS(Regiones[TMO],Regiones[Fecha],Tabla54[[#This Row],[Fecha]],Regiones[Intervalo],Tabla54[[#This Row],[Intervalo]],Regiones[Skill],'BUPA Seguros'!$L$3)/Tabla54[[#This Row],[Atendidas]],0)</f>
        <v>0</v>
      </c>
      <c r="H10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3" s="21">
        <f>IFERROR(Tabla54[[#This Row],[Atendidas]]/Tabla54[[#This Row],[Recibidas]],0)</f>
        <v>0</v>
      </c>
    </row>
    <row r="1034" spans="2:9" x14ac:dyDescent="0.3">
      <c r="B1034" s="27">
        <f t="shared" si="45"/>
        <v>46225</v>
      </c>
      <c r="C1034" s="18">
        <v>0.41666666666666702</v>
      </c>
      <c r="D1034" s="19">
        <f>+SUMIFS(Regiones[Ofrecidas],Regiones[Fecha],Tabla54[[#This Row],[Fecha]],Regiones[Intervalo],Tabla54[[#This Row],[Intervalo]],Regiones[Skill],'BUPA Seguros'!$L$3)</f>
        <v>0</v>
      </c>
      <c r="E1034" s="19">
        <f>+SUMIFS(Regiones[Contestadas],Regiones[Fecha],Tabla54[[#This Row],[Fecha]],Regiones[Intervalo],Tabla54[[#This Row],[Intervalo]],Regiones[Skill],'BUPA Seguros'!$L$3)</f>
        <v>0</v>
      </c>
      <c r="F1034" s="20">
        <v>32.140795473117358</v>
      </c>
      <c r="G1034" s="19">
        <f>IFERROR(SUMIFS(Regiones[TMO],Regiones[Fecha],Tabla54[[#This Row],[Fecha]],Regiones[Intervalo],Tabla54[[#This Row],[Intervalo]],Regiones[Skill],'BUPA Seguros'!$L$3)/Tabla54[[#This Row],[Atendidas]],0)</f>
        <v>0</v>
      </c>
      <c r="H10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4" s="21">
        <f>IFERROR(Tabla54[[#This Row],[Atendidas]]/Tabla54[[#This Row],[Recibidas]],0)</f>
        <v>0</v>
      </c>
    </row>
    <row r="1035" spans="2:9" x14ac:dyDescent="0.3">
      <c r="B1035" s="25">
        <f t="shared" si="45"/>
        <v>46225</v>
      </c>
      <c r="C1035" s="26">
        <v>0.4375</v>
      </c>
      <c r="D1035" s="19">
        <f>+SUMIFS(Regiones[Ofrecidas],Regiones[Fecha],Tabla54[[#This Row],[Fecha]],Regiones[Intervalo],Tabla54[[#This Row],[Intervalo]],Regiones[Skill],'BUPA Seguros'!$L$3)</f>
        <v>0</v>
      </c>
      <c r="E1035" s="19">
        <f>+SUMIFS(Regiones[Contestadas],Regiones[Fecha],Tabla54[[#This Row],[Fecha]],Regiones[Intervalo],Tabla54[[#This Row],[Intervalo]],Regiones[Skill],'BUPA Seguros'!$L$3)</f>
        <v>0</v>
      </c>
      <c r="F1035" s="20">
        <v>33.769051921709419</v>
      </c>
      <c r="G1035" s="19">
        <f>IFERROR(SUMIFS(Regiones[TMO],Regiones[Fecha],Tabla54[[#This Row],[Fecha]],Regiones[Intervalo],Tabla54[[#This Row],[Intervalo]],Regiones[Skill],'BUPA Seguros'!$L$3)/Tabla54[[#This Row],[Atendidas]],0)</f>
        <v>0</v>
      </c>
      <c r="H10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5" s="21">
        <f>IFERROR(Tabla54[[#This Row],[Atendidas]]/Tabla54[[#This Row],[Recibidas]],0)</f>
        <v>0</v>
      </c>
    </row>
    <row r="1036" spans="2:9" x14ac:dyDescent="0.3">
      <c r="B1036" s="27">
        <f t="shared" si="45"/>
        <v>46225</v>
      </c>
      <c r="C1036" s="18">
        <v>0.45833333333333298</v>
      </c>
      <c r="D1036" s="19">
        <f>+SUMIFS(Regiones[Ofrecidas],Regiones[Fecha],Tabla54[[#This Row],[Fecha]],Regiones[Intervalo],Tabla54[[#This Row],[Intervalo]],Regiones[Skill],'BUPA Seguros'!$L$3)</f>
        <v>0</v>
      </c>
      <c r="E1036" s="19">
        <f>+SUMIFS(Regiones[Contestadas],Regiones[Fecha],Tabla54[[#This Row],[Fecha]],Regiones[Intervalo],Tabla54[[#This Row],[Intervalo]],Regiones[Skill],'BUPA Seguros'!$L$3)</f>
        <v>0</v>
      </c>
      <c r="F1036" s="20">
        <v>34.538773151952945</v>
      </c>
      <c r="G1036" s="19">
        <f>IFERROR(SUMIFS(Regiones[TMO],Regiones[Fecha],Tabla54[[#This Row],[Fecha]],Regiones[Intervalo],Tabla54[[#This Row],[Intervalo]],Regiones[Skill],'BUPA Seguros'!$L$3)/Tabla54[[#This Row],[Atendidas]],0)</f>
        <v>0</v>
      </c>
      <c r="H10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6" s="21">
        <f>IFERROR(Tabla54[[#This Row],[Atendidas]]/Tabla54[[#This Row],[Recibidas]],0)</f>
        <v>0</v>
      </c>
    </row>
    <row r="1037" spans="2:9" x14ac:dyDescent="0.3">
      <c r="B1037" s="25">
        <f t="shared" si="45"/>
        <v>46225</v>
      </c>
      <c r="C1037" s="26">
        <v>0.47916666666666702</v>
      </c>
      <c r="D1037" s="19">
        <f>+SUMIFS(Regiones[Ofrecidas],Regiones[Fecha],Tabla54[[#This Row],[Fecha]],Regiones[Intervalo],Tabla54[[#This Row],[Intervalo]],Regiones[Skill],'BUPA Seguros'!$L$3)</f>
        <v>0</v>
      </c>
      <c r="E1037" s="19">
        <f>+SUMIFS(Regiones[Contestadas],Regiones[Fecha],Tabla54[[#This Row],[Fecha]],Regiones[Intervalo],Tabla54[[#This Row],[Intervalo]],Regiones[Skill],'BUPA Seguros'!$L$3)</f>
        <v>0</v>
      </c>
      <c r="F1037" s="20">
        <v>35.170339289588654</v>
      </c>
      <c r="G1037" s="19">
        <f>IFERROR(SUMIFS(Regiones[TMO],Regiones[Fecha],Tabla54[[#This Row],[Fecha]],Regiones[Intervalo],Tabla54[[#This Row],[Intervalo]],Regiones[Skill],'BUPA Seguros'!$L$3)/Tabla54[[#This Row],[Atendidas]],0)</f>
        <v>0</v>
      </c>
      <c r="H10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7" s="21">
        <f>IFERROR(Tabla54[[#This Row],[Atendidas]]/Tabla54[[#This Row],[Recibidas]],0)</f>
        <v>0</v>
      </c>
    </row>
    <row r="1038" spans="2:9" x14ac:dyDescent="0.3">
      <c r="B1038" s="27">
        <f t="shared" si="45"/>
        <v>46225</v>
      </c>
      <c r="C1038" s="18">
        <v>0.5</v>
      </c>
      <c r="D1038" s="19">
        <f>+SUMIFS(Regiones[Ofrecidas],Regiones[Fecha],Tabla54[[#This Row],[Fecha]],Regiones[Intervalo],Tabla54[[#This Row],[Intervalo]],Regiones[Skill],'BUPA Seguros'!$L$3)</f>
        <v>0</v>
      </c>
      <c r="E1038" s="19">
        <f>+SUMIFS(Regiones[Contestadas],Regiones[Fecha],Tabla54[[#This Row],[Fecha]],Regiones[Intervalo],Tabla54[[#This Row],[Intervalo]],Regiones[Skill],'BUPA Seguros'!$L$3)</f>
        <v>0</v>
      </c>
      <c r="F1038" s="20">
        <v>34.367723989676612</v>
      </c>
      <c r="G1038" s="19">
        <f>IFERROR(SUMIFS(Regiones[TMO],Regiones[Fecha],Tabla54[[#This Row],[Fecha]],Regiones[Intervalo],Tabla54[[#This Row],[Intervalo]],Regiones[Skill],'BUPA Seguros'!$L$3)/Tabla54[[#This Row],[Atendidas]],0)</f>
        <v>0</v>
      </c>
      <c r="H10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8" s="21">
        <f>IFERROR(Tabla54[[#This Row],[Atendidas]]/Tabla54[[#This Row],[Recibidas]],0)</f>
        <v>0</v>
      </c>
    </row>
    <row r="1039" spans="2:9" x14ac:dyDescent="0.3">
      <c r="B1039" s="25">
        <f t="shared" si="45"/>
        <v>46225</v>
      </c>
      <c r="C1039" s="26">
        <v>0.52083333333333304</v>
      </c>
      <c r="D1039" s="19">
        <f>+SUMIFS(Regiones[Ofrecidas],Regiones[Fecha],Tabla54[[#This Row],[Fecha]],Regiones[Intervalo],Tabla54[[#This Row],[Intervalo]],Regiones[Skill],'BUPA Seguros'!$L$3)</f>
        <v>0</v>
      </c>
      <c r="E1039" s="19">
        <f>+SUMIFS(Regiones[Contestadas],Regiones[Fecha],Tabla54[[#This Row],[Fecha]],Regiones[Intervalo],Tabla54[[#This Row],[Intervalo]],Regiones[Skill],'BUPA Seguros'!$L$3)</f>
        <v>0</v>
      </c>
      <c r="F1039" s="20">
        <v>33.065118830802952</v>
      </c>
      <c r="G1039" s="19">
        <f>IFERROR(SUMIFS(Regiones[TMO],Regiones[Fecha],Tabla54[[#This Row],[Fecha]],Regiones[Intervalo],Tabla54[[#This Row],[Intervalo]],Regiones[Skill],'BUPA Seguros'!$L$3)/Tabla54[[#This Row],[Atendidas]],0)</f>
        <v>0</v>
      </c>
      <c r="H10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39" s="21">
        <f>IFERROR(Tabla54[[#This Row],[Atendidas]]/Tabla54[[#This Row],[Recibidas]],0)</f>
        <v>0</v>
      </c>
    </row>
    <row r="1040" spans="2:9" x14ac:dyDescent="0.3">
      <c r="B1040" s="27">
        <f t="shared" si="45"/>
        <v>46225</v>
      </c>
      <c r="C1040" s="18">
        <v>0.54166666666666696</v>
      </c>
      <c r="D1040" s="19">
        <f>+SUMIFS(Regiones[Ofrecidas],Regiones[Fecha],Tabla54[[#This Row],[Fecha]],Regiones[Intervalo],Tabla54[[#This Row],[Intervalo]],Regiones[Skill],'BUPA Seguros'!$L$3)</f>
        <v>0</v>
      </c>
      <c r="E1040" s="19">
        <f>+SUMIFS(Regiones[Contestadas],Regiones[Fecha],Tabla54[[#This Row],[Fecha]],Regiones[Intervalo],Tabla54[[#This Row],[Intervalo]],Regiones[Skill],'BUPA Seguros'!$L$3)</f>
        <v>0</v>
      </c>
      <c r="F1040" s="20">
        <v>31.065159394956535</v>
      </c>
      <c r="G1040" s="19">
        <f>IFERROR(SUMIFS(Regiones[TMO],Regiones[Fecha],Tabla54[[#This Row],[Fecha]],Regiones[Intervalo],Tabla54[[#This Row],[Intervalo]],Regiones[Skill],'BUPA Seguros'!$L$3)/Tabla54[[#This Row],[Atendidas]],0)</f>
        <v>0</v>
      </c>
      <c r="H10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0" s="21">
        <f>IFERROR(Tabla54[[#This Row],[Atendidas]]/Tabla54[[#This Row],[Recibidas]],0)</f>
        <v>0</v>
      </c>
    </row>
    <row r="1041" spans="2:9" x14ac:dyDescent="0.3">
      <c r="B1041" s="25">
        <f t="shared" si="45"/>
        <v>46225</v>
      </c>
      <c r="C1041" s="26">
        <v>0.5625</v>
      </c>
      <c r="D1041" s="19">
        <f>+SUMIFS(Regiones[Ofrecidas],Regiones[Fecha],Tabla54[[#This Row],[Fecha]],Regiones[Intervalo],Tabla54[[#This Row],[Intervalo]],Regiones[Skill],'BUPA Seguros'!$L$3)</f>
        <v>0</v>
      </c>
      <c r="E1041" s="19">
        <f>+SUMIFS(Regiones[Contestadas],Regiones[Fecha],Tabla54[[#This Row],[Fecha]],Regiones[Intervalo],Tabla54[[#This Row],[Intervalo]],Regiones[Skill],'BUPA Seguros'!$L$3)</f>
        <v>0</v>
      </c>
      <c r="F1041" s="20">
        <v>29.591505073806537</v>
      </c>
      <c r="G1041" s="19">
        <f>IFERROR(SUMIFS(Regiones[TMO],Regiones[Fecha],Tabla54[[#This Row],[Fecha]],Regiones[Intervalo],Tabla54[[#This Row],[Intervalo]],Regiones[Skill],'BUPA Seguros'!$L$3)/Tabla54[[#This Row],[Atendidas]],0)</f>
        <v>0</v>
      </c>
      <c r="H10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1" s="21">
        <f>IFERROR(Tabla54[[#This Row],[Atendidas]]/Tabla54[[#This Row],[Recibidas]],0)</f>
        <v>0</v>
      </c>
    </row>
    <row r="1042" spans="2:9" x14ac:dyDescent="0.3">
      <c r="B1042" s="27">
        <f t="shared" si="45"/>
        <v>46225</v>
      </c>
      <c r="C1042" s="18">
        <v>0.58333333333333304</v>
      </c>
      <c r="D1042" s="19">
        <f>+SUMIFS(Regiones[Ofrecidas],Regiones[Fecha],Tabla54[[#This Row],[Fecha]],Regiones[Intervalo],Tabla54[[#This Row],[Intervalo]],Regiones[Skill],'BUPA Seguros'!$L$3)</f>
        <v>0</v>
      </c>
      <c r="E1042" s="19">
        <f>+SUMIFS(Regiones[Contestadas],Regiones[Fecha],Tabla54[[#This Row],[Fecha]],Regiones[Intervalo],Tabla54[[#This Row],[Intervalo]],Regiones[Skill],'BUPA Seguros'!$L$3)</f>
        <v>0</v>
      </c>
      <c r="F1042" s="20">
        <v>28.288899914932887</v>
      </c>
      <c r="G1042" s="19">
        <f>IFERROR(SUMIFS(Regiones[TMO],Regiones[Fecha],Tabla54[[#This Row],[Fecha]],Regiones[Intervalo],Tabla54[[#This Row],[Intervalo]],Regiones[Skill],'BUPA Seguros'!$L$3)/Tabla54[[#This Row],[Atendidas]],0)</f>
        <v>0</v>
      </c>
      <c r="H10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2" s="21">
        <f>IFERROR(Tabla54[[#This Row],[Atendidas]]/Tabla54[[#This Row],[Recibidas]],0)</f>
        <v>0</v>
      </c>
    </row>
    <row r="1043" spans="2:9" x14ac:dyDescent="0.3">
      <c r="B1043" s="25">
        <f t="shared" si="45"/>
        <v>46225</v>
      </c>
      <c r="C1043" s="26">
        <v>0.60416666666666696</v>
      </c>
      <c r="D1043" s="19">
        <f>+SUMIFS(Regiones[Ofrecidas],Regiones[Fecha],Tabla54[[#This Row],[Fecha]],Regiones[Intervalo],Tabla54[[#This Row],[Intervalo]],Regiones[Skill],'BUPA Seguros'!$L$3)</f>
        <v>0</v>
      </c>
      <c r="E1043" s="19">
        <f>+SUMIFS(Regiones[Contestadas],Regiones[Fecha],Tabla54[[#This Row],[Fecha]],Regiones[Intervalo],Tabla54[[#This Row],[Intervalo]],Regiones[Skill],'BUPA Seguros'!$L$3)</f>
        <v>0</v>
      </c>
      <c r="F1043" s="20">
        <v>27.486284615020832</v>
      </c>
      <c r="G1043" s="19">
        <f>IFERROR(SUMIFS(Regiones[TMO],Regiones[Fecha],Tabla54[[#This Row],[Fecha]],Regiones[Intervalo],Tabla54[[#This Row],[Intervalo]],Regiones[Skill],'BUPA Seguros'!$L$3)/Tabla54[[#This Row],[Atendidas]],0)</f>
        <v>0</v>
      </c>
      <c r="H10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3" s="21">
        <f>IFERROR(Tabla54[[#This Row],[Atendidas]]/Tabla54[[#This Row],[Recibidas]],0)</f>
        <v>0</v>
      </c>
    </row>
    <row r="1044" spans="2:9" x14ac:dyDescent="0.3">
      <c r="B1044" s="27">
        <f t="shared" si="45"/>
        <v>46225</v>
      </c>
      <c r="C1044" s="18">
        <v>0.625</v>
      </c>
      <c r="D1044" s="19">
        <f>+SUMIFS(Regiones[Ofrecidas],Regiones[Fecha],Tabla54[[#This Row],[Fecha]],Regiones[Intervalo],Tabla54[[#This Row],[Intervalo]],Regiones[Skill],'BUPA Seguros'!$L$3)</f>
        <v>0</v>
      </c>
      <c r="E1044" s="19">
        <f>+SUMIFS(Regiones[Contestadas],Regiones[Fecha],Tabla54[[#This Row],[Fecha]],Regiones[Intervalo],Tabla54[[#This Row],[Intervalo]],Regiones[Skill],'BUPA Seguros'!$L$3)</f>
        <v>0</v>
      </c>
      <c r="F1044" s="20">
        <v>26.538935408567266</v>
      </c>
      <c r="G1044" s="19">
        <f>IFERROR(SUMIFS(Regiones[TMO],Regiones[Fecha],Tabla54[[#This Row],[Fecha]],Regiones[Intervalo],Tabla54[[#This Row],[Intervalo]],Regiones[Skill],'BUPA Seguros'!$L$3)/Tabla54[[#This Row],[Atendidas]],0)</f>
        <v>0</v>
      </c>
      <c r="H10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4" s="21">
        <f>IFERROR(Tabla54[[#This Row],[Atendidas]]/Tabla54[[#This Row],[Recibidas]],0)</f>
        <v>0</v>
      </c>
    </row>
    <row r="1045" spans="2:9" x14ac:dyDescent="0.3">
      <c r="B1045" s="25">
        <f t="shared" si="45"/>
        <v>46225</v>
      </c>
      <c r="C1045" s="26">
        <v>0.64583333333333304</v>
      </c>
      <c r="D1045" s="19">
        <f>+SUMIFS(Regiones[Ofrecidas],Regiones[Fecha],Tabla54[[#This Row],[Fecha]],Regiones[Intervalo],Tabla54[[#This Row],[Intervalo]],Regiones[Skill],'BUPA Seguros'!$L$3)</f>
        <v>0</v>
      </c>
      <c r="E1045" s="19">
        <f>+SUMIFS(Regiones[Contestadas],Regiones[Fecha],Tabla54[[#This Row],[Fecha]],Regiones[Intervalo],Tabla54[[#This Row],[Intervalo]],Regiones[Skill],'BUPA Seguros'!$L$3)</f>
        <v>0</v>
      </c>
      <c r="F1045" s="20">
        <v>25.512640434909233</v>
      </c>
      <c r="G1045" s="19">
        <f>IFERROR(SUMIFS(Regiones[TMO],Regiones[Fecha],Tabla54[[#This Row],[Fecha]],Regiones[Intervalo],Tabla54[[#This Row],[Intervalo]],Regiones[Skill],'BUPA Seguros'!$L$3)/Tabla54[[#This Row],[Atendidas]],0)</f>
        <v>0</v>
      </c>
      <c r="H10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5" s="21">
        <f>IFERROR(Tabla54[[#This Row],[Atendidas]]/Tabla54[[#This Row],[Recibidas]],0)</f>
        <v>0</v>
      </c>
    </row>
    <row r="1046" spans="2:9" x14ac:dyDescent="0.3">
      <c r="B1046" s="27">
        <f t="shared" si="45"/>
        <v>46225</v>
      </c>
      <c r="C1046" s="18">
        <v>0.66666666666666696</v>
      </c>
      <c r="D1046" s="19">
        <f>+SUMIFS(Regiones[Ofrecidas],Regiones[Fecha],Tabla54[[#This Row],[Fecha]],Regiones[Intervalo],Tabla54[[#This Row],[Intervalo]],Regiones[Skill],'BUPA Seguros'!$L$3)</f>
        <v>0</v>
      </c>
      <c r="E1046" s="19">
        <f>+SUMIFS(Regiones[Contestadas],Regiones[Fecha],Tabla54[[#This Row],[Fecha]],Regiones[Intervalo],Tabla54[[#This Row],[Intervalo]],Regiones[Skill],'BUPA Seguros'!$L$3)</f>
        <v>0</v>
      </c>
      <c r="F1046" s="20">
        <v>24.150825950632235</v>
      </c>
      <c r="G1046" s="19">
        <f>IFERROR(SUMIFS(Regiones[TMO],Regiones[Fecha],Tabla54[[#This Row],[Fecha]],Regiones[Intervalo],Tabla54[[#This Row],[Intervalo]],Regiones[Skill],'BUPA Seguros'!$L$3)/Tabla54[[#This Row],[Atendidas]],0)</f>
        <v>0</v>
      </c>
      <c r="H10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6" s="21">
        <f>IFERROR(Tabla54[[#This Row],[Atendidas]]/Tabla54[[#This Row],[Recibidas]],0)</f>
        <v>0</v>
      </c>
    </row>
    <row r="1047" spans="2:9" x14ac:dyDescent="0.3">
      <c r="B1047" s="25">
        <f t="shared" si="45"/>
        <v>46225</v>
      </c>
      <c r="C1047" s="26">
        <v>0.6875</v>
      </c>
      <c r="D1047" s="19">
        <f>+SUMIFS(Regiones[Ofrecidas],Regiones[Fecha],Tabla54[[#This Row],[Fecha]],Regiones[Intervalo],Tabla54[[#This Row],[Intervalo]],Regiones[Skill],'BUPA Seguros'!$L$3)</f>
        <v>0</v>
      </c>
      <c r="E1047" s="19">
        <f>+SUMIFS(Regiones[Contestadas],Regiones[Fecha],Tabla54[[#This Row],[Fecha]],Regiones[Intervalo],Tabla54[[#This Row],[Intervalo]],Regiones[Skill],'BUPA Seguros'!$L$3)</f>
        <v>0</v>
      </c>
      <c r="F1047" s="20">
        <v>23.071900465504562</v>
      </c>
      <c r="G1047" s="19">
        <f>IFERROR(SUMIFS(Regiones[TMO],Regiones[Fecha],Tabla54[[#This Row],[Fecha]],Regiones[Intervalo],Tabla54[[#This Row],[Intervalo]],Regiones[Skill],'BUPA Seguros'!$L$3)/Tabla54[[#This Row],[Atendidas]],0)</f>
        <v>0</v>
      </c>
      <c r="H10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7" s="21">
        <f>IFERROR(Tabla54[[#This Row],[Atendidas]]/Tabla54[[#This Row],[Recibidas]],0)</f>
        <v>0</v>
      </c>
    </row>
    <row r="1048" spans="2:9" x14ac:dyDescent="0.3">
      <c r="B1048" s="27">
        <f t="shared" si="45"/>
        <v>46225</v>
      </c>
      <c r="C1048" s="18">
        <v>0.70833333333333304</v>
      </c>
      <c r="D1048" s="19">
        <f>+SUMIFS(Regiones[Ofrecidas],Regiones[Fecha],Tabla54[[#This Row],[Fecha]],Regiones[Intervalo],Tabla54[[#This Row],[Intervalo]],Regiones[Skill],'BUPA Seguros'!$L$3)</f>
        <v>0</v>
      </c>
      <c r="E1048" s="19">
        <f>+SUMIFS(Regiones[Contestadas],Regiones[Fecha],Tabla54[[#This Row],[Fecha]],Regiones[Intervalo],Tabla54[[#This Row],[Intervalo]],Regiones[Skill],'BUPA Seguros'!$L$3)</f>
        <v>0</v>
      </c>
      <c r="F1048" s="20">
        <v>21.631140214023102</v>
      </c>
      <c r="G1048" s="19">
        <f>IFERROR(SUMIFS(Regiones[TMO],Regiones[Fecha],Tabla54[[#This Row],[Fecha]],Regiones[Intervalo],Tabla54[[#This Row],[Intervalo]],Regiones[Skill],'BUPA Seguros'!$L$3)/Tabla54[[#This Row],[Atendidas]],0)</f>
        <v>0</v>
      </c>
      <c r="H10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8" s="21">
        <f>IFERROR(Tabla54[[#This Row],[Atendidas]]/Tabla54[[#This Row],[Recibidas]],0)</f>
        <v>0</v>
      </c>
    </row>
    <row r="1049" spans="2:9" x14ac:dyDescent="0.3">
      <c r="B1049" s="25">
        <f t="shared" si="45"/>
        <v>46225</v>
      </c>
      <c r="C1049" s="26">
        <v>0.72916666666666696</v>
      </c>
      <c r="D1049" s="19">
        <f>+SUMIFS(Regiones[Ofrecidas],Regiones[Fecha],Tabla54[[#This Row],[Fecha]],Regiones[Intervalo],Tabla54[[#This Row],[Intervalo]],Regiones[Skill],'BUPA Seguros'!$L$3)</f>
        <v>0</v>
      </c>
      <c r="E1049" s="19">
        <f>+SUMIFS(Regiones[Contestadas],Regiones[Fecha],Tabla54[[#This Row],[Fecha]],Regiones[Intervalo],Tabla54[[#This Row],[Intervalo]],Regiones[Skill],'BUPA Seguros'!$L$3)</f>
        <v>0</v>
      </c>
      <c r="F1049" s="20">
        <v>21.581799109520311</v>
      </c>
      <c r="G1049" s="19">
        <f>IFERROR(SUMIFS(Regiones[TMO],Regiones[Fecha],Tabla54[[#This Row],[Fecha]],Regiones[Intervalo],Tabla54[[#This Row],[Intervalo]],Regiones[Skill],'BUPA Seguros'!$L$3)/Tabla54[[#This Row],[Atendidas]],0)</f>
        <v>0</v>
      </c>
      <c r="H10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49" s="21">
        <f>IFERROR(Tabla54[[#This Row],[Atendidas]]/Tabla54[[#This Row],[Recibidas]],0)</f>
        <v>0</v>
      </c>
    </row>
    <row r="1050" spans="2:9" x14ac:dyDescent="0.3">
      <c r="B1050" s="27">
        <f t="shared" si="45"/>
        <v>46225</v>
      </c>
      <c r="C1050" s="18">
        <v>0.75</v>
      </c>
      <c r="D1050" s="19">
        <f>+SUMIFS(Regiones[Ofrecidas],Regiones[Fecha],Tabla54[[#This Row],[Fecha]],Regiones[Intervalo],Tabla54[[#This Row],[Intervalo]],Regiones[Skill],'BUPA Seguros'!$L$3)</f>
        <v>0</v>
      </c>
      <c r="E1050" s="19">
        <f>+SUMIFS(Regiones[Contestadas],Regiones[Fecha],Tabla54[[#This Row],[Fecha]],Regiones[Intervalo],Tabla54[[#This Row],[Intervalo]],Regiones[Skill],'BUPA Seguros'!$L$3)</f>
        <v>0</v>
      </c>
      <c r="F1050" s="20">
        <v>0</v>
      </c>
      <c r="G1050" s="19">
        <f>IFERROR(SUMIFS(Regiones[TMO],Regiones[Fecha],Tabla54[[#This Row],[Fecha]],Regiones[Intervalo],Tabla54[[#This Row],[Intervalo]],Regiones[Skill],'BUPA Seguros'!$L$3)/Tabla54[[#This Row],[Atendidas]],0)</f>
        <v>0</v>
      </c>
      <c r="H10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0" s="21">
        <f>IFERROR(Tabla54[[#This Row],[Atendidas]]/Tabla54[[#This Row],[Recibidas]],0)</f>
        <v>0</v>
      </c>
    </row>
    <row r="1051" spans="2:9" x14ac:dyDescent="0.3">
      <c r="B1051" s="25">
        <f t="shared" si="45"/>
        <v>46225</v>
      </c>
      <c r="C1051" s="26">
        <v>0.77083333333333304</v>
      </c>
      <c r="D1051" s="19">
        <f>+SUMIFS(Regiones[Ofrecidas],Regiones[Fecha],Tabla54[[#This Row],[Fecha]],Regiones[Intervalo],Tabla54[[#This Row],[Intervalo]],Regiones[Skill],'BUPA Seguros'!$L$3)</f>
        <v>0</v>
      </c>
      <c r="E1051" s="19">
        <f>+SUMIFS(Regiones[Contestadas],Regiones[Fecha],Tabla54[[#This Row],[Fecha]],Regiones[Intervalo],Tabla54[[#This Row],[Intervalo]],Regiones[Skill],'BUPA Seguros'!$L$3)</f>
        <v>0</v>
      </c>
      <c r="F1051" s="20">
        <v>0</v>
      </c>
      <c r="G1051" s="19">
        <f>IFERROR(SUMIFS(Regiones[TMO],Regiones[Fecha],Tabla54[[#This Row],[Fecha]],Regiones[Intervalo],Tabla54[[#This Row],[Intervalo]],Regiones[Skill],'BUPA Seguros'!$L$3)/Tabla54[[#This Row],[Atendidas]],0)</f>
        <v>0</v>
      </c>
      <c r="H10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1" s="21">
        <f>IFERROR(Tabla54[[#This Row],[Atendidas]]/Tabla54[[#This Row],[Recibidas]],0)</f>
        <v>0</v>
      </c>
    </row>
    <row r="1052" spans="2:9" x14ac:dyDescent="0.3">
      <c r="B1052" s="27">
        <f t="shared" si="45"/>
        <v>46225</v>
      </c>
      <c r="C1052" s="18">
        <v>0.79166666666666696</v>
      </c>
      <c r="D1052" s="19">
        <f>+SUMIFS(Regiones[Ofrecidas],Regiones[Fecha],Tabla54[[#This Row],[Fecha]],Regiones[Intervalo],Tabla54[[#This Row],[Intervalo]],Regiones[Skill],'BUPA Seguros'!$L$3)</f>
        <v>0</v>
      </c>
      <c r="E1052" s="19">
        <f>+SUMIFS(Regiones[Contestadas],Regiones[Fecha],Tabla54[[#This Row],[Fecha]],Regiones[Intervalo],Tabla54[[#This Row],[Intervalo]],Regiones[Skill],'BUPA Seguros'!$L$3)</f>
        <v>0</v>
      </c>
      <c r="F1052" s="20">
        <v>0</v>
      </c>
      <c r="G1052" s="19">
        <f>IFERROR(SUMIFS(Regiones[TMO],Regiones[Fecha],Tabla54[[#This Row],[Fecha]],Regiones[Intervalo],Tabla54[[#This Row],[Intervalo]],Regiones[Skill],'BUPA Seguros'!$L$3)/Tabla54[[#This Row],[Atendidas]],0)</f>
        <v>0</v>
      </c>
      <c r="H10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2" s="21">
        <f>IFERROR(Tabla54[[#This Row],[Atendidas]]/Tabla54[[#This Row],[Recibidas]],0)</f>
        <v>0</v>
      </c>
    </row>
    <row r="1053" spans="2:9" x14ac:dyDescent="0.3">
      <c r="B1053" s="25">
        <f t="shared" si="45"/>
        <v>46225</v>
      </c>
      <c r="C1053" s="26">
        <v>0.8125</v>
      </c>
      <c r="D1053" s="19">
        <f>+SUMIFS(Regiones[Ofrecidas],Regiones[Fecha],Tabla54[[#This Row],[Fecha]],Regiones[Intervalo],Tabla54[[#This Row],[Intervalo]],Regiones[Skill],'BUPA Seguros'!$L$3)</f>
        <v>0</v>
      </c>
      <c r="E1053" s="19">
        <f>+SUMIFS(Regiones[Contestadas],Regiones[Fecha],Tabla54[[#This Row],[Fecha]],Regiones[Intervalo],Tabla54[[#This Row],[Intervalo]],Regiones[Skill],'BUPA Seguros'!$L$3)</f>
        <v>0</v>
      </c>
      <c r="F1053" s="20">
        <v>0</v>
      </c>
      <c r="G1053" s="19">
        <f>IFERROR(SUMIFS(Regiones[TMO],Regiones[Fecha],Tabla54[[#This Row],[Fecha]],Regiones[Intervalo],Tabla54[[#This Row],[Intervalo]],Regiones[Skill],'BUPA Seguros'!$L$3)/Tabla54[[#This Row],[Atendidas]],0)</f>
        <v>0</v>
      </c>
      <c r="H10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3" s="21">
        <f>IFERROR(Tabla54[[#This Row],[Atendidas]]/Tabla54[[#This Row],[Recibidas]],0)</f>
        <v>0</v>
      </c>
    </row>
    <row r="1054" spans="2:9" x14ac:dyDescent="0.3">
      <c r="B1054" s="27">
        <f t="shared" si="45"/>
        <v>46225</v>
      </c>
      <c r="C1054" s="18">
        <v>0.83333333333333304</v>
      </c>
      <c r="D1054" s="19">
        <f>+SUMIFS(Regiones[Ofrecidas],Regiones[Fecha],Tabla54[[#This Row],[Fecha]],Regiones[Intervalo],Tabla54[[#This Row],[Intervalo]],Regiones[Skill],'BUPA Seguros'!$L$3)</f>
        <v>0</v>
      </c>
      <c r="E1054" s="19">
        <f>+SUMIFS(Regiones[Contestadas],Regiones[Fecha],Tabla54[[#This Row],[Fecha]],Regiones[Intervalo],Tabla54[[#This Row],[Intervalo]],Regiones[Skill],'BUPA Seguros'!$L$3)</f>
        <v>0</v>
      </c>
      <c r="F1054" s="20">
        <v>0</v>
      </c>
      <c r="G1054" s="19">
        <f>IFERROR(SUMIFS(Regiones[TMO],Regiones[Fecha],Tabla54[[#This Row],[Fecha]],Regiones[Intervalo],Tabla54[[#This Row],[Intervalo]],Regiones[Skill],'BUPA Seguros'!$L$3)/Tabla54[[#This Row],[Atendidas]],0)</f>
        <v>0</v>
      </c>
      <c r="H10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4" s="21">
        <f>IFERROR(Tabla54[[#This Row],[Atendidas]]/Tabla54[[#This Row],[Recibidas]],0)</f>
        <v>0</v>
      </c>
    </row>
    <row r="1055" spans="2:9" x14ac:dyDescent="0.3">
      <c r="B1055" s="25">
        <f t="shared" si="45"/>
        <v>46225</v>
      </c>
      <c r="C1055" s="26">
        <v>0.85416666666666696</v>
      </c>
      <c r="D1055" s="19">
        <f>+SUMIFS(Regiones[Ofrecidas],Regiones[Fecha],Tabla54[[#This Row],[Fecha]],Regiones[Intervalo],Tabla54[[#This Row],[Intervalo]],Regiones[Skill],'BUPA Seguros'!$L$3)</f>
        <v>0</v>
      </c>
      <c r="E1055" s="19">
        <f>+SUMIFS(Regiones[Contestadas],Regiones[Fecha],Tabla54[[#This Row],[Fecha]],Regiones[Intervalo],Tabla54[[#This Row],[Intervalo]],Regiones[Skill],'BUPA Seguros'!$L$3)</f>
        <v>0</v>
      </c>
      <c r="F1055" s="20">
        <v>0</v>
      </c>
      <c r="G1055" s="19">
        <f>IFERROR(SUMIFS(Regiones[TMO],Regiones[Fecha],Tabla54[[#This Row],[Fecha]],Regiones[Intervalo],Tabla54[[#This Row],[Intervalo]],Regiones[Skill],'BUPA Seguros'!$L$3)/Tabla54[[#This Row],[Atendidas]],0)</f>
        <v>0</v>
      </c>
      <c r="H10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5" s="21">
        <f>IFERROR(Tabla54[[#This Row],[Atendidas]]/Tabla54[[#This Row],[Recibidas]],0)</f>
        <v>0</v>
      </c>
    </row>
    <row r="1056" spans="2:9" x14ac:dyDescent="0.3">
      <c r="B1056" s="27">
        <f t="shared" si="45"/>
        <v>46225</v>
      </c>
      <c r="C1056" s="18">
        <v>0.875</v>
      </c>
      <c r="D1056" s="19">
        <f>+SUMIFS(Regiones[Ofrecidas],Regiones[Fecha],Tabla54[[#This Row],[Fecha]],Regiones[Intervalo],Tabla54[[#This Row],[Intervalo]],Regiones[Skill],'BUPA Seguros'!$L$3)</f>
        <v>0</v>
      </c>
      <c r="E1056" s="19">
        <f>+SUMIFS(Regiones[Contestadas],Regiones[Fecha],Tabla54[[#This Row],[Fecha]],Regiones[Intervalo],Tabla54[[#This Row],[Intervalo]],Regiones[Skill],'BUPA Seguros'!$L$3)</f>
        <v>0</v>
      </c>
      <c r="F1056" s="20">
        <v>0</v>
      </c>
      <c r="G1056" s="19">
        <f>IFERROR(SUMIFS(Regiones[TMO],Regiones[Fecha],Tabla54[[#This Row],[Fecha]],Regiones[Intervalo],Tabla54[[#This Row],[Intervalo]],Regiones[Skill],'BUPA Seguros'!$L$3)/Tabla54[[#This Row],[Atendidas]],0)</f>
        <v>0</v>
      </c>
      <c r="H10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6" s="21">
        <f>IFERROR(Tabla54[[#This Row],[Atendidas]]/Tabla54[[#This Row],[Recibidas]],0)</f>
        <v>0</v>
      </c>
    </row>
    <row r="1057" spans="2:9" x14ac:dyDescent="0.3">
      <c r="B1057" s="25">
        <f t="shared" si="45"/>
        <v>46225</v>
      </c>
      <c r="C1057" s="26">
        <v>0.89583333333333304</v>
      </c>
      <c r="D1057" s="19">
        <f>+SUMIFS(Regiones[Ofrecidas],Regiones[Fecha],Tabla54[[#This Row],[Fecha]],Regiones[Intervalo],Tabla54[[#This Row],[Intervalo]],Regiones[Skill],'BUPA Seguros'!$L$3)</f>
        <v>0</v>
      </c>
      <c r="E1057" s="19">
        <f>+SUMIFS(Regiones[Contestadas],Regiones[Fecha],Tabla54[[#This Row],[Fecha]],Regiones[Intervalo],Tabla54[[#This Row],[Intervalo]],Regiones[Skill],'BUPA Seguros'!$L$3)</f>
        <v>0</v>
      </c>
      <c r="F1057" s="20">
        <v>0</v>
      </c>
      <c r="G1057" s="19">
        <f>IFERROR(SUMIFS(Regiones[TMO],Regiones[Fecha],Tabla54[[#This Row],[Fecha]],Regiones[Intervalo],Tabla54[[#This Row],[Intervalo]],Regiones[Skill],'BUPA Seguros'!$L$3)/Tabla54[[#This Row],[Atendidas]],0)</f>
        <v>0</v>
      </c>
      <c r="H10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7" s="21">
        <f>IFERROR(Tabla54[[#This Row],[Atendidas]]/Tabla54[[#This Row],[Recibidas]],0)</f>
        <v>0</v>
      </c>
    </row>
    <row r="1058" spans="2:9" x14ac:dyDescent="0.3">
      <c r="B1058" s="27">
        <f t="shared" si="45"/>
        <v>46225</v>
      </c>
      <c r="C1058" s="18">
        <v>0.91666666666666696</v>
      </c>
      <c r="D1058" s="19">
        <f>+SUMIFS(Regiones[Ofrecidas],Regiones[Fecha],Tabla54[[#This Row],[Fecha]],Regiones[Intervalo],Tabla54[[#This Row],[Intervalo]],Regiones[Skill],'BUPA Seguros'!$L$3)</f>
        <v>0</v>
      </c>
      <c r="E1058" s="19">
        <f>+SUMIFS(Regiones[Contestadas],Regiones[Fecha],Tabla54[[#This Row],[Fecha]],Regiones[Intervalo],Tabla54[[#This Row],[Intervalo]],Regiones[Skill],'BUPA Seguros'!$L$3)</f>
        <v>0</v>
      </c>
      <c r="F1058" s="20">
        <v>0</v>
      </c>
      <c r="G1058" s="19">
        <f>IFERROR(SUMIFS(Regiones[TMO],Regiones[Fecha],Tabla54[[#This Row],[Fecha]],Regiones[Intervalo],Tabla54[[#This Row],[Intervalo]],Regiones[Skill],'BUPA Seguros'!$L$3)/Tabla54[[#This Row],[Atendidas]],0)</f>
        <v>0</v>
      </c>
      <c r="H10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8" s="21">
        <f>IFERROR(Tabla54[[#This Row],[Atendidas]]/Tabla54[[#This Row],[Recibidas]],0)</f>
        <v>0</v>
      </c>
    </row>
    <row r="1059" spans="2:9" x14ac:dyDescent="0.3">
      <c r="B1059" s="25">
        <f t="shared" si="45"/>
        <v>46225</v>
      </c>
      <c r="C1059" s="26">
        <v>0.9375</v>
      </c>
      <c r="D1059" s="19">
        <f>+SUMIFS(Regiones[Ofrecidas],Regiones[Fecha],Tabla54[[#This Row],[Fecha]],Regiones[Intervalo],Tabla54[[#This Row],[Intervalo]],Regiones[Skill],'BUPA Seguros'!$L$3)</f>
        <v>0</v>
      </c>
      <c r="E1059" s="19">
        <f>+SUMIFS(Regiones[Contestadas],Regiones[Fecha],Tabla54[[#This Row],[Fecha]],Regiones[Intervalo],Tabla54[[#This Row],[Intervalo]],Regiones[Skill],'BUPA Seguros'!$L$3)</f>
        <v>0</v>
      </c>
      <c r="F1059" s="20">
        <v>0</v>
      </c>
      <c r="G1059" s="19">
        <f>IFERROR(SUMIFS(Regiones[TMO],Regiones[Fecha],Tabla54[[#This Row],[Fecha]],Regiones[Intervalo],Tabla54[[#This Row],[Intervalo]],Regiones[Skill],'BUPA Seguros'!$L$3)/Tabla54[[#This Row],[Atendidas]],0)</f>
        <v>0</v>
      </c>
      <c r="H10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59" s="21">
        <f>IFERROR(Tabla54[[#This Row],[Atendidas]]/Tabla54[[#This Row],[Recibidas]],0)</f>
        <v>0</v>
      </c>
    </row>
    <row r="1060" spans="2:9" x14ac:dyDescent="0.3">
      <c r="B1060" s="27">
        <f t="shared" si="45"/>
        <v>46225</v>
      </c>
      <c r="C1060" s="18">
        <v>0.95833333333333304</v>
      </c>
      <c r="D1060" s="19">
        <f>+SUMIFS(Regiones[Ofrecidas],Regiones[Fecha],Tabla54[[#This Row],[Fecha]],Regiones[Intervalo],Tabla54[[#This Row],[Intervalo]],Regiones[Skill],'BUPA Seguros'!$L$3)</f>
        <v>0</v>
      </c>
      <c r="E1060" s="19">
        <f>+SUMIFS(Regiones[Contestadas],Regiones[Fecha],Tabla54[[#This Row],[Fecha]],Regiones[Intervalo],Tabla54[[#This Row],[Intervalo]],Regiones[Skill],'BUPA Seguros'!$L$3)</f>
        <v>0</v>
      </c>
      <c r="F1060" s="20">
        <v>0</v>
      </c>
      <c r="G1060" s="19">
        <f>IFERROR(SUMIFS(Regiones[TMO],Regiones[Fecha],Tabla54[[#This Row],[Fecha]],Regiones[Intervalo],Tabla54[[#This Row],[Intervalo]],Regiones[Skill],'BUPA Seguros'!$L$3)/Tabla54[[#This Row],[Atendidas]],0)</f>
        <v>0</v>
      </c>
      <c r="H10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0" s="21">
        <f>IFERROR(Tabla54[[#This Row],[Atendidas]]/Tabla54[[#This Row],[Recibidas]],0)</f>
        <v>0</v>
      </c>
    </row>
    <row r="1061" spans="2:9" x14ac:dyDescent="0.3">
      <c r="B1061" s="25">
        <f t="shared" si="45"/>
        <v>46225</v>
      </c>
      <c r="C1061" s="26">
        <v>0.97916666666666696</v>
      </c>
      <c r="D1061" s="19">
        <f>+SUMIFS(Regiones[Ofrecidas],Regiones[Fecha],Tabla54[[#This Row],[Fecha]],Regiones[Intervalo],Tabla54[[#This Row],[Intervalo]],Regiones[Skill],'BUPA Seguros'!$L$3)</f>
        <v>0</v>
      </c>
      <c r="E1061" s="19">
        <f>+SUMIFS(Regiones[Contestadas],Regiones[Fecha],Tabla54[[#This Row],[Fecha]],Regiones[Intervalo],Tabla54[[#This Row],[Intervalo]],Regiones[Skill],'BUPA Seguros'!$L$3)</f>
        <v>0</v>
      </c>
      <c r="F1061" s="20">
        <v>0</v>
      </c>
      <c r="G1061" s="19">
        <f>IFERROR(SUMIFS(Regiones[TMO],Regiones[Fecha],Tabla54[[#This Row],[Fecha]],Regiones[Intervalo],Tabla54[[#This Row],[Intervalo]],Regiones[Skill],'BUPA Seguros'!$L$3)/Tabla54[[#This Row],[Atendidas]],0)</f>
        <v>0</v>
      </c>
      <c r="H10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1" s="21">
        <f>IFERROR(Tabla54[[#This Row],[Atendidas]]/Tabla54[[#This Row],[Recibidas]],0)</f>
        <v>0</v>
      </c>
    </row>
    <row r="1062" spans="2:9" x14ac:dyDescent="0.3">
      <c r="B1062" s="27">
        <f t="shared" ref="B1062" si="46">+B1061+1</f>
        <v>46226</v>
      </c>
      <c r="C1062" s="18">
        <v>0</v>
      </c>
      <c r="D1062" s="19">
        <f>+SUMIFS(Regiones[Ofrecidas],Regiones[Fecha],Tabla54[[#This Row],[Fecha]],Regiones[Intervalo],Tabla54[[#This Row],[Intervalo]],Regiones[Skill],'BUPA Seguros'!$L$3)</f>
        <v>0</v>
      </c>
      <c r="E1062" s="19">
        <f>+SUMIFS(Regiones[Contestadas],Regiones[Fecha],Tabla54[[#This Row],[Fecha]],Regiones[Intervalo],Tabla54[[#This Row],[Intervalo]],Regiones[Skill],'BUPA Seguros'!$L$3)</f>
        <v>0</v>
      </c>
      <c r="F1062" s="20">
        <v>0</v>
      </c>
      <c r="G1062" s="19">
        <f>IFERROR(SUMIFS(Regiones[TMO],Regiones[Fecha],Tabla54[[#This Row],[Fecha]],Regiones[Intervalo],Tabla54[[#This Row],[Intervalo]],Regiones[Skill],'BUPA Seguros'!$L$3)/Tabla54[[#This Row],[Atendidas]],0)</f>
        <v>0</v>
      </c>
      <c r="H10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2" s="21">
        <f>IFERROR(Tabla54[[#This Row],[Atendidas]]/Tabla54[[#This Row],[Recibidas]],0)</f>
        <v>0</v>
      </c>
    </row>
    <row r="1063" spans="2:9" x14ac:dyDescent="0.3">
      <c r="B1063" s="25">
        <f t="shared" ref="B1063" si="47">+B1062</f>
        <v>46226</v>
      </c>
      <c r="C1063" s="26">
        <v>2.0833333333333332E-2</v>
      </c>
      <c r="D1063" s="19">
        <f>+SUMIFS(Regiones[Ofrecidas],Regiones[Fecha],Tabla54[[#This Row],[Fecha]],Regiones[Intervalo],Tabla54[[#This Row],[Intervalo]],Regiones[Skill],'BUPA Seguros'!$L$3)</f>
        <v>0</v>
      </c>
      <c r="E1063" s="19">
        <f>+SUMIFS(Regiones[Contestadas],Regiones[Fecha],Tabla54[[#This Row],[Fecha]],Regiones[Intervalo],Tabla54[[#This Row],[Intervalo]],Regiones[Skill],'BUPA Seguros'!$L$3)</f>
        <v>0</v>
      </c>
      <c r="F1063" s="20">
        <v>0</v>
      </c>
      <c r="G1063" s="19">
        <f>IFERROR(SUMIFS(Regiones[TMO],Regiones[Fecha],Tabla54[[#This Row],[Fecha]],Regiones[Intervalo],Tabla54[[#This Row],[Intervalo]],Regiones[Skill],'BUPA Seguros'!$L$3)/Tabla54[[#This Row],[Atendidas]],0)</f>
        <v>0</v>
      </c>
      <c r="H10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3" s="21">
        <f>IFERROR(Tabla54[[#This Row],[Atendidas]]/Tabla54[[#This Row],[Recibidas]],0)</f>
        <v>0</v>
      </c>
    </row>
    <row r="1064" spans="2:9" x14ac:dyDescent="0.3">
      <c r="B1064" s="27">
        <f t="shared" si="45"/>
        <v>46226</v>
      </c>
      <c r="C1064" s="18">
        <v>4.1666666666666699E-2</v>
      </c>
      <c r="D1064" s="19">
        <f>+SUMIFS(Regiones[Ofrecidas],Regiones[Fecha],Tabla54[[#This Row],[Fecha]],Regiones[Intervalo],Tabla54[[#This Row],[Intervalo]],Regiones[Skill],'BUPA Seguros'!$L$3)</f>
        <v>0</v>
      </c>
      <c r="E1064" s="19">
        <f>+SUMIFS(Regiones[Contestadas],Regiones[Fecha],Tabla54[[#This Row],[Fecha]],Regiones[Intervalo],Tabla54[[#This Row],[Intervalo]],Regiones[Skill],'BUPA Seguros'!$L$3)</f>
        <v>0</v>
      </c>
      <c r="F1064" s="20">
        <v>0</v>
      </c>
      <c r="G1064" s="19">
        <f>IFERROR(SUMIFS(Regiones[TMO],Regiones[Fecha],Tabla54[[#This Row],[Fecha]],Regiones[Intervalo],Tabla54[[#This Row],[Intervalo]],Regiones[Skill],'BUPA Seguros'!$L$3)/Tabla54[[#This Row],[Atendidas]],0)</f>
        <v>0</v>
      </c>
      <c r="H10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4" s="21">
        <f>IFERROR(Tabla54[[#This Row],[Atendidas]]/Tabla54[[#This Row],[Recibidas]],0)</f>
        <v>0</v>
      </c>
    </row>
    <row r="1065" spans="2:9" x14ac:dyDescent="0.3">
      <c r="B1065" s="25">
        <f t="shared" si="45"/>
        <v>46226</v>
      </c>
      <c r="C1065" s="26">
        <v>6.25E-2</v>
      </c>
      <c r="D1065" s="19">
        <f>+SUMIFS(Regiones[Ofrecidas],Regiones[Fecha],Tabla54[[#This Row],[Fecha]],Regiones[Intervalo],Tabla54[[#This Row],[Intervalo]],Regiones[Skill],'BUPA Seguros'!$L$3)</f>
        <v>0</v>
      </c>
      <c r="E1065" s="19">
        <f>+SUMIFS(Regiones[Contestadas],Regiones[Fecha],Tabla54[[#This Row],[Fecha]],Regiones[Intervalo],Tabla54[[#This Row],[Intervalo]],Regiones[Skill],'BUPA Seguros'!$L$3)</f>
        <v>0</v>
      </c>
      <c r="F1065" s="20">
        <v>0</v>
      </c>
      <c r="G1065" s="19">
        <f>IFERROR(SUMIFS(Regiones[TMO],Regiones[Fecha],Tabla54[[#This Row],[Fecha]],Regiones[Intervalo],Tabla54[[#This Row],[Intervalo]],Regiones[Skill],'BUPA Seguros'!$L$3)/Tabla54[[#This Row],[Atendidas]],0)</f>
        <v>0</v>
      </c>
      <c r="H10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5" s="21">
        <f>IFERROR(Tabla54[[#This Row],[Atendidas]]/Tabla54[[#This Row],[Recibidas]],0)</f>
        <v>0</v>
      </c>
    </row>
    <row r="1066" spans="2:9" x14ac:dyDescent="0.3">
      <c r="B1066" s="27">
        <f t="shared" si="45"/>
        <v>46226</v>
      </c>
      <c r="C1066" s="18">
        <v>8.3333333333333301E-2</v>
      </c>
      <c r="D1066" s="19">
        <f>+SUMIFS(Regiones[Ofrecidas],Regiones[Fecha],Tabla54[[#This Row],[Fecha]],Regiones[Intervalo],Tabla54[[#This Row],[Intervalo]],Regiones[Skill],'BUPA Seguros'!$L$3)</f>
        <v>0</v>
      </c>
      <c r="E1066" s="19">
        <f>+SUMIFS(Regiones[Contestadas],Regiones[Fecha],Tabla54[[#This Row],[Fecha]],Regiones[Intervalo],Tabla54[[#This Row],[Intervalo]],Regiones[Skill],'BUPA Seguros'!$L$3)</f>
        <v>0</v>
      </c>
      <c r="F1066" s="20">
        <v>0</v>
      </c>
      <c r="G1066" s="19">
        <f>IFERROR(SUMIFS(Regiones[TMO],Regiones[Fecha],Tabla54[[#This Row],[Fecha]],Regiones[Intervalo],Tabla54[[#This Row],[Intervalo]],Regiones[Skill],'BUPA Seguros'!$L$3)/Tabla54[[#This Row],[Atendidas]],0)</f>
        <v>0</v>
      </c>
      <c r="H10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6" s="21">
        <f>IFERROR(Tabla54[[#This Row],[Atendidas]]/Tabla54[[#This Row],[Recibidas]],0)</f>
        <v>0</v>
      </c>
    </row>
    <row r="1067" spans="2:9" x14ac:dyDescent="0.3">
      <c r="B1067" s="25">
        <f t="shared" si="45"/>
        <v>46226</v>
      </c>
      <c r="C1067" s="26">
        <v>0.104166666666667</v>
      </c>
      <c r="D1067" s="19">
        <f>+SUMIFS(Regiones[Ofrecidas],Regiones[Fecha],Tabla54[[#This Row],[Fecha]],Regiones[Intervalo],Tabla54[[#This Row],[Intervalo]],Regiones[Skill],'BUPA Seguros'!$L$3)</f>
        <v>0</v>
      </c>
      <c r="E1067" s="19">
        <f>+SUMIFS(Regiones[Contestadas],Regiones[Fecha],Tabla54[[#This Row],[Fecha]],Regiones[Intervalo],Tabla54[[#This Row],[Intervalo]],Regiones[Skill],'BUPA Seguros'!$L$3)</f>
        <v>0</v>
      </c>
      <c r="F1067" s="20">
        <v>0</v>
      </c>
      <c r="G1067" s="19">
        <f>IFERROR(SUMIFS(Regiones[TMO],Regiones[Fecha],Tabla54[[#This Row],[Fecha]],Regiones[Intervalo],Tabla54[[#This Row],[Intervalo]],Regiones[Skill],'BUPA Seguros'!$L$3)/Tabla54[[#This Row],[Atendidas]],0)</f>
        <v>0</v>
      </c>
      <c r="H10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7" s="21">
        <f>IFERROR(Tabla54[[#This Row],[Atendidas]]/Tabla54[[#This Row],[Recibidas]],0)</f>
        <v>0</v>
      </c>
    </row>
    <row r="1068" spans="2:9" x14ac:dyDescent="0.3">
      <c r="B1068" s="27">
        <f t="shared" si="45"/>
        <v>46226</v>
      </c>
      <c r="C1068" s="18">
        <v>0.125</v>
      </c>
      <c r="D1068" s="19">
        <f>+SUMIFS(Regiones[Ofrecidas],Regiones[Fecha],Tabla54[[#This Row],[Fecha]],Regiones[Intervalo],Tabla54[[#This Row],[Intervalo]],Regiones[Skill],'BUPA Seguros'!$L$3)</f>
        <v>0</v>
      </c>
      <c r="E1068" s="19">
        <f>+SUMIFS(Regiones[Contestadas],Regiones[Fecha],Tabla54[[#This Row],[Fecha]],Regiones[Intervalo],Tabla54[[#This Row],[Intervalo]],Regiones[Skill],'BUPA Seguros'!$L$3)</f>
        <v>0</v>
      </c>
      <c r="F1068" s="20">
        <v>0</v>
      </c>
      <c r="G1068" s="19">
        <f>IFERROR(SUMIFS(Regiones[TMO],Regiones[Fecha],Tabla54[[#This Row],[Fecha]],Regiones[Intervalo],Tabla54[[#This Row],[Intervalo]],Regiones[Skill],'BUPA Seguros'!$L$3)/Tabla54[[#This Row],[Atendidas]],0)</f>
        <v>0</v>
      </c>
      <c r="H10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8" s="21">
        <f>IFERROR(Tabla54[[#This Row],[Atendidas]]/Tabla54[[#This Row],[Recibidas]],0)</f>
        <v>0</v>
      </c>
    </row>
    <row r="1069" spans="2:9" x14ac:dyDescent="0.3">
      <c r="B1069" s="25">
        <f t="shared" si="45"/>
        <v>46226</v>
      </c>
      <c r="C1069" s="26">
        <v>0.14583333333333301</v>
      </c>
      <c r="D1069" s="19">
        <f>+SUMIFS(Regiones[Ofrecidas],Regiones[Fecha],Tabla54[[#This Row],[Fecha]],Regiones[Intervalo],Tabla54[[#This Row],[Intervalo]],Regiones[Skill],'BUPA Seguros'!$L$3)</f>
        <v>0</v>
      </c>
      <c r="E1069" s="19">
        <f>+SUMIFS(Regiones[Contestadas],Regiones[Fecha],Tabla54[[#This Row],[Fecha]],Regiones[Intervalo],Tabla54[[#This Row],[Intervalo]],Regiones[Skill],'BUPA Seguros'!$L$3)</f>
        <v>0</v>
      </c>
      <c r="F1069" s="20">
        <v>0</v>
      </c>
      <c r="G1069" s="19">
        <f>IFERROR(SUMIFS(Regiones[TMO],Regiones[Fecha],Tabla54[[#This Row],[Fecha]],Regiones[Intervalo],Tabla54[[#This Row],[Intervalo]],Regiones[Skill],'BUPA Seguros'!$L$3)/Tabla54[[#This Row],[Atendidas]],0)</f>
        <v>0</v>
      </c>
      <c r="H10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69" s="21">
        <f>IFERROR(Tabla54[[#This Row],[Atendidas]]/Tabla54[[#This Row],[Recibidas]],0)</f>
        <v>0</v>
      </c>
    </row>
    <row r="1070" spans="2:9" x14ac:dyDescent="0.3">
      <c r="B1070" s="27">
        <f t="shared" si="45"/>
        <v>46226</v>
      </c>
      <c r="C1070" s="18">
        <v>0.16666666666666699</v>
      </c>
      <c r="D1070" s="19">
        <f>+SUMIFS(Regiones[Ofrecidas],Regiones[Fecha],Tabla54[[#This Row],[Fecha]],Regiones[Intervalo],Tabla54[[#This Row],[Intervalo]],Regiones[Skill],'BUPA Seguros'!$L$3)</f>
        <v>0</v>
      </c>
      <c r="E1070" s="19">
        <f>+SUMIFS(Regiones[Contestadas],Regiones[Fecha],Tabla54[[#This Row],[Fecha]],Regiones[Intervalo],Tabla54[[#This Row],[Intervalo]],Regiones[Skill],'BUPA Seguros'!$L$3)</f>
        <v>0</v>
      </c>
      <c r="F1070" s="20">
        <v>0</v>
      </c>
      <c r="G1070" s="19">
        <f>IFERROR(SUMIFS(Regiones[TMO],Regiones[Fecha],Tabla54[[#This Row],[Fecha]],Regiones[Intervalo],Tabla54[[#This Row],[Intervalo]],Regiones[Skill],'BUPA Seguros'!$L$3)/Tabla54[[#This Row],[Atendidas]],0)</f>
        <v>0</v>
      </c>
      <c r="H10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0" s="21">
        <f>IFERROR(Tabla54[[#This Row],[Atendidas]]/Tabla54[[#This Row],[Recibidas]],0)</f>
        <v>0</v>
      </c>
    </row>
    <row r="1071" spans="2:9" x14ac:dyDescent="0.3">
      <c r="B1071" s="25">
        <f t="shared" si="45"/>
        <v>46226</v>
      </c>
      <c r="C1071" s="26">
        <v>0.1875</v>
      </c>
      <c r="D1071" s="19">
        <f>+SUMIFS(Regiones[Ofrecidas],Regiones[Fecha],Tabla54[[#This Row],[Fecha]],Regiones[Intervalo],Tabla54[[#This Row],[Intervalo]],Regiones[Skill],'BUPA Seguros'!$L$3)</f>
        <v>0</v>
      </c>
      <c r="E1071" s="19">
        <f>+SUMIFS(Regiones[Contestadas],Regiones[Fecha],Tabla54[[#This Row],[Fecha]],Regiones[Intervalo],Tabla54[[#This Row],[Intervalo]],Regiones[Skill],'BUPA Seguros'!$L$3)</f>
        <v>0</v>
      </c>
      <c r="F1071" s="20">
        <v>0</v>
      </c>
      <c r="G1071" s="19">
        <f>IFERROR(SUMIFS(Regiones[TMO],Regiones[Fecha],Tabla54[[#This Row],[Fecha]],Regiones[Intervalo],Tabla54[[#This Row],[Intervalo]],Regiones[Skill],'BUPA Seguros'!$L$3)/Tabla54[[#This Row],[Atendidas]],0)</f>
        <v>0</v>
      </c>
      <c r="H10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1" s="21">
        <f>IFERROR(Tabla54[[#This Row],[Atendidas]]/Tabla54[[#This Row],[Recibidas]],0)</f>
        <v>0</v>
      </c>
    </row>
    <row r="1072" spans="2:9" x14ac:dyDescent="0.3">
      <c r="B1072" s="27">
        <f t="shared" si="45"/>
        <v>46226</v>
      </c>
      <c r="C1072" s="18">
        <v>0.20833333333333301</v>
      </c>
      <c r="D1072" s="19">
        <f>+SUMIFS(Regiones[Ofrecidas],Regiones[Fecha],Tabla54[[#This Row],[Fecha]],Regiones[Intervalo],Tabla54[[#This Row],[Intervalo]],Regiones[Skill],'BUPA Seguros'!$L$3)</f>
        <v>0</v>
      </c>
      <c r="E1072" s="19">
        <f>+SUMIFS(Regiones[Contestadas],Regiones[Fecha],Tabla54[[#This Row],[Fecha]],Regiones[Intervalo],Tabla54[[#This Row],[Intervalo]],Regiones[Skill],'BUPA Seguros'!$L$3)</f>
        <v>0</v>
      </c>
      <c r="F1072" s="20">
        <v>0</v>
      </c>
      <c r="G1072" s="19">
        <f>IFERROR(SUMIFS(Regiones[TMO],Regiones[Fecha],Tabla54[[#This Row],[Fecha]],Regiones[Intervalo],Tabla54[[#This Row],[Intervalo]],Regiones[Skill],'BUPA Seguros'!$L$3)/Tabla54[[#This Row],[Atendidas]],0)</f>
        <v>0</v>
      </c>
      <c r="H10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2" s="21">
        <f>IFERROR(Tabla54[[#This Row],[Atendidas]]/Tabla54[[#This Row],[Recibidas]],0)</f>
        <v>0</v>
      </c>
    </row>
    <row r="1073" spans="2:9" x14ac:dyDescent="0.3">
      <c r="B1073" s="25">
        <f t="shared" si="45"/>
        <v>46226</v>
      </c>
      <c r="C1073" s="26">
        <v>0.22916666666666699</v>
      </c>
      <c r="D1073" s="19">
        <f>+SUMIFS(Regiones[Ofrecidas],Regiones[Fecha],Tabla54[[#This Row],[Fecha]],Regiones[Intervalo],Tabla54[[#This Row],[Intervalo]],Regiones[Skill],'BUPA Seguros'!$L$3)</f>
        <v>0</v>
      </c>
      <c r="E1073" s="19">
        <f>+SUMIFS(Regiones[Contestadas],Regiones[Fecha],Tabla54[[#This Row],[Fecha]],Regiones[Intervalo],Tabla54[[#This Row],[Intervalo]],Regiones[Skill],'BUPA Seguros'!$L$3)</f>
        <v>0</v>
      </c>
      <c r="F1073" s="20">
        <v>0</v>
      </c>
      <c r="G1073" s="19">
        <f>IFERROR(SUMIFS(Regiones[TMO],Regiones[Fecha],Tabla54[[#This Row],[Fecha]],Regiones[Intervalo],Tabla54[[#This Row],[Intervalo]],Regiones[Skill],'BUPA Seguros'!$L$3)/Tabla54[[#This Row],[Atendidas]],0)</f>
        <v>0</v>
      </c>
      <c r="H10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3" s="21">
        <f>IFERROR(Tabla54[[#This Row],[Atendidas]]/Tabla54[[#This Row],[Recibidas]],0)</f>
        <v>0</v>
      </c>
    </row>
    <row r="1074" spans="2:9" x14ac:dyDescent="0.3">
      <c r="B1074" s="27">
        <f t="shared" si="45"/>
        <v>46226</v>
      </c>
      <c r="C1074" s="18">
        <v>0.25</v>
      </c>
      <c r="D1074" s="19">
        <f>+SUMIFS(Regiones[Ofrecidas],Regiones[Fecha],Tabla54[[#This Row],[Fecha]],Regiones[Intervalo],Tabla54[[#This Row],[Intervalo]],Regiones[Skill],'BUPA Seguros'!$L$3)</f>
        <v>0</v>
      </c>
      <c r="E1074" s="19">
        <f>+SUMIFS(Regiones[Contestadas],Regiones[Fecha],Tabla54[[#This Row],[Fecha]],Regiones[Intervalo],Tabla54[[#This Row],[Intervalo]],Regiones[Skill],'BUPA Seguros'!$L$3)</f>
        <v>0</v>
      </c>
      <c r="F1074" s="20">
        <v>0</v>
      </c>
      <c r="G1074" s="19">
        <f>IFERROR(SUMIFS(Regiones[TMO],Regiones[Fecha],Tabla54[[#This Row],[Fecha]],Regiones[Intervalo],Tabla54[[#This Row],[Intervalo]],Regiones[Skill],'BUPA Seguros'!$L$3)/Tabla54[[#This Row],[Atendidas]],0)</f>
        <v>0</v>
      </c>
      <c r="H10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4" s="21">
        <f>IFERROR(Tabla54[[#This Row],[Atendidas]]/Tabla54[[#This Row],[Recibidas]],0)</f>
        <v>0</v>
      </c>
    </row>
    <row r="1075" spans="2:9" x14ac:dyDescent="0.3">
      <c r="B1075" s="25">
        <f t="shared" si="45"/>
        <v>46226</v>
      </c>
      <c r="C1075" s="26">
        <v>0.27083333333333298</v>
      </c>
      <c r="D1075" s="19">
        <f>+SUMIFS(Regiones[Ofrecidas],Regiones[Fecha],Tabla54[[#This Row],[Fecha]],Regiones[Intervalo],Tabla54[[#This Row],[Intervalo]],Regiones[Skill],'BUPA Seguros'!$L$3)</f>
        <v>0</v>
      </c>
      <c r="E1075" s="19">
        <f>+SUMIFS(Regiones[Contestadas],Regiones[Fecha],Tabla54[[#This Row],[Fecha]],Regiones[Intervalo],Tabla54[[#This Row],[Intervalo]],Regiones[Skill],'BUPA Seguros'!$L$3)</f>
        <v>0</v>
      </c>
      <c r="F1075" s="20">
        <v>0</v>
      </c>
      <c r="G1075" s="19">
        <f>IFERROR(SUMIFS(Regiones[TMO],Regiones[Fecha],Tabla54[[#This Row],[Fecha]],Regiones[Intervalo],Tabla54[[#This Row],[Intervalo]],Regiones[Skill],'BUPA Seguros'!$L$3)/Tabla54[[#This Row],[Atendidas]],0)</f>
        <v>0</v>
      </c>
      <c r="H10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5" s="21">
        <f>IFERROR(Tabla54[[#This Row],[Atendidas]]/Tabla54[[#This Row],[Recibidas]],0)</f>
        <v>0</v>
      </c>
    </row>
    <row r="1076" spans="2:9" x14ac:dyDescent="0.3">
      <c r="B1076" s="27">
        <f t="shared" si="45"/>
        <v>46226</v>
      </c>
      <c r="C1076" s="18">
        <v>0.29166666666666702</v>
      </c>
      <c r="D1076" s="19">
        <f>+SUMIFS(Regiones[Ofrecidas],Regiones[Fecha],Tabla54[[#This Row],[Fecha]],Regiones[Intervalo],Tabla54[[#This Row],[Intervalo]],Regiones[Skill],'BUPA Seguros'!$L$3)</f>
        <v>0</v>
      </c>
      <c r="E1076" s="19">
        <f>+SUMIFS(Regiones[Contestadas],Regiones[Fecha],Tabla54[[#This Row],[Fecha]],Regiones[Intervalo],Tabla54[[#This Row],[Intervalo]],Regiones[Skill],'BUPA Seguros'!$L$3)</f>
        <v>0</v>
      </c>
      <c r="F1076" s="20">
        <v>0</v>
      </c>
      <c r="G1076" s="19">
        <f>IFERROR(SUMIFS(Regiones[TMO],Regiones[Fecha],Tabla54[[#This Row],[Fecha]],Regiones[Intervalo],Tabla54[[#This Row],[Intervalo]],Regiones[Skill],'BUPA Seguros'!$L$3)/Tabla54[[#This Row],[Atendidas]],0)</f>
        <v>0</v>
      </c>
      <c r="H10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6" s="21">
        <f>IFERROR(Tabla54[[#This Row],[Atendidas]]/Tabla54[[#This Row],[Recibidas]],0)</f>
        <v>0</v>
      </c>
    </row>
    <row r="1077" spans="2:9" x14ac:dyDescent="0.3">
      <c r="B1077" s="25">
        <f t="shared" si="45"/>
        <v>46226</v>
      </c>
      <c r="C1077" s="26">
        <v>0.3125</v>
      </c>
      <c r="D1077" s="19">
        <f>+SUMIFS(Regiones[Ofrecidas],Regiones[Fecha],Tabla54[[#This Row],[Fecha]],Regiones[Intervalo],Tabla54[[#This Row],[Intervalo]],Regiones[Skill],'BUPA Seguros'!$L$3)</f>
        <v>0</v>
      </c>
      <c r="E1077" s="19">
        <f>+SUMIFS(Regiones[Contestadas],Regiones[Fecha],Tabla54[[#This Row],[Fecha]],Regiones[Intervalo],Tabla54[[#This Row],[Intervalo]],Regiones[Skill],'BUPA Seguros'!$L$3)</f>
        <v>0</v>
      </c>
      <c r="F1077" s="20">
        <v>0</v>
      </c>
      <c r="G1077" s="19">
        <f>IFERROR(SUMIFS(Regiones[TMO],Regiones[Fecha],Tabla54[[#This Row],[Fecha]],Regiones[Intervalo],Tabla54[[#This Row],[Intervalo]],Regiones[Skill],'BUPA Seguros'!$L$3)/Tabla54[[#This Row],[Atendidas]],0)</f>
        <v>0</v>
      </c>
      <c r="H10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7" s="21">
        <f>IFERROR(Tabla54[[#This Row],[Atendidas]]/Tabla54[[#This Row],[Recibidas]],0)</f>
        <v>0</v>
      </c>
    </row>
    <row r="1078" spans="2:9" x14ac:dyDescent="0.3">
      <c r="B1078" s="27">
        <f t="shared" si="45"/>
        <v>46226</v>
      </c>
      <c r="C1078" s="18">
        <v>0.33333333333333298</v>
      </c>
      <c r="D1078" s="19">
        <f>+SUMIFS(Regiones[Ofrecidas],Regiones[Fecha],Tabla54[[#This Row],[Fecha]],Regiones[Intervalo],Tabla54[[#This Row],[Intervalo]],Regiones[Skill],'BUPA Seguros'!$L$3)</f>
        <v>0</v>
      </c>
      <c r="E1078" s="19">
        <f>+SUMIFS(Regiones[Contestadas],Regiones[Fecha],Tabla54[[#This Row],[Fecha]],Regiones[Intervalo],Tabla54[[#This Row],[Intervalo]],Regiones[Skill],'BUPA Seguros'!$L$3)</f>
        <v>0</v>
      </c>
      <c r="F1078" s="20">
        <v>0</v>
      </c>
      <c r="G1078" s="19">
        <f>IFERROR(SUMIFS(Regiones[TMO],Regiones[Fecha],Tabla54[[#This Row],[Fecha]],Regiones[Intervalo],Tabla54[[#This Row],[Intervalo]],Regiones[Skill],'BUPA Seguros'!$L$3)/Tabla54[[#This Row],[Atendidas]],0)</f>
        <v>0</v>
      </c>
      <c r="H10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8" s="21">
        <f>IFERROR(Tabla54[[#This Row],[Atendidas]]/Tabla54[[#This Row],[Recibidas]],0)</f>
        <v>0</v>
      </c>
    </row>
    <row r="1079" spans="2:9" x14ac:dyDescent="0.3">
      <c r="B1079" s="25">
        <f t="shared" ref="B1079:B1142" si="48">+B1078</f>
        <v>46226</v>
      </c>
      <c r="C1079" s="26">
        <v>0.35416666666666702</v>
      </c>
      <c r="D1079" s="19">
        <f>+SUMIFS(Regiones[Ofrecidas],Regiones[Fecha],Tabla54[[#This Row],[Fecha]],Regiones[Intervalo],Tabla54[[#This Row],[Intervalo]],Regiones[Skill],'BUPA Seguros'!$L$3)</f>
        <v>0</v>
      </c>
      <c r="E1079" s="19">
        <f>+SUMIFS(Regiones[Contestadas],Regiones[Fecha],Tabla54[[#This Row],[Fecha]],Regiones[Intervalo],Tabla54[[#This Row],[Intervalo]],Regiones[Skill],'BUPA Seguros'!$L$3)</f>
        <v>0</v>
      </c>
      <c r="F1079" s="20">
        <v>0</v>
      </c>
      <c r="G1079" s="19">
        <f>IFERROR(SUMIFS(Regiones[TMO],Regiones[Fecha],Tabla54[[#This Row],[Fecha]],Regiones[Intervalo],Tabla54[[#This Row],[Intervalo]],Regiones[Skill],'BUPA Seguros'!$L$3)/Tabla54[[#This Row],[Atendidas]],0)</f>
        <v>0</v>
      </c>
      <c r="H10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79" s="21">
        <f>IFERROR(Tabla54[[#This Row],[Atendidas]]/Tabla54[[#This Row],[Recibidas]],0)</f>
        <v>0</v>
      </c>
    </row>
    <row r="1080" spans="2:9" x14ac:dyDescent="0.3">
      <c r="B1080" s="27">
        <f t="shared" si="48"/>
        <v>46226</v>
      </c>
      <c r="C1080" s="18">
        <v>0.375</v>
      </c>
      <c r="D1080" s="19">
        <f>+SUMIFS(Regiones[Ofrecidas],Regiones[Fecha],Tabla54[[#This Row],[Fecha]],Regiones[Intervalo],Tabla54[[#This Row],[Intervalo]],Regiones[Skill],'BUPA Seguros'!$L$3)</f>
        <v>0</v>
      </c>
      <c r="E1080" s="19">
        <f>+SUMIFS(Regiones[Contestadas],Regiones[Fecha],Tabla54[[#This Row],[Fecha]],Regiones[Intervalo],Tabla54[[#This Row],[Intervalo]],Regiones[Skill],'BUPA Seguros'!$L$3)</f>
        <v>0</v>
      </c>
      <c r="F1080" s="20">
        <v>28.190455009859704</v>
      </c>
      <c r="G1080" s="19">
        <f>IFERROR(SUMIFS(Regiones[TMO],Regiones[Fecha],Tabla54[[#This Row],[Fecha]],Regiones[Intervalo],Tabla54[[#This Row],[Intervalo]],Regiones[Skill],'BUPA Seguros'!$L$3)/Tabla54[[#This Row],[Atendidas]],0)</f>
        <v>0</v>
      </c>
      <c r="H10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0" s="21">
        <f>IFERROR(Tabla54[[#This Row],[Atendidas]]/Tabla54[[#This Row],[Recibidas]],0)</f>
        <v>0</v>
      </c>
    </row>
    <row r="1081" spans="2:9" x14ac:dyDescent="0.3">
      <c r="B1081" s="25">
        <f t="shared" si="48"/>
        <v>46226</v>
      </c>
      <c r="C1081" s="26">
        <v>0.39583333333333298</v>
      </c>
      <c r="D1081" s="19">
        <f>+SUMIFS(Regiones[Ofrecidas],Regiones[Fecha],Tabla54[[#This Row],[Fecha]],Regiones[Intervalo],Tabla54[[#This Row],[Intervalo]],Regiones[Skill],'BUPA Seguros'!$L$3)</f>
        <v>0</v>
      </c>
      <c r="E1081" s="19">
        <f>+SUMIFS(Regiones[Contestadas],Regiones[Fecha],Tabla54[[#This Row],[Fecha]],Regiones[Intervalo],Tabla54[[#This Row],[Intervalo]],Regiones[Skill],'BUPA Seguros'!$L$3)</f>
        <v>0</v>
      </c>
      <c r="F1081" s="20">
        <v>28.769050437656137</v>
      </c>
      <c r="G1081" s="19">
        <f>IFERROR(SUMIFS(Regiones[TMO],Regiones[Fecha],Tabla54[[#This Row],[Fecha]],Regiones[Intervalo],Tabla54[[#This Row],[Intervalo]],Regiones[Skill],'BUPA Seguros'!$L$3)/Tabla54[[#This Row],[Atendidas]],0)</f>
        <v>0</v>
      </c>
      <c r="H10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1" s="21">
        <f>IFERROR(Tabla54[[#This Row],[Atendidas]]/Tabla54[[#This Row],[Recibidas]],0)</f>
        <v>0</v>
      </c>
    </row>
    <row r="1082" spans="2:9" x14ac:dyDescent="0.3">
      <c r="B1082" s="27">
        <f t="shared" si="48"/>
        <v>46226</v>
      </c>
      <c r="C1082" s="18">
        <v>0.41666666666666702</v>
      </c>
      <c r="D1082" s="19">
        <f>+SUMIFS(Regiones[Ofrecidas],Regiones[Fecha],Tabla54[[#This Row],[Fecha]],Regiones[Intervalo],Tabla54[[#This Row],[Intervalo]],Regiones[Skill],'BUPA Seguros'!$L$3)</f>
        <v>0</v>
      </c>
      <c r="E1082" s="19">
        <f>+SUMIFS(Regiones[Contestadas],Regiones[Fecha],Tabla54[[#This Row],[Fecha]],Regiones[Intervalo],Tabla54[[#This Row],[Intervalo]],Regiones[Skill],'BUPA Seguros'!$L$3)</f>
        <v>0</v>
      </c>
      <c r="F1082" s="20">
        <v>29.744090880794577</v>
      </c>
      <c r="G1082" s="19">
        <f>IFERROR(SUMIFS(Regiones[TMO],Regiones[Fecha],Tabla54[[#This Row],[Fecha]],Regiones[Intervalo],Tabla54[[#This Row],[Intervalo]],Regiones[Skill],'BUPA Seguros'!$L$3)/Tabla54[[#This Row],[Atendidas]],0)</f>
        <v>0</v>
      </c>
      <c r="H10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2" s="21">
        <f>IFERROR(Tabla54[[#This Row],[Atendidas]]/Tabla54[[#This Row],[Recibidas]],0)</f>
        <v>0</v>
      </c>
    </row>
    <row r="1083" spans="2:9" x14ac:dyDescent="0.3">
      <c r="B1083" s="25">
        <f t="shared" si="48"/>
        <v>46226</v>
      </c>
      <c r="C1083" s="26">
        <v>0.4375</v>
      </c>
      <c r="D1083" s="19">
        <f>+SUMIFS(Regiones[Ofrecidas],Regiones[Fecha],Tabla54[[#This Row],[Fecha]],Regiones[Intervalo],Tabla54[[#This Row],[Intervalo]],Regiones[Skill],'BUPA Seguros'!$L$3)</f>
        <v>0</v>
      </c>
      <c r="E1083" s="19">
        <f>+SUMIFS(Regiones[Contestadas],Regiones[Fecha],Tabla54[[#This Row],[Fecha]],Regiones[Intervalo],Tabla54[[#This Row],[Intervalo]],Regiones[Skill],'BUPA Seguros'!$L$3)</f>
        <v>0</v>
      </c>
      <c r="F1083" s="20">
        <v>29.915526563104628</v>
      </c>
      <c r="G1083" s="19">
        <f>IFERROR(SUMIFS(Regiones[TMO],Regiones[Fecha],Tabla54[[#This Row],[Fecha]],Regiones[Intervalo],Tabla54[[#This Row],[Intervalo]],Regiones[Skill],'BUPA Seguros'!$L$3)/Tabla54[[#This Row],[Atendidas]],0)</f>
        <v>0</v>
      </c>
      <c r="H10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3" s="21">
        <f>IFERROR(Tabla54[[#This Row],[Atendidas]]/Tabla54[[#This Row],[Recibidas]],0)</f>
        <v>0</v>
      </c>
    </row>
    <row r="1084" spans="2:9" x14ac:dyDescent="0.3">
      <c r="B1084" s="27">
        <f t="shared" si="48"/>
        <v>46226</v>
      </c>
      <c r="C1084" s="18">
        <v>0.45833333333333298</v>
      </c>
      <c r="D1084" s="19">
        <f>+SUMIFS(Regiones[Ofrecidas],Regiones[Fecha],Tabla54[[#This Row],[Fecha]],Regiones[Intervalo],Tabla54[[#This Row],[Intervalo]],Regiones[Skill],'BUPA Seguros'!$L$3)</f>
        <v>0</v>
      </c>
      <c r="E1084" s="19">
        <f>+SUMIFS(Regiones[Contestadas],Regiones[Fecha],Tabla54[[#This Row],[Fecha]],Regiones[Intervalo],Tabla54[[#This Row],[Intervalo]],Regiones[Skill],'BUPA Seguros'!$L$3)</f>
        <v>0</v>
      </c>
      <c r="F1084" s="20">
        <v>30.444119916893968</v>
      </c>
      <c r="G1084" s="19">
        <f>IFERROR(SUMIFS(Regiones[TMO],Regiones[Fecha],Tabla54[[#This Row],[Fecha]],Regiones[Intervalo],Tabla54[[#This Row],[Intervalo]],Regiones[Skill],'BUPA Seguros'!$L$3)/Tabla54[[#This Row],[Atendidas]],0)</f>
        <v>0</v>
      </c>
      <c r="H10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4" s="21">
        <f>IFERROR(Tabla54[[#This Row],[Atendidas]]/Tabla54[[#This Row],[Recibidas]],0)</f>
        <v>0</v>
      </c>
    </row>
    <row r="1085" spans="2:9" x14ac:dyDescent="0.3">
      <c r="B1085" s="25">
        <f t="shared" si="48"/>
        <v>46226</v>
      </c>
      <c r="C1085" s="26">
        <v>0.47916666666666702</v>
      </c>
      <c r="D1085" s="19">
        <f>+SUMIFS(Regiones[Ofrecidas],Regiones[Fecha],Tabla54[[#This Row],[Fecha]],Regiones[Intervalo],Tabla54[[#This Row],[Intervalo]],Regiones[Skill],'BUPA Seguros'!$L$3)</f>
        <v>0</v>
      </c>
      <c r="E1085" s="19">
        <f>+SUMIFS(Regiones[Contestadas],Regiones[Fecha],Tabla54[[#This Row],[Fecha]],Regiones[Intervalo],Tabla54[[#This Row],[Intervalo]],Regiones[Skill],'BUPA Seguros'!$L$3)</f>
        <v>0</v>
      </c>
      <c r="F1085" s="20">
        <v>30.272684234583917</v>
      </c>
      <c r="G1085" s="19">
        <f>IFERROR(SUMIFS(Regiones[TMO],Regiones[Fecha],Tabla54[[#This Row],[Fecha]],Regiones[Intervalo],Tabla54[[#This Row],[Intervalo]],Regiones[Skill],'BUPA Seguros'!$L$3)/Tabla54[[#This Row],[Atendidas]],0)</f>
        <v>0</v>
      </c>
      <c r="H10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5" s="21">
        <f>IFERROR(Tabla54[[#This Row],[Atendidas]]/Tabla54[[#This Row],[Recibidas]],0)</f>
        <v>0</v>
      </c>
    </row>
    <row r="1086" spans="2:9" x14ac:dyDescent="0.3">
      <c r="B1086" s="27">
        <f t="shared" si="48"/>
        <v>46226</v>
      </c>
      <c r="C1086" s="18">
        <v>0.5</v>
      </c>
      <c r="D1086" s="19">
        <f>+SUMIFS(Regiones[Ofrecidas],Regiones[Fecha],Tabla54[[#This Row],[Fecha]],Regiones[Intervalo],Tabla54[[#This Row],[Intervalo]],Regiones[Skill],'BUPA Seguros'!$L$3)</f>
        <v>0</v>
      </c>
      <c r="E1086" s="19">
        <f>+SUMIFS(Regiones[Contestadas],Regiones[Fecha],Tabla54[[#This Row],[Fecha]],Regiones[Intervalo],Tabla54[[#This Row],[Intervalo]],Regiones[Skill],'BUPA Seguros'!$L$3)</f>
        <v>0</v>
      </c>
      <c r="F1086" s="20">
        <v>30.27268423458391</v>
      </c>
      <c r="G1086" s="19">
        <f>IFERROR(SUMIFS(Regiones[TMO],Regiones[Fecha],Tabla54[[#This Row],[Fecha]],Regiones[Intervalo],Tabla54[[#This Row],[Intervalo]],Regiones[Skill],'BUPA Seguros'!$L$3)/Tabla54[[#This Row],[Atendidas]],0)</f>
        <v>0</v>
      </c>
      <c r="H10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6" s="21">
        <f>IFERROR(Tabla54[[#This Row],[Atendidas]]/Tabla54[[#This Row],[Recibidas]],0)</f>
        <v>0</v>
      </c>
    </row>
    <row r="1087" spans="2:9" x14ac:dyDescent="0.3">
      <c r="B1087" s="25">
        <f t="shared" si="48"/>
        <v>46226</v>
      </c>
      <c r="C1087" s="26">
        <v>0.52083333333333304</v>
      </c>
      <c r="D1087" s="19">
        <f>+SUMIFS(Regiones[Ofrecidas],Regiones[Fecha],Tabla54[[#This Row],[Fecha]],Regiones[Intervalo],Tabla54[[#This Row],[Intervalo]],Regiones[Skill],'BUPA Seguros'!$L$3)</f>
        <v>0</v>
      </c>
      <c r="E1087" s="19">
        <f>+SUMIFS(Regiones[Contestadas],Regiones[Fecha],Tabla54[[#This Row],[Fecha]],Regiones[Intervalo],Tabla54[[#This Row],[Intervalo]],Regiones[Skill],'BUPA Seguros'!$L$3)</f>
        <v>0</v>
      </c>
      <c r="F1087" s="20">
        <v>29.629800425921211</v>
      </c>
      <c r="G1087" s="19">
        <f>IFERROR(SUMIFS(Regiones[TMO],Regiones[Fecha],Tabla54[[#This Row],[Fecha]],Regiones[Intervalo],Tabla54[[#This Row],[Intervalo]],Regiones[Skill],'BUPA Seguros'!$L$3)/Tabla54[[#This Row],[Atendidas]],0)</f>
        <v>0</v>
      </c>
      <c r="H10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7" s="21">
        <f>IFERROR(Tabla54[[#This Row],[Atendidas]]/Tabla54[[#This Row],[Recibidas]],0)</f>
        <v>0</v>
      </c>
    </row>
    <row r="1088" spans="2:9" x14ac:dyDescent="0.3">
      <c r="B1088" s="27">
        <f t="shared" si="48"/>
        <v>46226</v>
      </c>
      <c r="C1088" s="18">
        <v>0.54166666666666696</v>
      </c>
      <c r="D1088" s="19">
        <f>+SUMIFS(Regiones[Ofrecidas],Regiones[Fecha],Tabla54[[#This Row],[Fecha]],Regiones[Intervalo],Tabla54[[#This Row],[Intervalo]],Regiones[Skill],'BUPA Seguros'!$L$3)</f>
        <v>0</v>
      </c>
      <c r="E1088" s="19">
        <f>+SUMIFS(Regiones[Contestadas],Regiones[Fecha],Tabla54[[#This Row],[Fecha]],Regiones[Intervalo],Tabla54[[#This Row],[Intervalo]],Regiones[Skill],'BUPA Seguros'!$L$3)</f>
        <v>0</v>
      </c>
      <c r="F1088" s="20">
        <v>28.80119462808927</v>
      </c>
      <c r="G1088" s="19">
        <f>IFERROR(SUMIFS(Regiones[TMO],Regiones[Fecha],Tabla54[[#This Row],[Fecha]],Regiones[Intervalo],Tabla54[[#This Row],[Intervalo]],Regiones[Skill],'BUPA Seguros'!$L$3)/Tabla54[[#This Row],[Atendidas]],0)</f>
        <v>0</v>
      </c>
      <c r="H10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8" s="21">
        <f>IFERROR(Tabla54[[#This Row],[Atendidas]]/Tabla54[[#This Row],[Recibidas]],0)</f>
        <v>0</v>
      </c>
    </row>
    <row r="1089" spans="2:9" x14ac:dyDescent="0.3">
      <c r="B1089" s="25">
        <f t="shared" si="48"/>
        <v>46226</v>
      </c>
      <c r="C1089" s="26">
        <v>0.5625</v>
      </c>
      <c r="D1089" s="19">
        <f>+SUMIFS(Regiones[Ofrecidas],Regiones[Fecha],Tabla54[[#This Row],[Fecha]],Regiones[Intervalo],Tabla54[[#This Row],[Intervalo]],Regiones[Skill],'BUPA Seguros'!$L$3)</f>
        <v>0</v>
      </c>
      <c r="E1089" s="19">
        <f>+SUMIFS(Regiones[Contestadas],Regiones[Fecha],Tabla54[[#This Row],[Fecha]],Regiones[Intervalo],Tabla54[[#This Row],[Intervalo]],Regiones[Skill],'BUPA Seguros'!$L$3)</f>
        <v>0</v>
      </c>
      <c r="F1089" s="20">
        <v>27.37256394217215</v>
      </c>
      <c r="G1089" s="19">
        <f>IFERROR(SUMIFS(Regiones[TMO],Regiones[Fecha],Tabla54[[#This Row],[Fecha]],Regiones[Intervalo],Tabla54[[#This Row],[Intervalo]],Regiones[Skill],'BUPA Seguros'!$L$3)/Tabla54[[#This Row],[Atendidas]],0)</f>
        <v>0</v>
      </c>
      <c r="H10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89" s="21">
        <f>IFERROR(Tabla54[[#This Row],[Atendidas]]/Tabla54[[#This Row],[Recibidas]],0)</f>
        <v>0</v>
      </c>
    </row>
    <row r="1090" spans="2:9" x14ac:dyDescent="0.3">
      <c r="B1090" s="27">
        <f t="shared" si="48"/>
        <v>46226</v>
      </c>
      <c r="C1090" s="18">
        <v>0.58333333333333304</v>
      </c>
      <c r="D1090" s="19">
        <f>+SUMIFS(Regiones[Ofrecidas],Regiones[Fecha],Tabla54[[#This Row],[Fecha]],Regiones[Intervalo],Tabla54[[#This Row],[Intervalo]],Regiones[Skill],'BUPA Seguros'!$L$3)</f>
        <v>0</v>
      </c>
      <c r="E1090" s="19">
        <f>+SUMIFS(Regiones[Contestadas],Regiones[Fecha],Tabla54[[#This Row],[Fecha]],Regiones[Intervalo],Tabla54[[#This Row],[Intervalo]],Regiones[Skill],'BUPA Seguros'!$L$3)</f>
        <v>0</v>
      </c>
      <c r="F1090" s="20">
        <v>26.129655245424246</v>
      </c>
      <c r="G1090" s="19">
        <f>IFERROR(SUMIFS(Regiones[TMO],Regiones[Fecha],Tabla54[[#This Row],[Fecha]],Regiones[Intervalo],Tabla54[[#This Row],[Intervalo]],Regiones[Skill],'BUPA Seguros'!$L$3)/Tabla54[[#This Row],[Atendidas]],0)</f>
        <v>0</v>
      </c>
      <c r="H10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0" s="21">
        <f>IFERROR(Tabla54[[#This Row],[Atendidas]]/Tabla54[[#This Row],[Recibidas]],0)</f>
        <v>0</v>
      </c>
    </row>
    <row r="1091" spans="2:9" x14ac:dyDescent="0.3">
      <c r="B1091" s="25">
        <f t="shared" si="48"/>
        <v>46226</v>
      </c>
      <c r="C1091" s="26">
        <v>0.60416666666666696</v>
      </c>
      <c r="D1091" s="19">
        <f>+SUMIFS(Regiones[Ofrecidas],Regiones[Fecha],Tabla54[[#This Row],[Fecha]],Regiones[Intervalo],Tabla54[[#This Row],[Intervalo]],Regiones[Skill],'BUPA Seguros'!$L$3)</f>
        <v>0</v>
      </c>
      <c r="E1091" s="19">
        <f>+SUMIFS(Regiones[Contestadas],Regiones[Fecha],Tabla54[[#This Row],[Fecha]],Regiones[Intervalo],Tabla54[[#This Row],[Intervalo]],Regiones[Skill],'BUPA Seguros'!$L$3)</f>
        <v>0</v>
      </c>
      <c r="F1091" s="20">
        <v>25.015323310408895</v>
      </c>
      <c r="G1091" s="19">
        <f>IFERROR(SUMIFS(Regiones[TMO],Regiones[Fecha],Tabla54[[#This Row],[Fecha]],Regiones[Intervalo],Tabla54[[#This Row],[Intervalo]],Regiones[Skill],'BUPA Seguros'!$L$3)/Tabla54[[#This Row],[Atendidas]],0)</f>
        <v>0</v>
      </c>
      <c r="H10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1" s="21">
        <f>IFERROR(Tabla54[[#This Row],[Atendidas]]/Tabla54[[#This Row],[Recibidas]],0)</f>
        <v>0</v>
      </c>
    </row>
    <row r="1092" spans="2:9" x14ac:dyDescent="0.3">
      <c r="B1092" s="27">
        <f t="shared" si="48"/>
        <v>46226</v>
      </c>
      <c r="C1092" s="18">
        <v>0.625</v>
      </c>
      <c r="D1092" s="19">
        <f>+SUMIFS(Regiones[Ofrecidas],Regiones[Fecha],Tabla54[[#This Row],[Fecha]],Regiones[Intervalo],Tabla54[[#This Row],[Intervalo]],Regiones[Skill],'BUPA Seguros'!$L$3)</f>
        <v>0</v>
      </c>
      <c r="E1092" s="19">
        <f>+SUMIFS(Regiones[Contestadas],Regiones[Fecha],Tabla54[[#This Row],[Fecha]],Regiones[Intervalo],Tabla54[[#This Row],[Intervalo]],Regiones[Skill],'BUPA Seguros'!$L$3)</f>
        <v>0</v>
      </c>
      <c r="F1092" s="20">
        <v>24.715310866366295</v>
      </c>
      <c r="G1092" s="19">
        <f>IFERROR(SUMIFS(Regiones[TMO],Regiones[Fecha],Tabla54[[#This Row],[Fecha]],Regiones[Intervalo],Tabla54[[#This Row],[Intervalo]],Regiones[Skill],'BUPA Seguros'!$L$3)/Tabla54[[#This Row],[Atendidas]],0)</f>
        <v>0</v>
      </c>
      <c r="H10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2" s="21">
        <f>IFERROR(Tabla54[[#This Row],[Atendidas]]/Tabla54[[#This Row],[Recibidas]],0)</f>
        <v>0</v>
      </c>
    </row>
    <row r="1093" spans="2:9" x14ac:dyDescent="0.3">
      <c r="B1093" s="25">
        <f t="shared" si="48"/>
        <v>46226</v>
      </c>
      <c r="C1093" s="26">
        <v>0.64583333333333304</v>
      </c>
      <c r="D1093" s="19">
        <f>+SUMIFS(Regiones[Ofrecidas],Regiones[Fecha],Tabla54[[#This Row],[Fecha]],Regiones[Intervalo],Tabla54[[#This Row],[Intervalo]],Regiones[Skill],'BUPA Seguros'!$L$3)</f>
        <v>0</v>
      </c>
      <c r="E1093" s="19">
        <f>+SUMIFS(Regiones[Contestadas],Regiones[Fecha],Tabla54[[#This Row],[Fecha]],Regiones[Intervalo],Tabla54[[#This Row],[Intervalo]],Regiones[Skill],'BUPA Seguros'!$L$3)</f>
        <v>0</v>
      </c>
      <c r="F1093" s="20">
        <v>24.658165638929606</v>
      </c>
      <c r="G1093" s="19">
        <f>IFERROR(SUMIFS(Regiones[TMO],Regiones[Fecha],Tabla54[[#This Row],[Fecha]],Regiones[Intervalo],Tabla54[[#This Row],[Intervalo]],Regiones[Skill],'BUPA Seguros'!$L$3)/Tabla54[[#This Row],[Atendidas]],0)</f>
        <v>0</v>
      </c>
      <c r="H10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3" s="21">
        <f>IFERROR(Tabla54[[#This Row],[Atendidas]]/Tabla54[[#This Row],[Recibidas]],0)</f>
        <v>0</v>
      </c>
    </row>
    <row r="1094" spans="2:9" x14ac:dyDescent="0.3">
      <c r="B1094" s="27">
        <f t="shared" si="48"/>
        <v>46226</v>
      </c>
      <c r="C1094" s="18">
        <v>0.66666666666666696</v>
      </c>
      <c r="D1094" s="19">
        <f>+SUMIFS(Regiones[Ofrecidas],Regiones[Fecha],Tabla54[[#This Row],[Fecha]],Regiones[Intervalo],Tabla54[[#This Row],[Intervalo]],Regiones[Skill],'BUPA Seguros'!$L$3)</f>
        <v>0</v>
      </c>
      <c r="E1094" s="19">
        <f>+SUMIFS(Regiones[Contestadas],Regiones[Fecha],Tabla54[[#This Row],[Fecha]],Regiones[Intervalo],Tabla54[[#This Row],[Intervalo]],Regiones[Skill],'BUPA Seguros'!$L$3)</f>
        <v>0</v>
      </c>
      <c r="F1094" s="20">
        <v>24.943891776113038</v>
      </c>
      <c r="G1094" s="19">
        <f>IFERROR(SUMIFS(Regiones[TMO],Regiones[Fecha],Tabla54[[#This Row],[Fecha]],Regiones[Intervalo],Tabla54[[#This Row],[Intervalo]],Regiones[Skill],'BUPA Seguros'!$L$3)/Tabla54[[#This Row],[Atendidas]],0)</f>
        <v>0</v>
      </c>
      <c r="H10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4" s="21">
        <f>IFERROR(Tabla54[[#This Row],[Atendidas]]/Tabla54[[#This Row],[Recibidas]],0)</f>
        <v>0</v>
      </c>
    </row>
    <row r="1095" spans="2:9" x14ac:dyDescent="0.3">
      <c r="B1095" s="25">
        <f t="shared" si="48"/>
        <v>46226</v>
      </c>
      <c r="C1095" s="26">
        <v>0.6875</v>
      </c>
      <c r="D1095" s="19">
        <f>+SUMIFS(Regiones[Ofrecidas],Regiones[Fecha],Tabla54[[#This Row],[Fecha]],Regiones[Intervalo],Tabla54[[#This Row],[Intervalo]],Regiones[Skill],'BUPA Seguros'!$L$3)</f>
        <v>0</v>
      </c>
      <c r="E1095" s="19">
        <f>+SUMIFS(Regiones[Contestadas],Regiones[Fecha],Tabla54[[#This Row],[Fecha]],Regiones[Intervalo],Tabla54[[#This Row],[Intervalo]],Regiones[Skill],'BUPA Seguros'!$L$3)</f>
        <v>0</v>
      </c>
      <c r="F1095" s="20">
        <v>24.765312940373391</v>
      </c>
      <c r="G1095" s="19">
        <f>IFERROR(SUMIFS(Regiones[TMO],Regiones[Fecha],Tabla54[[#This Row],[Fecha]],Regiones[Intervalo],Tabla54[[#This Row],[Intervalo]],Regiones[Skill],'BUPA Seguros'!$L$3)/Tabla54[[#This Row],[Atendidas]],0)</f>
        <v>0</v>
      </c>
      <c r="H10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5" s="21">
        <f>IFERROR(Tabla54[[#This Row],[Atendidas]]/Tabla54[[#This Row],[Recibidas]],0)</f>
        <v>0</v>
      </c>
    </row>
    <row r="1096" spans="2:9" x14ac:dyDescent="0.3">
      <c r="B1096" s="27">
        <f t="shared" si="48"/>
        <v>46226</v>
      </c>
      <c r="C1096" s="18">
        <v>0.70833333333333304</v>
      </c>
      <c r="D1096" s="19">
        <f>+SUMIFS(Regiones[Ofrecidas],Regiones[Fecha],Tabla54[[#This Row],[Fecha]],Regiones[Intervalo],Tabla54[[#This Row],[Intervalo]],Regiones[Skill],'BUPA Seguros'!$L$3)</f>
        <v>0</v>
      </c>
      <c r="E1096" s="19">
        <f>+SUMIFS(Regiones[Contestadas],Regiones[Fecha],Tabla54[[#This Row],[Fecha]],Regiones[Intervalo],Tabla54[[#This Row],[Intervalo]],Regiones[Skill],'BUPA Seguros'!$L$3)</f>
        <v>0</v>
      </c>
      <c r="F1096" s="20">
        <v>24.611735141637304</v>
      </c>
      <c r="G1096" s="19">
        <f>IFERROR(SUMIFS(Regiones[TMO],Regiones[Fecha],Tabla54[[#This Row],[Fecha]],Regiones[Intervalo],Tabla54[[#This Row],[Intervalo]],Regiones[Skill],'BUPA Seguros'!$L$3)/Tabla54[[#This Row],[Atendidas]],0)</f>
        <v>0</v>
      </c>
      <c r="H10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6" s="21">
        <f>IFERROR(Tabla54[[#This Row],[Atendidas]]/Tabla54[[#This Row],[Recibidas]],0)</f>
        <v>0</v>
      </c>
    </row>
    <row r="1097" spans="2:9" x14ac:dyDescent="0.3">
      <c r="B1097" s="25">
        <f t="shared" si="48"/>
        <v>46226</v>
      </c>
      <c r="C1097" s="26">
        <v>0.72916666666666696</v>
      </c>
      <c r="D1097" s="19">
        <f>+SUMIFS(Regiones[Ofrecidas],Regiones[Fecha],Tabla54[[#This Row],[Fecha]],Regiones[Intervalo],Tabla54[[#This Row],[Intervalo]],Regiones[Skill],'BUPA Seguros'!$L$3)</f>
        <v>0</v>
      </c>
      <c r="E1097" s="19">
        <f>+SUMIFS(Regiones[Contestadas],Regiones[Fecha],Tabla54[[#This Row],[Fecha]],Regiones[Intervalo],Tabla54[[#This Row],[Intervalo]],Regiones[Skill],'BUPA Seguros'!$L$3)</f>
        <v>0</v>
      </c>
      <c r="F1097" s="20">
        <v>23.690268349220752</v>
      </c>
      <c r="G1097" s="19">
        <f>IFERROR(SUMIFS(Regiones[TMO],Regiones[Fecha],Tabla54[[#This Row],[Fecha]],Regiones[Intervalo],Tabla54[[#This Row],[Intervalo]],Regiones[Skill],'BUPA Seguros'!$L$3)/Tabla54[[#This Row],[Atendidas]],0)</f>
        <v>0</v>
      </c>
      <c r="H10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7" s="21">
        <f>IFERROR(Tabla54[[#This Row],[Atendidas]]/Tabla54[[#This Row],[Recibidas]],0)</f>
        <v>0</v>
      </c>
    </row>
    <row r="1098" spans="2:9" x14ac:dyDescent="0.3">
      <c r="B1098" s="27">
        <f t="shared" si="48"/>
        <v>46226</v>
      </c>
      <c r="C1098" s="18">
        <v>0.75</v>
      </c>
      <c r="D1098" s="19">
        <f>+SUMIFS(Regiones[Ofrecidas],Regiones[Fecha],Tabla54[[#This Row],[Fecha]],Regiones[Intervalo],Tabla54[[#This Row],[Intervalo]],Regiones[Skill],'BUPA Seguros'!$L$3)</f>
        <v>0</v>
      </c>
      <c r="E1098" s="19">
        <f>+SUMIFS(Regiones[Contestadas],Regiones[Fecha],Tabla54[[#This Row],[Fecha]],Regiones[Intervalo],Tabla54[[#This Row],[Intervalo]],Regiones[Skill],'BUPA Seguros'!$L$3)</f>
        <v>0</v>
      </c>
      <c r="F1098" s="20">
        <v>0</v>
      </c>
      <c r="G1098" s="19">
        <f>IFERROR(SUMIFS(Regiones[TMO],Regiones[Fecha],Tabla54[[#This Row],[Fecha]],Regiones[Intervalo],Tabla54[[#This Row],[Intervalo]],Regiones[Skill],'BUPA Seguros'!$L$3)/Tabla54[[#This Row],[Atendidas]],0)</f>
        <v>0</v>
      </c>
      <c r="H10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8" s="21">
        <f>IFERROR(Tabla54[[#This Row],[Atendidas]]/Tabla54[[#This Row],[Recibidas]],0)</f>
        <v>0</v>
      </c>
    </row>
    <row r="1099" spans="2:9" x14ac:dyDescent="0.3">
      <c r="B1099" s="25">
        <f t="shared" si="48"/>
        <v>46226</v>
      </c>
      <c r="C1099" s="26">
        <v>0.77083333333333304</v>
      </c>
      <c r="D1099" s="19">
        <f>+SUMIFS(Regiones[Ofrecidas],Regiones[Fecha],Tabla54[[#This Row],[Fecha]],Regiones[Intervalo],Tabla54[[#This Row],[Intervalo]],Regiones[Skill],'BUPA Seguros'!$L$3)</f>
        <v>0</v>
      </c>
      <c r="E1099" s="19">
        <f>+SUMIFS(Regiones[Contestadas],Regiones[Fecha],Tabla54[[#This Row],[Fecha]],Regiones[Intervalo],Tabla54[[#This Row],[Intervalo]],Regiones[Skill],'BUPA Seguros'!$L$3)</f>
        <v>0</v>
      </c>
      <c r="F1099" s="20">
        <v>0</v>
      </c>
      <c r="G1099" s="19">
        <f>IFERROR(SUMIFS(Regiones[TMO],Regiones[Fecha],Tabla54[[#This Row],[Fecha]],Regiones[Intervalo],Tabla54[[#This Row],[Intervalo]],Regiones[Skill],'BUPA Seguros'!$L$3)/Tabla54[[#This Row],[Atendidas]],0)</f>
        <v>0</v>
      </c>
      <c r="H10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099" s="21">
        <f>IFERROR(Tabla54[[#This Row],[Atendidas]]/Tabla54[[#This Row],[Recibidas]],0)</f>
        <v>0</v>
      </c>
    </row>
    <row r="1100" spans="2:9" x14ac:dyDescent="0.3">
      <c r="B1100" s="27">
        <f t="shared" si="48"/>
        <v>46226</v>
      </c>
      <c r="C1100" s="18">
        <v>0.79166666666666696</v>
      </c>
      <c r="D1100" s="19">
        <f>+SUMIFS(Regiones[Ofrecidas],Regiones[Fecha],Tabla54[[#This Row],[Fecha]],Regiones[Intervalo],Tabla54[[#This Row],[Intervalo]],Regiones[Skill],'BUPA Seguros'!$L$3)</f>
        <v>0</v>
      </c>
      <c r="E1100" s="19">
        <f>+SUMIFS(Regiones[Contestadas],Regiones[Fecha],Tabla54[[#This Row],[Fecha]],Regiones[Intervalo],Tabla54[[#This Row],[Intervalo]],Regiones[Skill],'BUPA Seguros'!$L$3)</f>
        <v>0</v>
      </c>
      <c r="F1100" s="20">
        <v>0</v>
      </c>
      <c r="G1100" s="19">
        <f>IFERROR(SUMIFS(Regiones[TMO],Regiones[Fecha],Tabla54[[#This Row],[Fecha]],Regiones[Intervalo],Tabla54[[#This Row],[Intervalo]],Regiones[Skill],'BUPA Seguros'!$L$3)/Tabla54[[#This Row],[Atendidas]],0)</f>
        <v>0</v>
      </c>
      <c r="H11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0" s="21">
        <f>IFERROR(Tabla54[[#This Row],[Atendidas]]/Tabla54[[#This Row],[Recibidas]],0)</f>
        <v>0</v>
      </c>
    </row>
    <row r="1101" spans="2:9" x14ac:dyDescent="0.3">
      <c r="B1101" s="25">
        <f t="shared" si="48"/>
        <v>46226</v>
      </c>
      <c r="C1101" s="26">
        <v>0.8125</v>
      </c>
      <c r="D1101" s="19">
        <f>+SUMIFS(Regiones[Ofrecidas],Regiones[Fecha],Tabla54[[#This Row],[Fecha]],Regiones[Intervalo],Tabla54[[#This Row],[Intervalo]],Regiones[Skill],'BUPA Seguros'!$L$3)</f>
        <v>0</v>
      </c>
      <c r="E1101" s="19">
        <f>+SUMIFS(Regiones[Contestadas],Regiones[Fecha],Tabla54[[#This Row],[Fecha]],Regiones[Intervalo],Tabla54[[#This Row],[Intervalo]],Regiones[Skill],'BUPA Seguros'!$L$3)</f>
        <v>0</v>
      </c>
      <c r="F1101" s="20">
        <v>0</v>
      </c>
      <c r="G1101" s="19">
        <f>IFERROR(SUMIFS(Regiones[TMO],Regiones[Fecha],Tabla54[[#This Row],[Fecha]],Regiones[Intervalo],Tabla54[[#This Row],[Intervalo]],Regiones[Skill],'BUPA Seguros'!$L$3)/Tabla54[[#This Row],[Atendidas]],0)</f>
        <v>0</v>
      </c>
      <c r="H11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1" s="21">
        <f>IFERROR(Tabla54[[#This Row],[Atendidas]]/Tabla54[[#This Row],[Recibidas]],0)</f>
        <v>0</v>
      </c>
    </row>
    <row r="1102" spans="2:9" x14ac:dyDescent="0.3">
      <c r="B1102" s="27">
        <f t="shared" si="48"/>
        <v>46226</v>
      </c>
      <c r="C1102" s="18">
        <v>0.83333333333333304</v>
      </c>
      <c r="D1102" s="19">
        <f>+SUMIFS(Regiones[Ofrecidas],Regiones[Fecha],Tabla54[[#This Row],[Fecha]],Regiones[Intervalo],Tabla54[[#This Row],[Intervalo]],Regiones[Skill],'BUPA Seguros'!$L$3)</f>
        <v>0</v>
      </c>
      <c r="E1102" s="19">
        <f>+SUMIFS(Regiones[Contestadas],Regiones[Fecha],Tabla54[[#This Row],[Fecha]],Regiones[Intervalo],Tabla54[[#This Row],[Intervalo]],Regiones[Skill],'BUPA Seguros'!$L$3)</f>
        <v>0</v>
      </c>
      <c r="F1102" s="20">
        <v>0</v>
      </c>
      <c r="G1102" s="19">
        <f>IFERROR(SUMIFS(Regiones[TMO],Regiones[Fecha],Tabla54[[#This Row],[Fecha]],Regiones[Intervalo],Tabla54[[#This Row],[Intervalo]],Regiones[Skill],'BUPA Seguros'!$L$3)/Tabla54[[#This Row],[Atendidas]],0)</f>
        <v>0</v>
      </c>
      <c r="H11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2" s="21">
        <f>IFERROR(Tabla54[[#This Row],[Atendidas]]/Tabla54[[#This Row],[Recibidas]],0)</f>
        <v>0</v>
      </c>
    </row>
    <row r="1103" spans="2:9" x14ac:dyDescent="0.3">
      <c r="B1103" s="25">
        <f t="shared" si="48"/>
        <v>46226</v>
      </c>
      <c r="C1103" s="26">
        <v>0.85416666666666696</v>
      </c>
      <c r="D1103" s="19">
        <f>+SUMIFS(Regiones[Ofrecidas],Regiones[Fecha],Tabla54[[#This Row],[Fecha]],Regiones[Intervalo],Tabla54[[#This Row],[Intervalo]],Regiones[Skill],'BUPA Seguros'!$L$3)</f>
        <v>0</v>
      </c>
      <c r="E1103" s="19">
        <f>+SUMIFS(Regiones[Contestadas],Regiones[Fecha],Tabla54[[#This Row],[Fecha]],Regiones[Intervalo],Tabla54[[#This Row],[Intervalo]],Regiones[Skill],'BUPA Seguros'!$L$3)</f>
        <v>0</v>
      </c>
      <c r="F1103" s="20">
        <v>0</v>
      </c>
      <c r="G1103" s="19">
        <f>IFERROR(SUMIFS(Regiones[TMO],Regiones[Fecha],Tabla54[[#This Row],[Fecha]],Regiones[Intervalo],Tabla54[[#This Row],[Intervalo]],Regiones[Skill],'BUPA Seguros'!$L$3)/Tabla54[[#This Row],[Atendidas]],0)</f>
        <v>0</v>
      </c>
      <c r="H11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3" s="21">
        <f>IFERROR(Tabla54[[#This Row],[Atendidas]]/Tabla54[[#This Row],[Recibidas]],0)</f>
        <v>0</v>
      </c>
    </row>
    <row r="1104" spans="2:9" x14ac:dyDescent="0.3">
      <c r="B1104" s="27">
        <f t="shared" si="48"/>
        <v>46226</v>
      </c>
      <c r="C1104" s="18">
        <v>0.875</v>
      </c>
      <c r="D1104" s="19">
        <f>+SUMIFS(Regiones[Ofrecidas],Regiones[Fecha],Tabla54[[#This Row],[Fecha]],Regiones[Intervalo],Tabla54[[#This Row],[Intervalo]],Regiones[Skill],'BUPA Seguros'!$L$3)</f>
        <v>0</v>
      </c>
      <c r="E1104" s="19">
        <f>+SUMIFS(Regiones[Contestadas],Regiones[Fecha],Tabla54[[#This Row],[Fecha]],Regiones[Intervalo],Tabla54[[#This Row],[Intervalo]],Regiones[Skill],'BUPA Seguros'!$L$3)</f>
        <v>0</v>
      </c>
      <c r="F1104" s="20">
        <v>0</v>
      </c>
      <c r="G1104" s="19">
        <f>IFERROR(SUMIFS(Regiones[TMO],Regiones[Fecha],Tabla54[[#This Row],[Fecha]],Regiones[Intervalo],Tabla54[[#This Row],[Intervalo]],Regiones[Skill],'BUPA Seguros'!$L$3)/Tabla54[[#This Row],[Atendidas]],0)</f>
        <v>0</v>
      </c>
      <c r="H11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4" s="21">
        <f>IFERROR(Tabla54[[#This Row],[Atendidas]]/Tabla54[[#This Row],[Recibidas]],0)</f>
        <v>0</v>
      </c>
    </row>
    <row r="1105" spans="2:9" x14ac:dyDescent="0.3">
      <c r="B1105" s="25">
        <f t="shared" si="48"/>
        <v>46226</v>
      </c>
      <c r="C1105" s="26">
        <v>0.89583333333333304</v>
      </c>
      <c r="D1105" s="19">
        <f>+SUMIFS(Regiones[Ofrecidas],Regiones[Fecha],Tabla54[[#This Row],[Fecha]],Regiones[Intervalo],Tabla54[[#This Row],[Intervalo]],Regiones[Skill],'BUPA Seguros'!$L$3)</f>
        <v>0</v>
      </c>
      <c r="E1105" s="19">
        <f>+SUMIFS(Regiones[Contestadas],Regiones[Fecha],Tabla54[[#This Row],[Fecha]],Regiones[Intervalo],Tabla54[[#This Row],[Intervalo]],Regiones[Skill],'BUPA Seguros'!$L$3)</f>
        <v>0</v>
      </c>
      <c r="F1105" s="20">
        <v>0</v>
      </c>
      <c r="G1105" s="19">
        <f>IFERROR(SUMIFS(Regiones[TMO],Regiones[Fecha],Tabla54[[#This Row],[Fecha]],Regiones[Intervalo],Tabla54[[#This Row],[Intervalo]],Regiones[Skill],'BUPA Seguros'!$L$3)/Tabla54[[#This Row],[Atendidas]],0)</f>
        <v>0</v>
      </c>
      <c r="H11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5" s="21">
        <f>IFERROR(Tabla54[[#This Row],[Atendidas]]/Tabla54[[#This Row],[Recibidas]],0)</f>
        <v>0</v>
      </c>
    </row>
    <row r="1106" spans="2:9" x14ac:dyDescent="0.3">
      <c r="B1106" s="27">
        <f t="shared" si="48"/>
        <v>46226</v>
      </c>
      <c r="C1106" s="18">
        <v>0.91666666666666696</v>
      </c>
      <c r="D1106" s="19">
        <f>+SUMIFS(Regiones[Ofrecidas],Regiones[Fecha],Tabla54[[#This Row],[Fecha]],Regiones[Intervalo],Tabla54[[#This Row],[Intervalo]],Regiones[Skill],'BUPA Seguros'!$L$3)</f>
        <v>0</v>
      </c>
      <c r="E1106" s="19">
        <f>+SUMIFS(Regiones[Contestadas],Regiones[Fecha],Tabla54[[#This Row],[Fecha]],Regiones[Intervalo],Tabla54[[#This Row],[Intervalo]],Regiones[Skill],'BUPA Seguros'!$L$3)</f>
        <v>0</v>
      </c>
      <c r="F1106" s="20">
        <v>0</v>
      </c>
      <c r="G1106" s="19">
        <f>IFERROR(SUMIFS(Regiones[TMO],Regiones[Fecha],Tabla54[[#This Row],[Fecha]],Regiones[Intervalo],Tabla54[[#This Row],[Intervalo]],Regiones[Skill],'BUPA Seguros'!$L$3)/Tabla54[[#This Row],[Atendidas]],0)</f>
        <v>0</v>
      </c>
      <c r="H11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6" s="21">
        <f>IFERROR(Tabla54[[#This Row],[Atendidas]]/Tabla54[[#This Row],[Recibidas]],0)</f>
        <v>0</v>
      </c>
    </row>
    <row r="1107" spans="2:9" x14ac:dyDescent="0.3">
      <c r="B1107" s="25">
        <f t="shared" si="48"/>
        <v>46226</v>
      </c>
      <c r="C1107" s="26">
        <v>0.9375</v>
      </c>
      <c r="D1107" s="19">
        <f>+SUMIFS(Regiones[Ofrecidas],Regiones[Fecha],Tabla54[[#This Row],[Fecha]],Regiones[Intervalo],Tabla54[[#This Row],[Intervalo]],Regiones[Skill],'BUPA Seguros'!$L$3)</f>
        <v>0</v>
      </c>
      <c r="E1107" s="19">
        <f>+SUMIFS(Regiones[Contestadas],Regiones[Fecha],Tabla54[[#This Row],[Fecha]],Regiones[Intervalo],Tabla54[[#This Row],[Intervalo]],Regiones[Skill],'BUPA Seguros'!$L$3)</f>
        <v>0</v>
      </c>
      <c r="F1107" s="20">
        <v>0</v>
      </c>
      <c r="G1107" s="19">
        <f>IFERROR(SUMIFS(Regiones[TMO],Regiones[Fecha],Tabla54[[#This Row],[Fecha]],Regiones[Intervalo],Tabla54[[#This Row],[Intervalo]],Regiones[Skill],'BUPA Seguros'!$L$3)/Tabla54[[#This Row],[Atendidas]],0)</f>
        <v>0</v>
      </c>
      <c r="H11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7" s="21">
        <f>IFERROR(Tabla54[[#This Row],[Atendidas]]/Tabla54[[#This Row],[Recibidas]],0)</f>
        <v>0</v>
      </c>
    </row>
    <row r="1108" spans="2:9" x14ac:dyDescent="0.3">
      <c r="B1108" s="27">
        <f t="shared" si="48"/>
        <v>46226</v>
      </c>
      <c r="C1108" s="18">
        <v>0.95833333333333304</v>
      </c>
      <c r="D1108" s="19">
        <f>+SUMIFS(Regiones[Ofrecidas],Regiones[Fecha],Tabla54[[#This Row],[Fecha]],Regiones[Intervalo],Tabla54[[#This Row],[Intervalo]],Regiones[Skill],'BUPA Seguros'!$L$3)</f>
        <v>0</v>
      </c>
      <c r="E1108" s="19">
        <f>+SUMIFS(Regiones[Contestadas],Regiones[Fecha],Tabla54[[#This Row],[Fecha]],Regiones[Intervalo],Tabla54[[#This Row],[Intervalo]],Regiones[Skill],'BUPA Seguros'!$L$3)</f>
        <v>0</v>
      </c>
      <c r="F1108" s="20">
        <v>0</v>
      </c>
      <c r="G1108" s="19">
        <f>IFERROR(SUMIFS(Regiones[TMO],Regiones[Fecha],Tabla54[[#This Row],[Fecha]],Regiones[Intervalo],Tabla54[[#This Row],[Intervalo]],Regiones[Skill],'BUPA Seguros'!$L$3)/Tabla54[[#This Row],[Atendidas]],0)</f>
        <v>0</v>
      </c>
      <c r="H11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8" s="21">
        <f>IFERROR(Tabla54[[#This Row],[Atendidas]]/Tabla54[[#This Row],[Recibidas]],0)</f>
        <v>0</v>
      </c>
    </row>
    <row r="1109" spans="2:9" x14ac:dyDescent="0.3">
      <c r="B1109" s="25">
        <f t="shared" si="48"/>
        <v>46226</v>
      </c>
      <c r="C1109" s="26">
        <v>0.97916666666666696</v>
      </c>
      <c r="D1109" s="19">
        <f>+SUMIFS(Regiones[Ofrecidas],Regiones[Fecha],Tabla54[[#This Row],[Fecha]],Regiones[Intervalo],Tabla54[[#This Row],[Intervalo]],Regiones[Skill],'BUPA Seguros'!$L$3)</f>
        <v>0</v>
      </c>
      <c r="E1109" s="19">
        <f>+SUMIFS(Regiones[Contestadas],Regiones[Fecha],Tabla54[[#This Row],[Fecha]],Regiones[Intervalo],Tabla54[[#This Row],[Intervalo]],Regiones[Skill],'BUPA Seguros'!$L$3)</f>
        <v>0</v>
      </c>
      <c r="F1109" s="20">
        <v>0</v>
      </c>
      <c r="G1109" s="19">
        <f>IFERROR(SUMIFS(Regiones[TMO],Regiones[Fecha],Tabla54[[#This Row],[Fecha]],Regiones[Intervalo],Tabla54[[#This Row],[Intervalo]],Regiones[Skill],'BUPA Seguros'!$L$3)/Tabla54[[#This Row],[Atendidas]],0)</f>
        <v>0</v>
      </c>
      <c r="H11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09" s="21">
        <f>IFERROR(Tabla54[[#This Row],[Atendidas]]/Tabla54[[#This Row],[Recibidas]],0)</f>
        <v>0</v>
      </c>
    </row>
    <row r="1110" spans="2:9" x14ac:dyDescent="0.3">
      <c r="B1110" s="27">
        <f t="shared" ref="B1110" si="49">+B1109+1</f>
        <v>46227</v>
      </c>
      <c r="C1110" s="18">
        <v>0</v>
      </c>
      <c r="D1110" s="19">
        <f>+SUMIFS(Regiones[Ofrecidas],Regiones[Fecha],Tabla54[[#This Row],[Fecha]],Regiones[Intervalo],Tabla54[[#This Row],[Intervalo]],Regiones[Skill],'BUPA Seguros'!$L$3)</f>
        <v>0</v>
      </c>
      <c r="E1110" s="19">
        <f>+SUMIFS(Regiones[Contestadas],Regiones[Fecha],Tabla54[[#This Row],[Fecha]],Regiones[Intervalo],Tabla54[[#This Row],[Intervalo]],Regiones[Skill],'BUPA Seguros'!$L$3)</f>
        <v>0</v>
      </c>
      <c r="F1110" s="20">
        <v>0</v>
      </c>
      <c r="G1110" s="19">
        <f>IFERROR(SUMIFS(Regiones[TMO],Regiones[Fecha],Tabla54[[#This Row],[Fecha]],Regiones[Intervalo],Tabla54[[#This Row],[Intervalo]],Regiones[Skill],'BUPA Seguros'!$L$3)/Tabla54[[#This Row],[Atendidas]],0)</f>
        <v>0</v>
      </c>
      <c r="H11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0" s="21">
        <f>IFERROR(Tabla54[[#This Row],[Atendidas]]/Tabla54[[#This Row],[Recibidas]],0)</f>
        <v>0</v>
      </c>
    </row>
    <row r="1111" spans="2:9" x14ac:dyDescent="0.3">
      <c r="B1111" s="25">
        <f t="shared" ref="B1111" si="50">+B1110</f>
        <v>46227</v>
      </c>
      <c r="C1111" s="26">
        <v>2.0833333333333332E-2</v>
      </c>
      <c r="D1111" s="19">
        <f>+SUMIFS(Regiones[Ofrecidas],Regiones[Fecha],Tabla54[[#This Row],[Fecha]],Regiones[Intervalo],Tabla54[[#This Row],[Intervalo]],Regiones[Skill],'BUPA Seguros'!$L$3)</f>
        <v>0</v>
      </c>
      <c r="E1111" s="19">
        <f>+SUMIFS(Regiones[Contestadas],Regiones[Fecha],Tabla54[[#This Row],[Fecha]],Regiones[Intervalo],Tabla54[[#This Row],[Intervalo]],Regiones[Skill],'BUPA Seguros'!$L$3)</f>
        <v>0</v>
      </c>
      <c r="F1111" s="20">
        <v>0</v>
      </c>
      <c r="G1111" s="19">
        <f>IFERROR(SUMIFS(Regiones[TMO],Regiones[Fecha],Tabla54[[#This Row],[Fecha]],Regiones[Intervalo],Tabla54[[#This Row],[Intervalo]],Regiones[Skill],'BUPA Seguros'!$L$3)/Tabla54[[#This Row],[Atendidas]],0)</f>
        <v>0</v>
      </c>
      <c r="H11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1" s="21">
        <f>IFERROR(Tabla54[[#This Row],[Atendidas]]/Tabla54[[#This Row],[Recibidas]],0)</f>
        <v>0</v>
      </c>
    </row>
    <row r="1112" spans="2:9" x14ac:dyDescent="0.3">
      <c r="B1112" s="27">
        <f t="shared" si="48"/>
        <v>46227</v>
      </c>
      <c r="C1112" s="18">
        <v>4.1666666666666699E-2</v>
      </c>
      <c r="D1112" s="19">
        <f>+SUMIFS(Regiones[Ofrecidas],Regiones[Fecha],Tabla54[[#This Row],[Fecha]],Regiones[Intervalo],Tabla54[[#This Row],[Intervalo]],Regiones[Skill],'BUPA Seguros'!$L$3)</f>
        <v>0</v>
      </c>
      <c r="E1112" s="19">
        <f>+SUMIFS(Regiones[Contestadas],Regiones[Fecha],Tabla54[[#This Row],[Fecha]],Regiones[Intervalo],Tabla54[[#This Row],[Intervalo]],Regiones[Skill],'BUPA Seguros'!$L$3)</f>
        <v>0</v>
      </c>
      <c r="F1112" s="20">
        <v>0</v>
      </c>
      <c r="G1112" s="19">
        <f>IFERROR(SUMIFS(Regiones[TMO],Regiones[Fecha],Tabla54[[#This Row],[Fecha]],Regiones[Intervalo],Tabla54[[#This Row],[Intervalo]],Regiones[Skill],'BUPA Seguros'!$L$3)/Tabla54[[#This Row],[Atendidas]],0)</f>
        <v>0</v>
      </c>
      <c r="H11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2" s="21">
        <f>IFERROR(Tabla54[[#This Row],[Atendidas]]/Tabla54[[#This Row],[Recibidas]],0)</f>
        <v>0</v>
      </c>
    </row>
    <row r="1113" spans="2:9" x14ac:dyDescent="0.3">
      <c r="B1113" s="25">
        <f t="shared" si="48"/>
        <v>46227</v>
      </c>
      <c r="C1113" s="26">
        <v>6.25E-2</v>
      </c>
      <c r="D1113" s="19">
        <f>+SUMIFS(Regiones[Ofrecidas],Regiones[Fecha],Tabla54[[#This Row],[Fecha]],Regiones[Intervalo],Tabla54[[#This Row],[Intervalo]],Regiones[Skill],'BUPA Seguros'!$L$3)</f>
        <v>0</v>
      </c>
      <c r="E1113" s="19">
        <f>+SUMIFS(Regiones[Contestadas],Regiones[Fecha],Tabla54[[#This Row],[Fecha]],Regiones[Intervalo],Tabla54[[#This Row],[Intervalo]],Regiones[Skill],'BUPA Seguros'!$L$3)</f>
        <v>0</v>
      </c>
      <c r="F1113" s="20">
        <v>0</v>
      </c>
      <c r="G1113" s="19">
        <f>IFERROR(SUMIFS(Regiones[TMO],Regiones[Fecha],Tabla54[[#This Row],[Fecha]],Regiones[Intervalo],Tabla54[[#This Row],[Intervalo]],Regiones[Skill],'BUPA Seguros'!$L$3)/Tabla54[[#This Row],[Atendidas]],0)</f>
        <v>0</v>
      </c>
      <c r="H11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3" s="21">
        <f>IFERROR(Tabla54[[#This Row],[Atendidas]]/Tabla54[[#This Row],[Recibidas]],0)</f>
        <v>0</v>
      </c>
    </row>
    <row r="1114" spans="2:9" x14ac:dyDescent="0.3">
      <c r="B1114" s="27">
        <f t="shared" si="48"/>
        <v>46227</v>
      </c>
      <c r="C1114" s="18">
        <v>8.3333333333333301E-2</v>
      </c>
      <c r="D1114" s="19">
        <f>+SUMIFS(Regiones[Ofrecidas],Regiones[Fecha],Tabla54[[#This Row],[Fecha]],Regiones[Intervalo],Tabla54[[#This Row],[Intervalo]],Regiones[Skill],'BUPA Seguros'!$L$3)</f>
        <v>0</v>
      </c>
      <c r="E1114" s="19">
        <f>+SUMIFS(Regiones[Contestadas],Regiones[Fecha],Tabla54[[#This Row],[Fecha]],Regiones[Intervalo],Tabla54[[#This Row],[Intervalo]],Regiones[Skill],'BUPA Seguros'!$L$3)</f>
        <v>0</v>
      </c>
      <c r="F1114" s="20">
        <v>0</v>
      </c>
      <c r="G1114" s="19">
        <f>IFERROR(SUMIFS(Regiones[TMO],Regiones[Fecha],Tabla54[[#This Row],[Fecha]],Regiones[Intervalo],Tabla54[[#This Row],[Intervalo]],Regiones[Skill],'BUPA Seguros'!$L$3)/Tabla54[[#This Row],[Atendidas]],0)</f>
        <v>0</v>
      </c>
      <c r="H11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4" s="21">
        <f>IFERROR(Tabla54[[#This Row],[Atendidas]]/Tabla54[[#This Row],[Recibidas]],0)</f>
        <v>0</v>
      </c>
    </row>
    <row r="1115" spans="2:9" x14ac:dyDescent="0.3">
      <c r="B1115" s="25">
        <f t="shared" si="48"/>
        <v>46227</v>
      </c>
      <c r="C1115" s="26">
        <v>0.104166666666667</v>
      </c>
      <c r="D1115" s="19">
        <f>+SUMIFS(Regiones[Ofrecidas],Regiones[Fecha],Tabla54[[#This Row],[Fecha]],Regiones[Intervalo],Tabla54[[#This Row],[Intervalo]],Regiones[Skill],'BUPA Seguros'!$L$3)</f>
        <v>0</v>
      </c>
      <c r="E1115" s="19">
        <f>+SUMIFS(Regiones[Contestadas],Regiones[Fecha],Tabla54[[#This Row],[Fecha]],Regiones[Intervalo],Tabla54[[#This Row],[Intervalo]],Regiones[Skill],'BUPA Seguros'!$L$3)</f>
        <v>0</v>
      </c>
      <c r="F1115" s="20">
        <v>0</v>
      </c>
      <c r="G1115" s="19">
        <f>IFERROR(SUMIFS(Regiones[TMO],Regiones[Fecha],Tabla54[[#This Row],[Fecha]],Regiones[Intervalo],Tabla54[[#This Row],[Intervalo]],Regiones[Skill],'BUPA Seguros'!$L$3)/Tabla54[[#This Row],[Atendidas]],0)</f>
        <v>0</v>
      </c>
      <c r="H11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5" s="21">
        <f>IFERROR(Tabla54[[#This Row],[Atendidas]]/Tabla54[[#This Row],[Recibidas]],0)</f>
        <v>0</v>
      </c>
    </row>
    <row r="1116" spans="2:9" x14ac:dyDescent="0.3">
      <c r="B1116" s="27">
        <f t="shared" si="48"/>
        <v>46227</v>
      </c>
      <c r="C1116" s="18">
        <v>0.125</v>
      </c>
      <c r="D1116" s="19">
        <f>+SUMIFS(Regiones[Ofrecidas],Regiones[Fecha],Tabla54[[#This Row],[Fecha]],Regiones[Intervalo],Tabla54[[#This Row],[Intervalo]],Regiones[Skill],'BUPA Seguros'!$L$3)</f>
        <v>0</v>
      </c>
      <c r="E1116" s="19">
        <f>+SUMIFS(Regiones[Contestadas],Regiones[Fecha],Tabla54[[#This Row],[Fecha]],Regiones[Intervalo],Tabla54[[#This Row],[Intervalo]],Regiones[Skill],'BUPA Seguros'!$L$3)</f>
        <v>0</v>
      </c>
      <c r="F1116" s="20">
        <v>0</v>
      </c>
      <c r="G1116" s="19">
        <f>IFERROR(SUMIFS(Regiones[TMO],Regiones[Fecha],Tabla54[[#This Row],[Fecha]],Regiones[Intervalo],Tabla54[[#This Row],[Intervalo]],Regiones[Skill],'BUPA Seguros'!$L$3)/Tabla54[[#This Row],[Atendidas]],0)</f>
        <v>0</v>
      </c>
      <c r="H11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6" s="21">
        <f>IFERROR(Tabla54[[#This Row],[Atendidas]]/Tabla54[[#This Row],[Recibidas]],0)</f>
        <v>0</v>
      </c>
    </row>
    <row r="1117" spans="2:9" x14ac:dyDescent="0.3">
      <c r="B1117" s="25">
        <f t="shared" si="48"/>
        <v>46227</v>
      </c>
      <c r="C1117" s="26">
        <v>0.14583333333333301</v>
      </c>
      <c r="D1117" s="19">
        <f>+SUMIFS(Regiones[Ofrecidas],Regiones[Fecha],Tabla54[[#This Row],[Fecha]],Regiones[Intervalo],Tabla54[[#This Row],[Intervalo]],Regiones[Skill],'BUPA Seguros'!$L$3)</f>
        <v>0</v>
      </c>
      <c r="E1117" s="19">
        <f>+SUMIFS(Regiones[Contestadas],Regiones[Fecha],Tabla54[[#This Row],[Fecha]],Regiones[Intervalo],Tabla54[[#This Row],[Intervalo]],Regiones[Skill],'BUPA Seguros'!$L$3)</f>
        <v>0</v>
      </c>
      <c r="F1117" s="20">
        <v>0</v>
      </c>
      <c r="G1117" s="19">
        <f>IFERROR(SUMIFS(Regiones[TMO],Regiones[Fecha],Tabla54[[#This Row],[Fecha]],Regiones[Intervalo],Tabla54[[#This Row],[Intervalo]],Regiones[Skill],'BUPA Seguros'!$L$3)/Tabla54[[#This Row],[Atendidas]],0)</f>
        <v>0</v>
      </c>
      <c r="H11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7" s="21">
        <f>IFERROR(Tabla54[[#This Row],[Atendidas]]/Tabla54[[#This Row],[Recibidas]],0)</f>
        <v>0</v>
      </c>
    </row>
    <row r="1118" spans="2:9" x14ac:dyDescent="0.3">
      <c r="B1118" s="27">
        <f t="shared" si="48"/>
        <v>46227</v>
      </c>
      <c r="C1118" s="18">
        <v>0.16666666666666699</v>
      </c>
      <c r="D1118" s="19">
        <f>+SUMIFS(Regiones[Ofrecidas],Regiones[Fecha],Tabla54[[#This Row],[Fecha]],Regiones[Intervalo],Tabla54[[#This Row],[Intervalo]],Regiones[Skill],'BUPA Seguros'!$L$3)</f>
        <v>0</v>
      </c>
      <c r="E1118" s="19">
        <f>+SUMIFS(Regiones[Contestadas],Regiones[Fecha],Tabla54[[#This Row],[Fecha]],Regiones[Intervalo],Tabla54[[#This Row],[Intervalo]],Regiones[Skill],'BUPA Seguros'!$L$3)</f>
        <v>0</v>
      </c>
      <c r="F1118" s="20">
        <v>0</v>
      </c>
      <c r="G1118" s="19">
        <f>IFERROR(SUMIFS(Regiones[TMO],Regiones[Fecha],Tabla54[[#This Row],[Fecha]],Regiones[Intervalo],Tabla54[[#This Row],[Intervalo]],Regiones[Skill],'BUPA Seguros'!$L$3)/Tabla54[[#This Row],[Atendidas]],0)</f>
        <v>0</v>
      </c>
      <c r="H11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8" s="21">
        <f>IFERROR(Tabla54[[#This Row],[Atendidas]]/Tabla54[[#This Row],[Recibidas]],0)</f>
        <v>0</v>
      </c>
    </row>
    <row r="1119" spans="2:9" x14ac:dyDescent="0.3">
      <c r="B1119" s="25">
        <f t="shared" si="48"/>
        <v>46227</v>
      </c>
      <c r="C1119" s="26">
        <v>0.1875</v>
      </c>
      <c r="D1119" s="19">
        <f>+SUMIFS(Regiones[Ofrecidas],Regiones[Fecha],Tabla54[[#This Row],[Fecha]],Regiones[Intervalo],Tabla54[[#This Row],[Intervalo]],Regiones[Skill],'BUPA Seguros'!$L$3)</f>
        <v>0</v>
      </c>
      <c r="E1119" s="19">
        <f>+SUMIFS(Regiones[Contestadas],Regiones[Fecha],Tabla54[[#This Row],[Fecha]],Regiones[Intervalo],Tabla54[[#This Row],[Intervalo]],Regiones[Skill],'BUPA Seguros'!$L$3)</f>
        <v>0</v>
      </c>
      <c r="F1119" s="20">
        <v>0</v>
      </c>
      <c r="G1119" s="19">
        <f>IFERROR(SUMIFS(Regiones[TMO],Regiones[Fecha],Tabla54[[#This Row],[Fecha]],Regiones[Intervalo],Tabla54[[#This Row],[Intervalo]],Regiones[Skill],'BUPA Seguros'!$L$3)/Tabla54[[#This Row],[Atendidas]],0)</f>
        <v>0</v>
      </c>
      <c r="H11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19" s="21">
        <f>IFERROR(Tabla54[[#This Row],[Atendidas]]/Tabla54[[#This Row],[Recibidas]],0)</f>
        <v>0</v>
      </c>
    </row>
    <row r="1120" spans="2:9" x14ac:dyDescent="0.3">
      <c r="B1120" s="27">
        <f t="shared" si="48"/>
        <v>46227</v>
      </c>
      <c r="C1120" s="18">
        <v>0.20833333333333301</v>
      </c>
      <c r="D1120" s="19">
        <f>+SUMIFS(Regiones[Ofrecidas],Regiones[Fecha],Tabla54[[#This Row],[Fecha]],Regiones[Intervalo],Tabla54[[#This Row],[Intervalo]],Regiones[Skill],'BUPA Seguros'!$L$3)</f>
        <v>0</v>
      </c>
      <c r="E1120" s="19">
        <f>+SUMIFS(Regiones[Contestadas],Regiones[Fecha],Tabla54[[#This Row],[Fecha]],Regiones[Intervalo],Tabla54[[#This Row],[Intervalo]],Regiones[Skill],'BUPA Seguros'!$L$3)</f>
        <v>0</v>
      </c>
      <c r="F1120" s="20">
        <v>0</v>
      </c>
      <c r="G1120" s="19">
        <f>IFERROR(SUMIFS(Regiones[TMO],Regiones[Fecha],Tabla54[[#This Row],[Fecha]],Regiones[Intervalo],Tabla54[[#This Row],[Intervalo]],Regiones[Skill],'BUPA Seguros'!$L$3)/Tabla54[[#This Row],[Atendidas]],0)</f>
        <v>0</v>
      </c>
      <c r="H11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0" s="21">
        <f>IFERROR(Tabla54[[#This Row],[Atendidas]]/Tabla54[[#This Row],[Recibidas]],0)</f>
        <v>0</v>
      </c>
    </row>
    <row r="1121" spans="2:9" x14ac:dyDescent="0.3">
      <c r="B1121" s="25">
        <f t="shared" si="48"/>
        <v>46227</v>
      </c>
      <c r="C1121" s="26">
        <v>0.22916666666666699</v>
      </c>
      <c r="D1121" s="19">
        <f>+SUMIFS(Regiones[Ofrecidas],Regiones[Fecha],Tabla54[[#This Row],[Fecha]],Regiones[Intervalo],Tabla54[[#This Row],[Intervalo]],Regiones[Skill],'BUPA Seguros'!$L$3)</f>
        <v>0</v>
      </c>
      <c r="E1121" s="19">
        <f>+SUMIFS(Regiones[Contestadas],Regiones[Fecha],Tabla54[[#This Row],[Fecha]],Regiones[Intervalo],Tabla54[[#This Row],[Intervalo]],Regiones[Skill],'BUPA Seguros'!$L$3)</f>
        <v>0</v>
      </c>
      <c r="F1121" s="20">
        <v>0</v>
      </c>
      <c r="G1121" s="19">
        <f>IFERROR(SUMIFS(Regiones[TMO],Regiones[Fecha],Tabla54[[#This Row],[Fecha]],Regiones[Intervalo],Tabla54[[#This Row],[Intervalo]],Regiones[Skill],'BUPA Seguros'!$L$3)/Tabla54[[#This Row],[Atendidas]],0)</f>
        <v>0</v>
      </c>
      <c r="H11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1" s="21">
        <f>IFERROR(Tabla54[[#This Row],[Atendidas]]/Tabla54[[#This Row],[Recibidas]],0)</f>
        <v>0</v>
      </c>
    </row>
    <row r="1122" spans="2:9" x14ac:dyDescent="0.3">
      <c r="B1122" s="27">
        <f t="shared" si="48"/>
        <v>46227</v>
      </c>
      <c r="C1122" s="18">
        <v>0.25</v>
      </c>
      <c r="D1122" s="19">
        <f>+SUMIFS(Regiones[Ofrecidas],Regiones[Fecha],Tabla54[[#This Row],[Fecha]],Regiones[Intervalo],Tabla54[[#This Row],[Intervalo]],Regiones[Skill],'BUPA Seguros'!$L$3)</f>
        <v>0</v>
      </c>
      <c r="E1122" s="19">
        <f>+SUMIFS(Regiones[Contestadas],Regiones[Fecha],Tabla54[[#This Row],[Fecha]],Regiones[Intervalo],Tabla54[[#This Row],[Intervalo]],Regiones[Skill],'BUPA Seguros'!$L$3)</f>
        <v>0</v>
      </c>
      <c r="F1122" s="20">
        <v>0</v>
      </c>
      <c r="G1122" s="19">
        <f>IFERROR(SUMIFS(Regiones[TMO],Regiones[Fecha],Tabla54[[#This Row],[Fecha]],Regiones[Intervalo],Tabla54[[#This Row],[Intervalo]],Regiones[Skill],'BUPA Seguros'!$L$3)/Tabla54[[#This Row],[Atendidas]],0)</f>
        <v>0</v>
      </c>
      <c r="H11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2" s="21">
        <f>IFERROR(Tabla54[[#This Row],[Atendidas]]/Tabla54[[#This Row],[Recibidas]],0)</f>
        <v>0</v>
      </c>
    </row>
    <row r="1123" spans="2:9" x14ac:dyDescent="0.3">
      <c r="B1123" s="25">
        <f t="shared" si="48"/>
        <v>46227</v>
      </c>
      <c r="C1123" s="26">
        <v>0.27083333333333298</v>
      </c>
      <c r="D1123" s="19">
        <f>+SUMIFS(Regiones[Ofrecidas],Regiones[Fecha],Tabla54[[#This Row],[Fecha]],Regiones[Intervalo],Tabla54[[#This Row],[Intervalo]],Regiones[Skill],'BUPA Seguros'!$L$3)</f>
        <v>0</v>
      </c>
      <c r="E1123" s="19">
        <f>+SUMIFS(Regiones[Contestadas],Regiones[Fecha],Tabla54[[#This Row],[Fecha]],Regiones[Intervalo],Tabla54[[#This Row],[Intervalo]],Regiones[Skill],'BUPA Seguros'!$L$3)</f>
        <v>0</v>
      </c>
      <c r="F1123" s="20">
        <v>0</v>
      </c>
      <c r="G1123" s="19">
        <f>IFERROR(SUMIFS(Regiones[TMO],Regiones[Fecha],Tabla54[[#This Row],[Fecha]],Regiones[Intervalo],Tabla54[[#This Row],[Intervalo]],Regiones[Skill],'BUPA Seguros'!$L$3)/Tabla54[[#This Row],[Atendidas]],0)</f>
        <v>0</v>
      </c>
      <c r="H11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3" s="21">
        <f>IFERROR(Tabla54[[#This Row],[Atendidas]]/Tabla54[[#This Row],[Recibidas]],0)</f>
        <v>0</v>
      </c>
    </row>
    <row r="1124" spans="2:9" x14ac:dyDescent="0.3">
      <c r="B1124" s="27">
        <f t="shared" si="48"/>
        <v>46227</v>
      </c>
      <c r="C1124" s="18">
        <v>0.29166666666666702</v>
      </c>
      <c r="D1124" s="19">
        <f>+SUMIFS(Regiones[Ofrecidas],Regiones[Fecha],Tabla54[[#This Row],[Fecha]],Regiones[Intervalo],Tabla54[[#This Row],[Intervalo]],Regiones[Skill],'BUPA Seguros'!$L$3)</f>
        <v>0</v>
      </c>
      <c r="E1124" s="19">
        <f>+SUMIFS(Regiones[Contestadas],Regiones[Fecha],Tabla54[[#This Row],[Fecha]],Regiones[Intervalo],Tabla54[[#This Row],[Intervalo]],Regiones[Skill],'BUPA Seguros'!$L$3)</f>
        <v>0</v>
      </c>
      <c r="F1124" s="20">
        <v>0</v>
      </c>
      <c r="G1124" s="19">
        <f>IFERROR(SUMIFS(Regiones[TMO],Regiones[Fecha],Tabla54[[#This Row],[Fecha]],Regiones[Intervalo],Tabla54[[#This Row],[Intervalo]],Regiones[Skill],'BUPA Seguros'!$L$3)/Tabla54[[#This Row],[Atendidas]],0)</f>
        <v>0</v>
      </c>
      <c r="H11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4" s="21">
        <f>IFERROR(Tabla54[[#This Row],[Atendidas]]/Tabla54[[#This Row],[Recibidas]],0)</f>
        <v>0</v>
      </c>
    </row>
    <row r="1125" spans="2:9" x14ac:dyDescent="0.3">
      <c r="B1125" s="25">
        <f t="shared" si="48"/>
        <v>46227</v>
      </c>
      <c r="C1125" s="26">
        <v>0.3125</v>
      </c>
      <c r="D1125" s="19">
        <f>+SUMIFS(Regiones[Ofrecidas],Regiones[Fecha],Tabla54[[#This Row],[Fecha]],Regiones[Intervalo],Tabla54[[#This Row],[Intervalo]],Regiones[Skill],'BUPA Seguros'!$L$3)</f>
        <v>0</v>
      </c>
      <c r="E1125" s="19">
        <f>+SUMIFS(Regiones[Contestadas],Regiones[Fecha],Tabla54[[#This Row],[Fecha]],Regiones[Intervalo],Tabla54[[#This Row],[Intervalo]],Regiones[Skill],'BUPA Seguros'!$L$3)</f>
        <v>0</v>
      </c>
      <c r="F1125" s="20">
        <v>0</v>
      </c>
      <c r="G1125" s="19">
        <f>IFERROR(SUMIFS(Regiones[TMO],Regiones[Fecha],Tabla54[[#This Row],[Fecha]],Regiones[Intervalo],Tabla54[[#This Row],[Intervalo]],Regiones[Skill],'BUPA Seguros'!$L$3)/Tabla54[[#This Row],[Atendidas]],0)</f>
        <v>0</v>
      </c>
      <c r="H11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5" s="21">
        <f>IFERROR(Tabla54[[#This Row],[Atendidas]]/Tabla54[[#This Row],[Recibidas]],0)</f>
        <v>0</v>
      </c>
    </row>
    <row r="1126" spans="2:9" x14ac:dyDescent="0.3">
      <c r="B1126" s="27">
        <f t="shared" si="48"/>
        <v>46227</v>
      </c>
      <c r="C1126" s="18">
        <v>0.33333333333333298</v>
      </c>
      <c r="D1126" s="19">
        <f>+SUMIFS(Regiones[Ofrecidas],Regiones[Fecha],Tabla54[[#This Row],[Fecha]],Regiones[Intervalo],Tabla54[[#This Row],[Intervalo]],Regiones[Skill],'BUPA Seguros'!$L$3)</f>
        <v>0</v>
      </c>
      <c r="E1126" s="19">
        <f>+SUMIFS(Regiones[Contestadas],Regiones[Fecha],Tabla54[[#This Row],[Fecha]],Regiones[Intervalo],Tabla54[[#This Row],[Intervalo]],Regiones[Skill],'BUPA Seguros'!$L$3)</f>
        <v>0</v>
      </c>
      <c r="F1126" s="20">
        <v>0</v>
      </c>
      <c r="G1126" s="19">
        <f>IFERROR(SUMIFS(Regiones[TMO],Regiones[Fecha],Tabla54[[#This Row],[Fecha]],Regiones[Intervalo],Tabla54[[#This Row],[Intervalo]],Regiones[Skill],'BUPA Seguros'!$L$3)/Tabla54[[#This Row],[Atendidas]],0)</f>
        <v>0</v>
      </c>
      <c r="H11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6" s="21">
        <f>IFERROR(Tabla54[[#This Row],[Atendidas]]/Tabla54[[#This Row],[Recibidas]],0)</f>
        <v>0</v>
      </c>
    </row>
    <row r="1127" spans="2:9" x14ac:dyDescent="0.3">
      <c r="B1127" s="25">
        <f t="shared" si="48"/>
        <v>46227</v>
      </c>
      <c r="C1127" s="26">
        <v>0.35416666666666702</v>
      </c>
      <c r="D1127" s="19">
        <f>+SUMIFS(Regiones[Ofrecidas],Regiones[Fecha],Tabla54[[#This Row],[Fecha]],Regiones[Intervalo],Tabla54[[#This Row],[Intervalo]],Regiones[Skill],'BUPA Seguros'!$L$3)</f>
        <v>0</v>
      </c>
      <c r="E1127" s="19">
        <f>+SUMIFS(Regiones[Contestadas],Regiones[Fecha],Tabla54[[#This Row],[Fecha]],Regiones[Intervalo],Tabla54[[#This Row],[Intervalo]],Regiones[Skill],'BUPA Seguros'!$L$3)</f>
        <v>0</v>
      </c>
      <c r="F1127" s="20">
        <v>0</v>
      </c>
      <c r="G1127" s="19">
        <f>IFERROR(SUMIFS(Regiones[TMO],Regiones[Fecha],Tabla54[[#This Row],[Fecha]],Regiones[Intervalo],Tabla54[[#This Row],[Intervalo]],Regiones[Skill],'BUPA Seguros'!$L$3)/Tabla54[[#This Row],[Atendidas]],0)</f>
        <v>0</v>
      </c>
      <c r="H11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7" s="21">
        <f>IFERROR(Tabla54[[#This Row],[Atendidas]]/Tabla54[[#This Row],[Recibidas]],0)</f>
        <v>0</v>
      </c>
    </row>
    <row r="1128" spans="2:9" x14ac:dyDescent="0.3">
      <c r="B1128" s="27">
        <f t="shared" si="48"/>
        <v>46227</v>
      </c>
      <c r="C1128" s="18">
        <v>0.375</v>
      </c>
      <c r="D1128" s="19">
        <f>+SUMIFS(Regiones[Ofrecidas],Regiones[Fecha],Tabla54[[#This Row],[Fecha]],Regiones[Intervalo],Tabla54[[#This Row],[Intervalo]],Regiones[Skill],'BUPA Seguros'!$L$3)</f>
        <v>0</v>
      </c>
      <c r="E1128" s="19">
        <f>+SUMIFS(Regiones[Contestadas],Regiones[Fecha],Tabla54[[#This Row],[Fecha]],Regiones[Intervalo],Tabla54[[#This Row],[Intervalo]],Regiones[Skill],'BUPA Seguros'!$L$3)</f>
        <v>0</v>
      </c>
      <c r="F1128" s="20">
        <v>21.95528888123409</v>
      </c>
      <c r="G1128" s="19">
        <f>IFERROR(SUMIFS(Regiones[TMO],Regiones[Fecha],Tabla54[[#This Row],[Fecha]],Regiones[Intervalo],Tabla54[[#This Row],[Intervalo]],Regiones[Skill],'BUPA Seguros'!$L$3)/Tabla54[[#This Row],[Atendidas]],0)</f>
        <v>0</v>
      </c>
      <c r="H11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8" s="21">
        <f>IFERROR(Tabla54[[#This Row],[Atendidas]]/Tabla54[[#This Row],[Recibidas]],0)</f>
        <v>0</v>
      </c>
    </row>
    <row r="1129" spans="2:9" x14ac:dyDescent="0.3">
      <c r="B1129" s="25">
        <f t="shared" si="48"/>
        <v>46227</v>
      </c>
      <c r="C1129" s="26">
        <v>0.39583333333333298</v>
      </c>
      <c r="D1129" s="19">
        <f>+SUMIFS(Regiones[Ofrecidas],Regiones[Fecha],Tabla54[[#This Row],[Fecha]],Regiones[Intervalo],Tabla54[[#This Row],[Intervalo]],Regiones[Skill],'BUPA Seguros'!$L$3)</f>
        <v>0</v>
      </c>
      <c r="E1129" s="19">
        <f>+SUMIFS(Regiones[Contestadas],Regiones[Fecha],Tabla54[[#This Row],[Fecha]],Regiones[Intervalo],Tabla54[[#This Row],[Intervalo]],Regiones[Skill],'BUPA Seguros'!$L$3)</f>
        <v>0</v>
      </c>
      <c r="F1129" s="20">
        <v>22.813730271140166</v>
      </c>
      <c r="G1129" s="19">
        <f>IFERROR(SUMIFS(Regiones[TMO],Regiones[Fecha],Tabla54[[#This Row],[Fecha]],Regiones[Intervalo],Tabla54[[#This Row],[Intervalo]],Regiones[Skill],'BUPA Seguros'!$L$3)/Tabla54[[#This Row],[Atendidas]],0)</f>
        <v>0</v>
      </c>
      <c r="H11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29" s="21">
        <f>IFERROR(Tabla54[[#This Row],[Atendidas]]/Tabla54[[#This Row],[Recibidas]],0)</f>
        <v>0</v>
      </c>
    </row>
    <row r="1130" spans="2:9" x14ac:dyDescent="0.3">
      <c r="B1130" s="27">
        <f t="shared" si="48"/>
        <v>46227</v>
      </c>
      <c r="C1130" s="18">
        <v>0.41666666666666702</v>
      </c>
      <c r="D1130" s="19">
        <f>+SUMIFS(Regiones[Ofrecidas],Regiones[Fecha],Tabla54[[#This Row],[Fecha]],Regiones[Intervalo],Tabla54[[#This Row],[Intervalo]],Regiones[Skill],'BUPA Seguros'!$L$3)</f>
        <v>0</v>
      </c>
      <c r="E1130" s="19">
        <f>+SUMIFS(Regiones[Contestadas],Regiones[Fecha],Tabla54[[#This Row],[Fecha]],Regiones[Intervalo],Tabla54[[#This Row],[Intervalo]],Regiones[Skill],'BUPA Seguros'!$L$3)</f>
        <v>0</v>
      </c>
      <c r="F1130" s="20">
        <v>24.062372292821724</v>
      </c>
      <c r="G1130" s="19">
        <f>IFERROR(SUMIFS(Regiones[TMO],Regiones[Fecha],Tabla54[[#This Row],[Fecha]],Regiones[Intervalo],Tabla54[[#This Row],[Intervalo]],Regiones[Skill],'BUPA Seguros'!$L$3)/Tabla54[[#This Row],[Atendidas]],0)</f>
        <v>0</v>
      </c>
      <c r="H11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0" s="21">
        <f>IFERROR(Tabla54[[#This Row],[Atendidas]]/Tabla54[[#This Row],[Recibidas]],0)</f>
        <v>0</v>
      </c>
    </row>
    <row r="1131" spans="2:9" x14ac:dyDescent="0.3">
      <c r="B1131" s="25">
        <f t="shared" si="48"/>
        <v>46227</v>
      </c>
      <c r="C1131" s="26">
        <v>0.4375</v>
      </c>
      <c r="D1131" s="19">
        <f>+SUMIFS(Regiones[Ofrecidas],Regiones[Fecha],Tabla54[[#This Row],[Fecha]],Regiones[Intervalo],Tabla54[[#This Row],[Intervalo]],Regiones[Skill],'BUPA Seguros'!$L$3)</f>
        <v>0</v>
      </c>
      <c r="E1131" s="19">
        <f>+SUMIFS(Regiones[Contestadas],Regiones[Fecha],Tabla54[[#This Row],[Fecha]],Regiones[Intervalo],Tabla54[[#This Row],[Intervalo]],Regiones[Skill],'BUPA Seguros'!$L$3)</f>
        <v>0</v>
      </c>
      <c r="F1131" s="20">
        <v>24.01901666706889</v>
      </c>
      <c r="G1131" s="19">
        <f>IFERROR(SUMIFS(Regiones[TMO],Regiones[Fecha],Tabla54[[#This Row],[Fecha]],Regiones[Intervalo],Tabla54[[#This Row],[Intervalo]],Regiones[Skill],'BUPA Seguros'!$L$3)/Tabla54[[#This Row],[Atendidas]],0)</f>
        <v>0</v>
      </c>
      <c r="H11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1" s="21">
        <f>IFERROR(Tabla54[[#This Row],[Atendidas]]/Tabla54[[#This Row],[Recibidas]],0)</f>
        <v>0</v>
      </c>
    </row>
    <row r="1132" spans="2:9" x14ac:dyDescent="0.3">
      <c r="B1132" s="27">
        <f t="shared" si="48"/>
        <v>46227</v>
      </c>
      <c r="C1132" s="18">
        <v>0.45833333333333298</v>
      </c>
      <c r="D1132" s="19">
        <f>+SUMIFS(Regiones[Ofrecidas],Regiones[Fecha],Tabla54[[#This Row],[Fecha]],Regiones[Intervalo],Tabla54[[#This Row],[Intervalo]],Regiones[Skill],'BUPA Seguros'!$L$3)</f>
        <v>0</v>
      </c>
      <c r="E1132" s="19">
        <f>+SUMIFS(Regiones[Contestadas],Regiones[Fecha],Tabla54[[#This Row],[Fecha]],Regiones[Intervalo],Tabla54[[#This Row],[Intervalo]],Regiones[Skill],'BUPA Seguros'!$L$3)</f>
        <v>0</v>
      </c>
      <c r="F1132" s="20">
        <v>23.85137491415794</v>
      </c>
      <c r="G1132" s="19">
        <f>IFERROR(SUMIFS(Regiones[TMO],Regiones[Fecha],Tabla54[[#This Row],[Fecha]],Regiones[Intervalo],Tabla54[[#This Row],[Intervalo]],Regiones[Skill],'BUPA Seguros'!$L$3)/Tabla54[[#This Row],[Atendidas]],0)</f>
        <v>0</v>
      </c>
      <c r="H11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2" s="21">
        <f>IFERROR(Tabla54[[#This Row],[Atendidas]]/Tabla54[[#This Row],[Recibidas]],0)</f>
        <v>0</v>
      </c>
    </row>
    <row r="1133" spans="2:9" x14ac:dyDescent="0.3">
      <c r="B1133" s="25">
        <f t="shared" si="48"/>
        <v>46227</v>
      </c>
      <c r="C1133" s="26">
        <v>0.47916666666666702</v>
      </c>
      <c r="D1133" s="19">
        <f>+SUMIFS(Regiones[Ofrecidas],Regiones[Fecha],Tabla54[[#This Row],[Fecha]],Regiones[Intervalo],Tabla54[[#This Row],[Intervalo]],Regiones[Skill],'BUPA Seguros'!$L$3)</f>
        <v>0</v>
      </c>
      <c r="E1133" s="19">
        <f>+SUMIFS(Regiones[Contestadas],Regiones[Fecha],Tabla54[[#This Row],[Fecha]],Regiones[Intervalo],Tabla54[[#This Row],[Intervalo]],Regiones[Skill],'BUPA Seguros'!$L$3)</f>
        <v>0</v>
      </c>
      <c r="F1133" s="20">
        <v>23.250176903718671</v>
      </c>
      <c r="G1133" s="19">
        <f>IFERROR(SUMIFS(Regiones[TMO],Regiones[Fecha],Tabla54[[#This Row],[Fecha]],Regiones[Intervalo],Tabla54[[#This Row],[Intervalo]],Regiones[Skill],'BUPA Seguros'!$L$3)/Tabla54[[#This Row],[Atendidas]],0)</f>
        <v>0</v>
      </c>
      <c r="H11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3" s="21">
        <f>IFERROR(Tabla54[[#This Row],[Atendidas]]/Tabla54[[#This Row],[Recibidas]],0)</f>
        <v>0</v>
      </c>
    </row>
    <row r="1134" spans="2:9" x14ac:dyDescent="0.3">
      <c r="B1134" s="27">
        <f t="shared" si="48"/>
        <v>46227</v>
      </c>
      <c r="C1134" s="18">
        <v>0.5</v>
      </c>
      <c r="D1134" s="19">
        <f>+SUMIFS(Regiones[Ofrecidas],Regiones[Fecha],Tabla54[[#This Row],[Fecha]],Regiones[Intervalo],Tabla54[[#This Row],[Intervalo]],Regiones[Skill],'BUPA Seguros'!$L$3)</f>
        <v>0</v>
      </c>
      <c r="E1134" s="19">
        <f>+SUMIFS(Regiones[Contestadas],Regiones[Fecha],Tabla54[[#This Row],[Fecha]],Regiones[Intervalo],Tabla54[[#This Row],[Intervalo]],Regiones[Skill],'BUPA Seguros'!$L$3)</f>
        <v>0</v>
      </c>
      <c r="F1134" s="20">
        <v>22.62585589287789</v>
      </c>
      <c r="G1134" s="19">
        <f>IFERROR(SUMIFS(Regiones[TMO],Regiones[Fecha],Tabla54[[#This Row],[Fecha]],Regiones[Intervalo],Tabla54[[#This Row],[Intervalo]],Regiones[Skill],'BUPA Seguros'!$L$3)/Tabla54[[#This Row],[Atendidas]],0)</f>
        <v>0</v>
      </c>
      <c r="H11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4" s="21">
        <f>IFERROR(Tabla54[[#This Row],[Atendidas]]/Tabla54[[#This Row],[Recibidas]],0)</f>
        <v>0</v>
      </c>
    </row>
    <row r="1135" spans="2:9" x14ac:dyDescent="0.3">
      <c r="B1135" s="25">
        <f t="shared" si="48"/>
        <v>46227</v>
      </c>
      <c r="C1135" s="26">
        <v>0.52083333333333304</v>
      </c>
      <c r="D1135" s="19">
        <f>+SUMIFS(Regiones[Ofrecidas],Regiones[Fecha],Tabla54[[#This Row],[Fecha]],Regiones[Intervalo],Tabla54[[#This Row],[Intervalo]],Regiones[Skill],'BUPA Seguros'!$L$3)</f>
        <v>0</v>
      </c>
      <c r="E1135" s="19">
        <f>+SUMIFS(Regiones[Contestadas],Regiones[Fecha],Tabla54[[#This Row],[Fecha]],Regiones[Intervalo],Tabla54[[#This Row],[Intervalo]],Regiones[Skill],'BUPA Seguros'!$L$3)</f>
        <v>0</v>
      </c>
      <c r="F1135" s="20">
        <v>21.989973381836357</v>
      </c>
      <c r="G1135" s="19">
        <f>IFERROR(SUMIFS(Regiones[TMO],Regiones[Fecha],Tabla54[[#This Row],[Fecha]],Regiones[Intervalo],Tabla54[[#This Row],[Intervalo]],Regiones[Skill],'BUPA Seguros'!$L$3)/Tabla54[[#This Row],[Atendidas]],0)</f>
        <v>0</v>
      </c>
      <c r="H11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5" s="21">
        <f>IFERROR(Tabla54[[#This Row],[Atendidas]]/Tabla54[[#This Row],[Recibidas]],0)</f>
        <v>0</v>
      </c>
    </row>
    <row r="1136" spans="2:9" x14ac:dyDescent="0.3">
      <c r="B1136" s="27">
        <f t="shared" si="48"/>
        <v>46227</v>
      </c>
      <c r="C1136" s="18">
        <v>0.54166666666666696</v>
      </c>
      <c r="D1136" s="19">
        <f>+SUMIFS(Regiones[Ofrecidas],Regiones[Fecha],Tabla54[[#This Row],[Fecha]],Regiones[Intervalo],Tabla54[[#This Row],[Intervalo]],Regiones[Skill],'BUPA Seguros'!$L$3)</f>
        <v>0</v>
      </c>
      <c r="E1136" s="19">
        <f>+SUMIFS(Regiones[Contestadas],Regiones[Fecha],Tabla54[[#This Row],[Fecha]],Regiones[Intervalo],Tabla54[[#This Row],[Intervalo]],Regiones[Skill],'BUPA Seguros'!$L$3)</f>
        <v>0</v>
      </c>
      <c r="F1136" s="20">
        <v>21.435021372200108</v>
      </c>
      <c r="G1136" s="19">
        <f>IFERROR(SUMIFS(Regiones[TMO],Regiones[Fecha],Tabla54[[#This Row],[Fecha]],Regiones[Intervalo],Tabla54[[#This Row],[Intervalo]],Regiones[Skill],'BUPA Seguros'!$L$3)/Tabla54[[#This Row],[Atendidas]],0)</f>
        <v>0</v>
      </c>
      <c r="H11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6" s="21">
        <f>IFERROR(Tabla54[[#This Row],[Atendidas]]/Tabla54[[#This Row],[Recibidas]],0)</f>
        <v>0</v>
      </c>
    </row>
    <row r="1137" spans="2:9" x14ac:dyDescent="0.3">
      <c r="B1137" s="25">
        <f t="shared" si="48"/>
        <v>46227</v>
      </c>
      <c r="C1137" s="26">
        <v>0.5625</v>
      </c>
      <c r="D1137" s="19">
        <f>+SUMIFS(Regiones[Ofrecidas],Regiones[Fecha],Tabla54[[#This Row],[Fecha]],Regiones[Intervalo],Tabla54[[#This Row],[Intervalo]],Regiones[Skill],'BUPA Seguros'!$L$3)</f>
        <v>0</v>
      </c>
      <c r="E1137" s="19">
        <f>+SUMIFS(Regiones[Contestadas],Regiones[Fecha],Tabla54[[#This Row],[Fecha]],Regiones[Intervalo],Tabla54[[#This Row],[Intervalo]],Regiones[Skill],'BUPA Seguros'!$L$3)</f>
        <v>0</v>
      </c>
      <c r="F1137" s="20">
        <v>20.68352385915102</v>
      </c>
      <c r="G1137" s="19">
        <f>IFERROR(SUMIFS(Regiones[TMO],Regiones[Fecha],Tabla54[[#This Row],[Fecha]],Regiones[Intervalo],Tabla54[[#This Row],[Intervalo]],Regiones[Skill],'BUPA Seguros'!$L$3)/Tabla54[[#This Row],[Atendidas]],0)</f>
        <v>0</v>
      </c>
      <c r="H11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7" s="21">
        <f>IFERROR(Tabla54[[#This Row],[Atendidas]]/Tabla54[[#This Row],[Recibidas]],0)</f>
        <v>0</v>
      </c>
    </row>
    <row r="1138" spans="2:9" x14ac:dyDescent="0.3">
      <c r="B1138" s="27">
        <f t="shared" si="48"/>
        <v>46227</v>
      </c>
      <c r="C1138" s="18">
        <v>0.58333333333333304</v>
      </c>
      <c r="D1138" s="19">
        <f>+SUMIFS(Regiones[Ofrecidas],Regiones[Fecha],Tabla54[[#This Row],[Fecha]],Regiones[Intervalo],Tabla54[[#This Row],[Intervalo]],Regiones[Skill],'BUPA Seguros'!$L$3)</f>
        <v>0</v>
      </c>
      <c r="E1138" s="19">
        <f>+SUMIFS(Regiones[Contestadas],Regiones[Fecha],Tabla54[[#This Row],[Fecha]],Regiones[Intervalo],Tabla54[[#This Row],[Intervalo]],Regiones[Skill],'BUPA Seguros'!$L$3)</f>
        <v>0</v>
      </c>
      <c r="F1138" s="20">
        <v>20.117010349314015</v>
      </c>
      <c r="G1138" s="19">
        <f>IFERROR(SUMIFS(Regiones[TMO],Regiones[Fecha],Tabla54[[#This Row],[Fecha]],Regiones[Intervalo],Tabla54[[#This Row],[Intervalo]],Regiones[Skill],'BUPA Seguros'!$L$3)/Tabla54[[#This Row],[Atendidas]],0)</f>
        <v>0</v>
      </c>
      <c r="H11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8" s="21">
        <f>IFERROR(Tabla54[[#This Row],[Atendidas]]/Tabla54[[#This Row],[Recibidas]],0)</f>
        <v>0</v>
      </c>
    </row>
    <row r="1139" spans="2:9" x14ac:dyDescent="0.3">
      <c r="B1139" s="25">
        <f t="shared" si="48"/>
        <v>46227</v>
      </c>
      <c r="C1139" s="26">
        <v>0.60416666666666696</v>
      </c>
      <c r="D1139" s="19">
        <f>+SUMIFS(Regiones[Ofrecidas],Regiones[Fecha],Tabla54[[#This Row],[Fecha]],Regiones[Intervalo],Tabla54[[#This Row],[Intervalo]],Regiones[Skill],'BUPA Seguros'!$L$3)</f>
        <v>0</v>
      </c>
      <c r="E1139" s="19">
        <f>+SUMIFS(Regiones[Contestadas],Regiones[Fecha],Tabla54[[#This Row],[Fecha]],Regiones[Intervalo],Tabla54[[#This Row],[Intervalo]],Regiones[Skill],'BUPA Seguros'!$L$3)</f>
        <v>0</v>
      </c>
      <c r="F1139" s="20">
        <v>19.723919342488337</v>
      </c>
      <c r="G1139" s="19">
        <f>IFERROR(SUMIFS(Regiones[TMO],Regiones[Fecha],Tabla54[[#This Row],[Fecha]],Regiones[Intervalo],Tabla54[[#This Row],[Intervalo]],Regiones[Skill],'BUPA Seguros'!$L$3)/Tabla54[[#This Row],[Atendidas]],0)</f>
        <v>0</v>
      </c>
      <c r="H11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39" s="21">
        <f>IFERROR(Tabla54[[#This Row],[Atendidas]]/Tabla54[[#This Row],[Recibidas]],0)</f>
        <v>0</v>
      </c>
    </row>
    <row r="1140" spans="2:9" x14ac:dyDescent="0.3">
      <c r="B1140" s="27">
        <f t="shared" si="48"/>
        <v>46227</v>
      </c>
      <c r="C1140" s="18">
        <v>0.625</v>
      </c>
      <c r="D1140" s="19">
        <f>+SUMIFS(Regiones[Ofrecidas],Regiones[Fecha],Tabla54[[#This Row],[Fecha]],Regiones[Intervalo],Tabla54[[#This Row],[Intervalo]],Regiones[Skill],'BUPA Seguros'!$L$3)</f>
        <v>0</v>
      </c>
      <c r="E1140" s="19">
        <f>+SUMIFS(Regiones[Contestadas],Regiones[Fecha],Tabla54[[#This Row],[Fecha]],Regiones[Intervalo],Tabla54[[#This Row],[Intervalo]],Regiones[Skill],'BUPA Seguros'!$L$3)</f>
        <v>0</v>
      </c>
      <c r="F1140" s="20">
        <v>19.642988841083053</v>
      </c>
      <c r="G1140" s="19">
        <f>IFERROR(SUMIFS(Regiones[TMO],Regiones[Fecha],Tabla54[[#This Row],[Fecha]],Regiones[Intervalo],Tabla54[[#This Row],[Intervalo]],Regiones[Skill],'BUPA Seguros'!$L$3)/Tabla54[[#This Row],[Atendidas]],0)</f>
        <v>0</v>
      </c>
      <c r="H11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0" s="21">
        <f>IFERROR(Tabla54[[#This Row],[Atendidas]]/Tabla54[[#This Row],[Recibidas]],0)</f>
        <v>0</v>
      </c>
    </row>
    <row r="1141" spans="2:9" x14ac:dyDescent="0.3">
      <c r="B1141" s="25">
        <f t="shared" si="48"/>
        <v>46227</v>
      </c>
      <c r="C1141" s="26">
        <v>0.64583333333333304</v>
      </c>
      <c r="D1141" s="19">
        <f>+SUMIFS(Regiones[Ofrecidas],Regiones[Fecha],Tabla54[[#This Row],[Fecha]],Regiones[Intervalo],Tabla54[[#This Row],[Intervalo]],Regiones[Skill],'BUPA Seguros'!$L$3)</f>
        <v>0</v>
      </c>
      <c r="E1141" s="19">
        <f>+SUMIFS(Regiones[Contestadas],Regiones[Fecha],Tabla54[[#This Row],[Fecha]],Regiones[Intervalo],Tabla54[[#This Row],[Intervalo]],Regiones[Skill],'BUPA Seguros'!$L$3)</f>
        <v>0</v>
      </c>
      <c r="F1141" s="20">
        <v>19.446443337670217</v>
      </c>
      <c r="G1141" s="19">
        <f>IFERROR(SUMIFS(Regiones[TMO],Regiones[Fecha],Tabla54[[#This Row],[Fecha]],Regiones[Intervalo],Tabla54[[#This Row],[Intervalo]],Regiones[Skill],'BUPA Seguros'!$L$3)/Tabla54[[#This Row],[Atendidas]],0)</f>
        <v>0</v>
      </c>
      <c r="H11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1" s="21">
        <f>IFERROR(Tabla54[[#This Row],[Atendidas]]/Tabla54[[#This Row],[Recibidas]],0)</f>
        <v>0</v>
      </c>
    </row>
    <row r="1142" spans="2:9" x14ac:dyDescent="0.3">
      <c r="B1142" s="27">
        <f t="shared" si="48"/>
        <v>46227</v>
      </c>
      <c r="C1142" s="18">
        <v>0.66666666666666696</v>
      </c>
      <c r="D1142" s="19">
        <f>+SUMIFS(Regiones[Ofrecidas],Regiones[Fecha],Tabla54[[#This Row],[Fecha]],Regiones[Intervalo],Tabla54[[#This Row],[Intervalo]],Regiones[Skill],'BUPA Seguros'!$L$3)</f>
        <v>0</v>
      </c>
      <c r="E1142" s="19">
        <f>+SUMIFS(Regiones[Contestadas],Regiones[Fecha],Tabla54[[#This Row],[Fecha]],Regiones[Intervalo],Tabla54[[#This Row],[Intervalo]],Regiones[Skill],'BUPA Seguros'!$L$3)</f>
        <v>0</v>
      </c>
      <c r="F1142" s="20">
        <v>18.60245382301509</v>
      </c>
      <c r="G1142" s="19">
        <f>IFERROR(SUMIFS(Regiones[TMO],Regiones[Fecha],Tabla54[[#This Row],[Fecha]],Regiones[Intervalo],Tabla54[[#This Row],[Intervalo]],Regiones[Skill],'BUPA Seguros'!$L$3)/Tabla54[[#This Row],[Atendidas]],0)</f>
        <v>0</v>
      </c>
      <c r="H11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2" s="21">
        <f>IFERROR(Tabla54[[#This Row],[Atendidas]]/Tabla54[[#This Row],[Recibidas]],0)</f>
        <v>0</v>
      </c>
    </row>
    <row r="1143" spans="2:9" x14ac:dyDescent="0.3">
      <c r="B1143" s="25">
        <f t="shared" ref="B1143:B1205" si="51">+B1142</f>
        <v>46227</v>
      </c>
      <c r="C1143" s="26">
        <v>0.6875</v>
      </c>
      <c r="D1143" s="19">
        <f>+SUMIFS(Regiones[Ofrecidas],Regiones[Fecha],Tabla54[[#This Row],[Fecha]],Regiones[Intervalo],Tabla54[[#This Row],[Intervalo]],Regiones[Skill],'BUPA Seguros'!$L$3)</f>
        <v>0</v>
      </c>
      <c r="E1143" s="19">
        <f>+SUMIFS(Regiones[Contestadas],Regiones[Fecha],Tabla54[[#This Row],[Fecha]],Regiones[Intervalo],Tabla54[[#This Row],[Intervalo]],Regiones[Skill],'BUPA Seguros'!$L$3)</f>
        <v>0</v>
      </c>
      <c r="F1143" s="20">
        <v>17.076335796515405</v>
      </c>
      <c r="G1143" s="19">
        <f>IFERROR(SUMIFS(Regiones[TMO],Regiones[Fecha],Tabla54[[#This Row],[Fecha]],Regiones[Intervalo],Tabla54[[#This Row],[Intervalo]],Regiones[Skill],'BUPA Seguros'!$L$3)/Tabla54[[#This Row],[Atendidas]],0)</f>
        <v>0</v>
      </c>
      <c r="H11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3" s="21">
        <f>IFERROR(Tabla54[[#This Row],[Atendidas]]/Tabla54[[#This Row],[Recibidas]],0)</f>
        <v>0</v>
      </c>
    </row>
    <row r="1144" spans="2:9" x14ac:dyDescent="0.3">
      <c r="B1144" s="27">
        <f t="shared" si="51"/>
        <v>46227</v>
      </c>
      <c r="C1144" s="18">
        <v>0.70833333333333304</v>
      </c>
      <c r="D1144" s="19">
        <f>+SUMIFS(Regiones[Ofrecidas],Regiones[Fecha],Tabla54[[#This Row],[Fecha]],Regiones[Intervalo],Tabla54[[#This Row],[Intervalo]],Regiones[Skill],'BUPA Seguros'!$L$3)</f>
        <v>0</v>
      </c>
      <c r="E1144" s="19">
        <f>+SUMIFS(Regiones[Contestadas],Regiones[Fecha],Tabla54[[#This Row],[Fecha]],Regiones[Intervalo],Tabla54[[#This Row],[Intervalo]],Regiones[Skill],'BUPA Seguros'!$L$3)</f>
        <v>0</v>
      </c>
      <c r="F1144" s="20">
        <v>14.81028175716739</v>
      </c>
      <c r="G1144" s="19">
        <f>IFERROR(SUMIFS(Regiones[TMO],Regiones[Fecha],Tabla54[[#This Row],[Fecha]],Regiones[Intervalo],Tabla54[[#This Row],[Intervalo]],Regiones[Skill],'BUPA Seguros'!$L$3)/Tabla54[[#This Row],[Atendidas]],0)</f>
        <v>0</v>
      </c>
      <c r="H11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4" s="21">
        <f>IFERROR(Tabla54[[#This Row],[Atendidas]]/Tabla54[[#This Row],[Recibidas]],0)</f>
        <v>0</v>
      </c>
    </row>
    <row r="1145" spans="2:9" x14ac:dyDescent="0.3">
      <c r="B1145" s="25">
        <f t="shared" si="51"/>
        <v>46227</v>
      </c>
      <c r="C1145" s="26">
        <v>0.72916666666666696</v>
      </c>
      <c r="D1145" s="19">
        <f>+SUMIFS(Regiones[Ofrecidas],Regiones[Fecha],Tabla54[[#This Row],[Fecha]],Regiones[Intervalo],Tabla54[[#This Row],[Intervalo]],Regiones[Skill],'BUPA Seguros'!$L$3)</f>
        <v>0</v>
      </c>
      <c r="E1145" s="19">
        <f>+SUMIFS(Regiones[Contestadas],Regiones[Fecha],Tabla54[[#This Row],[Fecha]],Regiones[Intervalo],Tabla54[[#This Row],[Intervalo]],Regiones[Skill],'BUPA Seguros'!$L$3)</f>
        <v>0</v>
      </c>
      <c r="F1145" s="20">
        <v>12.850607473139384</v>
      </c>
      <c r="G1145" s="19">
        <f>IFERROR(SUMIFS(Regiones[TMO],Regiones[Fecha],Tabla54[[#This Row],[Fecha]],Regiones[Intervalo],Tabla54[[#This Row],[Intervalo]],Regiones[Skill],'BUPA Seguros'!$L$3)/Tabla54[[#This Row],[Atendidas]],0)</f>
        <v>0</v>
      </c>
      <c r="H11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5" s="21">
        <f>IFERROR(Tabla54[[#This Row],[Atendidas]]/Tabla54[[#This Row],[Recibidas]],0)</f>
        <v>0</v>
      </c>
    </row>
    <row r="1146" spans="2:9" x14ac:dyDescent="0.3">
      <c r="B1146" s="27">
        <f t="shared" si="51"/>
        <v>46227</v>
      </c>
      <c r="C1146" s="18">
        <v>0.75</v>
      </c>
      <c r="D1146" s="19">
        <f>+SUMIFS(Regiones[Ofrecidas],Regiones[Fecha],Tabla54[[#This Row],[Fecha]],Regiones[Intervalo],Tabla54[[#This Row],[Intervalo]],Regiones[Skill],'BUPA Seguros'!$L$3)</f>
        <v>0</v>
      </c>
      <c r="E1146" s="19">
        <f>+SUMIFS(Regiones[Contestadas],Regiones[Fecha],Tabla54[[#This Row],[Fecha]],Regiones[Intervalo],Tabla54[[#This Row],[Intervalo]],Regiones[Skill],'BUPA Seguros'!$L$3)</f>
        <v>0</v>
      </c>
      <c r="F1146" s="20">
        <v>0</v>
      </c>
      <c r="G1146" s="19">
        <f>IFERROR(SUMIFS(Regiones[TMO],Regiones[Fecha],Tabla54[[#This Row],[Fecha]],Regiones[Intervalo],Tabla54[[#This Row],[Intervalo]],Regiones[Skill],'BUPA Seguros'!$L$3)/Tabla54[[#This Row],[Atendidas]],0)</f>
        <v>0</v>
      </c>
      <c r="H11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6" s="21">
        <f>IFERROR(Tabla54[[#This Row],[Atendidas]]/Tabla54[[#This Row],[Recibidas]],0)</f>
        <v>0</v>
      </c>
    </row>
    <row r="1147" spans="2:9" x14ac:dyDescent="0.3">
      <c r="B1147" s="25">
        <f t="shared" si="51"/>
        <v>46227</v>
      </c>
      <c r="C1147" s="26">
        <v>0.77083333333333304</v>
      </c>
      <c r="D1147" s="19">
        <f>+SUMIFS(Regiones[Ofrecidas],Regiones[Fecha],Tabla54[[#This Row],[Fecha]],Regiones[Intervalo],Tabla54[[#This Row],[Intervalo]],Regiones[Skill],'BUPA Seguros'!$L$3)</f>
        <v>0</v>
      </c>
      <c r="E1147" s="19">
        <f>+SUMIFS(Regiones[Contestadas],Regiones[Fecha],Tabla54[[#This Row],[Fecha]],Regiones[Intervalo],Tabla54[[#This Row],[Intervalo]],Regiones[Skill],'BUPA Seguros'!$L$3)</f>
        <v>0</v>
      </c>
      <c r="F1147" s="20">
        <v>0</v>
      </c>
      <c r="G1147" s="19">
        <f>IFERROR(SUMIFS(Regiones[TMO],Regiones[Fecha],Tabla54[[#This Row],[Fecha]],Regiones[Intervalo],Tabla54[[#This Row],[Intervalo]],Regiones[Skill],'BUPA Seguros'!$L$3)/Tabla54[[#This Row],[Atendidas]],0)</f>
        <v>0</v>
      </c>
      <c r="H11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7" s="21">
        <f>IFERROR(Tabla54[[#This Row],[Atendidas]]/Tabla54[[#This Row],[Recibidas]],0)</f>
        <v>0</v>
      </c>
    </row>
    <row r="1148" spans="2:9" x14ac:dyDescent="0.3">
      <c r="B1148" s="27">
        <f t="shared" si="51"/>
        <v>46227</v>
      </c>
      <c r="C1148" s="18">
        <v>0.79166666666666696</v>
      </c>
      <c r="D1148" s="19">
        <f>+SUMIFS(Regiones[Ofrecidas],Regiones[Fecha],Tabla54[[#This Row],[Fecha]],Regiones[Intervalo],Tabla54[[#This Row],[Intervalo]],Regiones[Skill],'BUPA Seguros'!$L$3)</f>
        <v>0</v>
      </c>
      <c r="E1148" s="19">
        <f>+SUMIFS(Regiones[Contestadas],Regiones[Fecha],Tabla54[[#This Row],[Fecha]],Regiones[Intervalo],Tabla54[[#This Row],[Intervalo]],Regiones[Skill],'BUPA Seguros'!$L$3)</f>
        <v>0</v>
      </c>
      <c r="F1148" s="20">
        <v>0</v>
      </c>
      <c r="G1148" s="19">
        <f>IFERROR(SUMIFS(Regiones[TMO],Regiones[Fecha],Tabla54[[#This Row],[Fecha]],Regiones[Intervalo],Tabla54[[#This Row],[Intervalo]],Regiones[Skill],'BUPA Seguros'!$L$3)/Tabla54[[#This Row],[Atendidas]],0)</f>
        <v>0</v>
      </c>
      <c r="H11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8" s="21">
        <f>IFERROR(Tabla54[[#This Row],[Atendidas]]/Tabla54[[#This Row],[Recibidas]],0)</f>
        <v>0</v>
      </c>
    </row>
    <row r="1149" spans="2:9" x14ac:dyDescent="0.3">
      <c r="B1149" s="25">
        <f t="shared" si="51"/>
        <v>46227</v>
      </c>
      <c r="C1149" s="26">
        <v>0.8125</v>
      </c>
      <c r="D1149" s="19">
        <f>+SUMIFS(Regiones[Ofrecidas],Regiones[Fecha],Tabla54[[#This Row],[Fecha]],Regiones[Intervalo],Tabla54[[#This Row],[Intervalo]],Regiones[Skill],'BUPA Seguros'!$L$3)</f>
        <v>0</v>
      </c>
      <c r="E1149" s="19">
        <f>+SUMIFS(Regiones[Contestadas],Regiones[Fecha],Tabla54[[#This Row],[Fecha]],Regiones[Intervalo],Tabla54[[#This Row],[Intervalo]],Regiones[Skill],'BUPA Seguros'!$L$3)</f>
        <v>0</v>
      </c>
      <c r="F1149" s="20">
        <v>0</v>
      </c>
      <c r="G1149" s="19">
        <f>IFERROR(SUMIFS(Regiones[TMO],Regiones[Fecha],Tabla54[[#This Row],[Fecha]],Regiones[Intervalo],Tabla54[[#This Row],[Intervalo]],Regiones[Skill],'BUPA Seguros'!$L$3)/Tabla54[[#This Row],[Atendidas]],0)</f>
        <v>0</v>
      </c>
      <c r="H11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49" s="21">
        <f>IFERROR(Tabla54[[#This Row],[Atendidas]]/Tabla54[[#This Row],[Recibidas]],0)</f>
        <v>0</v>
      </c>
    </row>
    <row r="1150" spans="2:9" x14ac:dyDescent="0.3">
      <c r="B1150" s="27">
        <f t="shared" si="51"/>
        <v>46227</v>
      </c>
      <c r="C1150" s="18">
        <v>0.83333333333333304</v>
      </c>
      <c r="D1150" s="19">
        <f>+SUMIFS(Regiones[Ofrecidas],Regiones[Fecha],Tabla54[[#This Row],[Fecha]],Regiones[Intervalo],Tabla54[[#This Row],[Intervalo]],Regiones[Skill],'BUPA Seguros'!$L$3)</f>
        <v>0</v>
      </c>
      <c r="E1150" s="19">
        <f>+SUMIFS(Regiones[Contestadas],Regiones[Fecha],Tabla54[[#This Row],[Fecha]],Regiones[Intervalo],Tabla54[[#This Row],[Intervalo]],Regiones[Skill],'BUPA Seguros'!$L$3)</f>
        <v>0</v>
      </c>
      <c r="F1150" s="20">
        <v>0</v>
      </c>
      <c r="G1150" s="19">
        <f>IFERROR(SUMIFS(Regiones[TMO],Regiones[Fecha],Tabla54[[#This Row],[Fecha]],Regiones[Intervalo],Tabla54[[#This Row],[Intervalo]],Regiones[Skill],'BUPA Seguros'!$L$3)/Tabla54[[#This Row],[Atendidas]],0)</f>
        <v>0</v>
      </c>
      <c r="H11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0" s="21">
        <f>IFERROR(Tabla54[[#This Row],[Atendidas]]/Tabla54[[#This Row],[Recibidas]],0)</f>
        <v>0</v>
      </c>
    </row>
    <row r="1151" spans="2:9" x14ac:dyDescent="0.3">
      <c r="B1151" s="25">
        <f t="shared" si="51"/>
        <v>46227</v>
      </c>
      <c r="C1151" s="26">
        <v>0.85416666666666696</v>
      </c>
      <c r="D1151" s="19">
        <f>+SUMIFS(Regiones[Ofrecidas],Regiones[Fecha],Tabla54[[#This Row],[Fecha]],Regiones[Intervalo],Tabla54[[#This Row],[Intervalo]],Regiones[Skill],'BUPA Seguros'!$L$3)</f>
        <v>0</v>
      </c>
      <c r="E1151" s="19">
        <f>+SUMIFS(Regiones[Contestadas],Regiones[Fecha],Tabla54[[#This Row],[Fecha]],Regiones[Intervalo],Tabla54[[#This Row],[Intervalo]],Regiones[Skill],'BUPA Seguros'!$L$3)</f>
        <v>0</v>
      </c>
      <c r="F1151" s="20">
        <v>0</v>
      </c>
      <c r="G1151" s="19">
        <f>IFERROR(SUMIFS(Regiones[TMO],Regiones[Fecha],Tabla54[[#This Row],[Fecha]],Regiones[Intervalo],Tabla54[[#This Row],[Intervalo]],Regiones[Skill],'BUPA Seguros'!$L$3)/Tabla54[[#This Row],[Atendidas]],0)</f>
        <v>0</v>
      </c>
      <c r="H11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1" s="21">
        <f>IFERROR(Tabla54[[#This Row],[Atendidas]]/Tabla54[[#This Row],[Recibidas]],0)</f>
        <v>0</v>
      </c>
    </row>
    <row r="1152" spans="2:9" x14ac:dyDescent="0.3">
      <c r="B1152" s="27">
        <f t="shared" si="51"/>
        <v>46227</v>
      </c>
      <c r="C1152" s="18">
        <v>0.875</v>
      </c>
      <c r="D1152" s="19">
        <f>+SUMIFS(Regiones[Ofrecidas],Regiones[Fecha],Tabla54[[#This Row],[Fecha]],Regiones[Intervalo],Tabla54[[#This Row],[Intervalo]],Regiones[Skill],'BUPA Seguros'!$L$3)</f>
        <v>0</v>
      </c>
      <c r="E1152" s="19">
        <f>+SUMIFS(Regiones[Contestadas],Regiones[Fecha],Tabla54[[#This Row],[Fecha]],Regiones[Intervalo],Tabla54[[#This Row],[Intervalo]],Regiones[Skill],'BUPA Seguros'!$L$3)</f>
        <v>0</v>
      </c>
      <c r="F1152" s="20">
        <v>0</v>
      </c>
      <c r="G1152" s="19">
        <f>IFERROR(SUMIFS(Regiones[TMO],Regiones[Fecha],Tabla54[[#This Row],[Fecha]],Regiones[Intervalo],Tabla54[[#This Row],[Intervalo]],Regiones[Skill],'BUPA Seguros'!$L$3)/Tabla54[[#This Row],[Atendidas]],0)</f>
        <v>0</v>
      </c>
      <c r="H11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2" s="21">
        <f>IFERROR(Tabla54[[#This Row],[Atendidas]]/Tabla54[[#This Row],[Recibidas]],0)</f>
        <v>0</v>
      </c>
    </row>
    <row r="1153" spans="2:9" x14ac:dyDescent="0.3">
      <c r="B1153" s="25">
        <f t="shared" si="51"/>
        <v>46227</v>
      </c>
      <c r="C1153" s="26">
        <v>0.89583333333333304</v>
      </c>
      <c r="D1153" s="19">
        <f>+SUMIFS(Regiones[Ofrecidas],Regiones[Fecha],Tabla54[[#This Row],[Fecha]],Regiones[Intervalo],Tabla54[[#This Row],[Intervalo]],Regiones[Skill],'BUPA Seguros'!$L$3)</f>
        <v>0</v>
      </c>
      <c r="E1153" s="19">
        <f>+SUMIFS(Regiones[Contestadas],Regiones[Fecha],Tabla54[[#This Row],[Fecha]],Regiones[Intervalo],Tabla54[[#This Row],[Intervalo]],Regiones[Skill],'BUPA Seguros'!$L$3)</f>
        <v>0</v>
      </c>
      <c r="F1153" s="20">
        <v>0</v>
      </c>
      <c r="G1153" s="19">
        <f>IFERROR(SUMIFS(Regiones[TMO],Regiones[Fecha],Tabla54[[#This Row],[Fecha]],Regiones[Intervalo],Tabla54[[#This Row],[Intervalo]],Regiones[Skill],'BUPA Seguros'!$L$3)/Tabla54[[#This Row],[Atendidas]],0)</f>
        <v>0</v>
      </c>
      <c r="H11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3" s="21">
        <f>IFERROR(Tabla54[[#This Row],[Atendidas]]/Tabla54[[#This Row],[Recibidas]],0)</f>
        <v>0</v>
      </c>
    </row>
    <row r="1154" spans="2:9" x14ac:dyDescent="0.3">
      <c r="B1154" s="27">
        <f t="shared" si="51"/>
        <v>46227</v>
      </c>
      <c r="C1154" s="18">
        <v>0.91666666666666696</v>
      </c>
      <c r="D1154" s="19">
        <f>+SUMIFS(Regiones[Ofrecidas],Regiones[Fecha],Tabla54[[#This Row],[Fecha]],Regiones[Intervalo],Tabla54[[#This Row],[Intervalo]],Regiones[Skill],'BUPA Seguros'!$L$3)</f>
        <v>0</v>
      </c>
      <c r="E1154" s="19">
        <f>+SUMIFS(Regiones[Contestadas],Regiones[Fecha],Tabla54[[#This Row],[Fecha]],Regiones[Intervalo],Tabla54[[#This Row],[Intervalo]],Regiones[Skill],'BUPA Seguros'!$L$3)</f>
        <v>0</v>
      </c>
      <c r="F1154" s="20">
        <v>0</v>
      </c>
      <c r="G1154" s="19">
        <f>IFERROR(SUMIFS(Regiones[TMO],Regiones[Fecha],Tabla54[[#This Row],[Fecha]],Regiones[Intervalo],Tabla54[[#This Row],[Intervalo]],Regiones[Skill],'BUPA Seguros'!$L$3)/Tabla54[[#This Row],[Atendidas]],0)</f>
        <v>0</v>
      </c>
      <c r="H11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4" s="21">
        <f>IFERROR(Tabla54[[#This Row],[Atendidas]]/Tabla54[[#This Row],[Recibidas]],0)</f>
        <v>0</v>
      </c>
    </row>
    <row r="1155" spans="2:9" x14ac:dyDescent="0.3">
      <c r="B1155" s="25">
        <f t="shared" si="51"/>
        <v>46227</v>
      </c>
      <c r="C1155" s="26">
        <v>0.9375</v>
      </c>
      <c r="D1155" s="19">
        <f>+SUMIFS(Regiones[Ofrecidas],Regiones[Fecha],Tabla54[[#This Row],[Fecha]],Regiones[Intervalo],Tabla54[[#This Row],[Intervalo]],Regiones[Skill],'BUPA Seguros'!$L$3)</f>
        <v>0</v>
      </c>
      <c r="E1155" s="19">
        <f>+SUMIFS(Regiones[Contestadas],Regiones[Fecha],Tabla54[[#This Row],[Fecha]],Regiones[Intervalo],Tabla54[[#This Row],[Intervalo]],Regiones[Skill],'BUPA Seguros'!$L$3)</f>
        <v>0</v>
      </c>
      <c r="F1155" s="20">
        <v>0</v>
      </c>
      <c r="G1155" s="19">
        <f>IFERROR(SUMIFS(Regiones[TMO],Regiones[Fecha],Tabla54[[#This Row],[Fecha]],Regiones[Intervalo],Tabla54[[#This Row],[Intervalo]],Regiones[Skill],'BUPA Seguros'!$L$3)/Tabla54[[#This Row],[Atendidas]],0)</f>
        <v>0</v>
      </c>
      <c r="H11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5" s="21">
        <f>IFERROR(Tabla54[[#This Row],[Atendidas]]/Tabla54[[#This Row],[Recibidas]],0)</f>
        <v>0</v>
      </c>
    </row>
    <row r="1156" spans="2:9" x14ac:dyDescent="0.3">
      <c r="B1156" s="27">
        <f t="shared" si="51"/>
        <v>46227</v>
      </c>
      <c r="C1156" s="18">
        <v>0.95833333333333304</v>
      </c>
      <c r="D1156" s="19">
        <f>+SUMIFS(Regiones[Ofrecidas],Regiones[Fecha],Tabla54[[#This Row],[Fecha]],Regiones[Intervalo],Tabla54[[#This Row],[Intervalo]],Regiones[Skill],'BUPA Seguros'!$L$3)</f>
        <v>0</v>
      </c>
      <c r="E1156" s="19">
        <f>+SUMIFS(Regiones[Contestadas],Regiones[Fecha],Tabla54[[#This Row],[Fecha]],Regiones[Intervalo],Tabla54[[#This Row],[Intervalo]],Regiones[Skill],'BUPA Seguros'!$L$3)</f>
        <v>0</v>
      </c>
      <c r="F1156" s="20">
        <v>0</v>
      </c>
      <c r="G1156" s="19">
        <f>IFERROR(SUMIFS(Regiones[TMO],Regiones[Fecha],Tabla54[[#This Row],[Fecha]],Regiones[Intervalo],Tabla54[[#This Row],[Intervalo]],Regiones[Skill],'BUPA Seguros'!$L$3)/Tabla54[[#This Row],[Atendidas]],0)</f>
        <v>0</v>
      </c>
      <c r="H11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6" s="21">
        <f>IFERROR(Tabla54[[#This Row],[Atendidas]]/Tabla54[[#This Row],[Recibidas]],0)</f>
        <v>0</v>
      </c>
    </row>
    <row r="1157" spans="2:9" x14ac:dyDescent="0.3">
      <c r="B1157" s="25">
        <f t="shared" si="51"/>
        <v>46227</v>
      </c>
      <c r="C1157" s="26">
        <v>0.97916666666666696</v>
      </c>
      <c r="D1157" s="19">
        <f>+SUMIFS(Regiones[Ofrecidas],Regiones[Fecha],Tabla54[[#This Row],[Fecha]],Regiones[Intervalo],Tabla54[[#This Row],[Intervalo]],Regiones[Skill],'BUPA Seguros'!$L$3)</f>
        <v>0</v>
      </c>
      <c r="E1157" s="19">
        <f>+SUMIFS(Regiones[Contestadas],Regiones[Fecha],Tabla54[[#This Row],[Fecha]],Regiones[Intervalo],Tabla54[[#This Row],[Intervalo]],Regiones[Skill],'BUPA Seguros'!$L$3)</f>
        <v>0</v>
      </c>
      <c r="F1157" s="20">
        <v>0</v>
      </c>
      <c r="G1157" s="19">
        <f>IFERROR(SUMIFS(Regiones[TMO],Regiones[Fecha],Tabla54[[#This Row],[Fecha]],Regiones[Intervalo],Tabla54[[#This Row],[Intervalo]],Regiones[Skill],'BUPA Seguros'!$L$3)/Tabla54[[#This Row],[Atendidas]],0)</f>
        <v>0</v>
      </c>
      <c r="H11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7" s="21">
        <f>IFERROR(Tabla54[[#This Row],[Atendidas]]/Tabla54[[#This Row],[Recibidas]],0)</f>
        <v>0</v>
      </c>
    </row>
    <row r="1158" spans="2:9" x14ac:dyDescent="0.3">
      <c r="B1158" s="27">
        <f t="shared" ref="B1158" si="52">+B1157+1</f>
        <v>46228</v>
      </c>
      <c r="C1158" s="18">
        <v>0</v>
      </c>
      <c r="D1158" s="19">
        <f>+SUMIFS(Regiones[Ofrecidas],Regiones[Fecha],Tabla54[[#This Row],[Fecha]],Regiones[Intervalo],Tabla54[[#This Row],[Intervalo]],Regiones[Skill],'BUPA Seguros'!$L$3)</f>
        <v>0</v>
      </c>
      <c r="E1158" s="19">
        <f>+SUMIFS(Regiones[Contestadas],Regiones[Fecha],Tabla54[[#This Row],[Fecha]],Regiones[Intervalo],Tabla54[[#This Row],[Intervalo]],Regiones[Skill],'BUPA Seguros'!$L$3)</f>
        <v>0</v>
      </c>
      <c r="F1158" s="20">
        <v>0</v>
      </c>
      <c r="G1158" s="19">
        <f>IFERROR(SUMIFS(Regiones[TMO],Regiones[Fecha],Tabla54[[#This Row],[Fecha]],Regiones[Intervalo],Tabla54[[#This Row],[Intervalo]],Regiones[Skill],'BUPA Seguros'!$L$3)/Tabla54[[#This Row],[Atendidas]],0)</f>
        <v>0</v>
      </c>
      <c r="H11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8" s="21">
        <f>IFERROR(Tabla54[[#This Row],[Atendidas]]/Tabla54[[#This Row],[Recibidas]],0)</f>
        <v>0</v>
      </c>
    </row>
    <row r="1159" spans="2:9" x14ac:dyDescent="0.3">
      <c r="B1159" s="25">
        <f t="shared" ref="B1159" si="53">+B1158</f>
        <v>46228</v>
      </c>
      <c r="C1159" s="26">
        <v>2.0833333333333332E-2</v>
      </c>
      <c r="D1159" s="19">
        <f>+SUMIFS(Regiones[Ofrecidas],Regiones[Fecha],Tabla54[[#This Row],[Fecha]],Regiones[Intervalo],Tabla54[[#This Row],[Intervalo]],Regiones[Skill],'BUPA Seguros'!$L$3)</f>
        <v>0</v>
      </c>
      <c r="E1159" s="19">
        <f>+SUMIFS(Regiones[Contestadas],Regiones[Fecha],Tabla54[[#This Row],[Fecha]],Regiones[Intervalo],Tabla54[[#This Row],[Intervalo]],Regiones[Skill],'BUPA Seguros'!$L$3)</f>
        <v>0</v>
      </c>
      <c r="F1159" s="20">
        <v>0</v>
      </c>
      <c r="G1159" s="19">
        <f>IFERROR(SUMIFS(Regiones[TMO],Regiones[Fecha],Tabla54[[#This Row],[Fecha]],Regiones[Intervalo],Tabla54[[#This Row],[Intervalo]],Regiones[Skill],'BUPA Seguros'!$L$3)/Tabla54[[#This Row],[Atendidas]],0)</f>
        <v>0</v>
      </c>
      <c r="H11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59" s="21">
        <f>IFERROR(Tabla54[[#This Row],[Atendidas]]/Tabla54[[#This Row],[Recibidas]],0)</f>
        <v>0</v>
      </c>
    </row>
    <row r="1160" spans="2:9" x14ac:dyDescent="0.3">
      <c r="B1160" s="27">
        <f t="shared" si="51"/>
        <v>46228</v>
      </c>
      <c r="C1160" s="18">
        <v>4.1666666666666699E-2</v>
      </c>
      <c r="D1160" s="19">
        <f>+SUMIFS(Regiones[Ofrecidas],Regiones[Fecha],Tabla54[[#This Row],[Fecha]],Regiones[Intervalo],Tabla54[[#This Row],[Intervalo]],Regiones[Skill],'BUPA Seguros'!$L$3)</f>
        <v>0</v>
      </c>
      <c r="E1160" s="19">
        <f>+SUMIFS(Regiones[Contestadas],Regiones[Fecha],Tabla54[[#This Row],[Fecha]],Regiones[Intervalo],Tabla54[[#This Row],[Intervalo]],Regiones[Skill],'BUPA Seguros'!$L$3)</f>
        <v>0</v>
      </c>
      <c r="F1160" s="20">
        <v>0</v>
      </c>
      <c r="G1160" s="19">
        <f>IFERROR(SUMIFS(Regiones[TMO],Regiones[Fecha],Tabla54[[#This Row],[Fecha]],Regiones[Intervalo],Tabla54[[#This Row],[Intervalo]],Regiones[Skill],'BUPA Seguros'!$L$3)/Tabla54[[#This Row],[Atendidas]],0)</f>
        <v>0</v>
      </c>
      <c r="H11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0" s="21">
        <f>IFERROR(Tabla54[[#This Row],[Atendidas]]/Tabla54[[#This Row],[Recibidas]],0)</f>
        <v>0</v>
      </c>
    </row>
    <row r="1161" spans="2:9" x14ac:dyDescent="0.3">
      <c r="B1161" s="25">
        <f t="shared" si="51"/>
        <v>46228</v>
      </c>
      <c r="C1161" s="26">
        <v>6.25E-2</v>
      </c>
      <c r="D1161" s="19">
        <f>+SUMIFS(Regiones[Ofrecidas],Regiones[Fecha],Tabla54[[#This Row],[Fecha]],Regiones[Intervalo],Tabla54[[#This Row],[Intervalo]],Regiones[Skill],'BUPA Seguros'!$L$3)</f>
        <v>0</v>
      </c>
      <c r="E1161" s="19">
        <f>+SUMIFS(Regiones[Contestadas],Regiones[Fecha],Tabla54[[#This Row],[Fecha]],Regiones[Intervalo],Tabla54[[#This Row],[Intervalo]],Regiones[Skill],'BUPA Seguros'!$L$3)</f>
        <v>0</v>
      </c>
      <c r="F1161" s="20">
        <v>0</v>
      </c>
      <c r="G1161" s="19">
        <f>IFERROR(SUMIFS(Regiones[TMO],Regiones[Fecha],Tabla54[[#This Row],[Fecha]],Regiones[Intervalo],Tabla54[[#This Row],[Intervalo]],Regiones[Skill],'BUPA Seguros'!$L$3)/Tabla54[[#This Row],[Atendidas]],0)</f>
        <v>0</v>
      </c>
      <c r="H11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1" s="21">
        <f>IFERROR(Tabla54[[#This Row],[Atendidas]]/Tabla54[[#This Row],[Recibidas]],0)</f>
        <v>0</v>
      </c>
    </row>
    <row r="1162" spans="2:9" x14ac:dyDescent="0.3">
      <c r="B1162" s="27">
        <f t="shared" si="51"/>
        <v>46228</v>
      </c>
      <c r="C1162" s="18">
        <v>8.3333333333333301E-2</v>
      </c>
      <c r="D1162" s="19">
        <f>+SUMIFS(Regiones[Ofrecidas],Regiones[Fecha],Tabla54[[#This Row],[Fecha]],Regiones[Intervalo],Tabla54[[#This Row],[Intervalo]],Regiones[Skill],'BUPA Seguros'!$L$3)</f>
        <v>0</v>
      </c>
      <c r="E1162" s="19">
        <f>+SUMIFS(Regiones[Contestadas],Regiones[Fecha],Tabla54[[#This Row],[Fecha]],Regiones[Intervalo],Tabla54[[#This Row],[Intervalo]],Regiones[Skill],'BUPA Seguros'!$L$3)</f>
        <v>0</v>
      </c>
      <c r="F1162" s="20">
        <v>0</v>
      </c>
      <c r="G1162" s="19">
        <f>IFERROR(SUMIFS(Regiones[TMO],Regiones[Fecha],Tabla54[[#This Row],[Fecha]],Regiones[Intervalo],Tabla54[[#This Row],[Intervalo]],Regiones[Skill],'BUPA Seguros'!$L$3)/Tabla54[[#This Row],[Atendidas]],0)</f>
        <v>0</v>
      </c>
      <c r="H11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2" s="21">
        <f>IFERROR(Tabla54[[#This Row],[Atendidas]]/Tabla54[[#This Row],[Recibidas]],0)</f>
        <v>0</v>
      </c>
    </row>
    <row r="1163" spans="2:9" x14ac:dyDescent="0.3">
      <c r="B1163" s="25">
        <f t="shared" si="51"/>
        <v>46228</v>
      </c>
      <c r="C1163" s="26">
        <v>0.104166666666667</v>
      </c>
      <c r="D1163" s="19">
        <f>+SUMIFS(Regiones[Ofrecidas],Regiones[Fecha],Tabla54[[#This Row],[Fecha]],Regiones[Intervalo],Tabla54[[#This Row],[Intervalo]],Regiones[Skill],'BUPA Seguros'!$L$3)</f>
        <v>0</v>
      </c>
      <c r="E1163" s="19">
        <f>+SUMIFS(Regiones[Contestadas],Regiones[Fecha],Tabla54[[#This Row],[Fecha]],Regiones[Intervalo],Tabla54[[#This Row],[Intervalo]],Regiones[Skill],'BUPA Seguros'!$L$3)</f>
        <v>0</v>
      </c>
      <c r="F1163" s="20">
        <v>0</v>
      </c>
      <c r="G1163" s="19">
        <f>IFERROR(SUMIFS(Regiones[TMO],Regiones[Fecha],Tabla54[[#This Row],[Fecha]],Regiones[Intervalo],Tabla54[[#This Row],[Intervalo]],Regiones[Skill],'BUPA Seguros'!$L$3)/Tabla54[[#This Row],[Atendidas]],0)</f>
        <v>0</v>
      </c>
      <c r="H11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3" s="21">
        <f>IFERROR(Tabla54[[#This Row],[Atendidas]]/Tabla54[[#This Row],[Recibidas]],0)</f>
        <v>0</v>
      </c>
    </row>
    <row r="1164" spans="2:9" x14ac:dyDescent="0.3">
      <c r="B1164" s="27">
        <f t="shared" si="51"/>
        <v>46228</v>
      </c>
      <c r="C1164" s="18">
        <v>0.125</v>
      </c>
      <c r="D1164" s="19">
        <f>+SUMIFS(Regiones[Ofrecidas],Regiones[Fecha],Tabla54[[#This Row],[Fecha]],Regiones[Intervalo],Tabla54[[#This Row],[Intervalo]],Regiones[Skill],'BUPA Seguros'!$L$3)</f>
        <v>0</v>
      </c>
      <c r="E1164" s="19">
        <f>+SUMIFS(Regiones[Contestadas],Regiones[Fecha],Tabla54[[#This Row],[Fecha]],Regiones[Intervalo],Tabla54[[#This Row],[Intervalo]],Regiones[Skill],'BUPA Seguros'!$L$3)</f>
        <v>0</v>
      </c>
      <c r="F1164" s="20">
        <v>0</v>
      </c>
      <c r="G1164" s="19">
        <f>IFERROR(SUMIFS(Regiones[TMO],Regiones[Fecha],Tabla54[[#This Row],[Fecha]],Regiones[Intervalo],Tabla54[[#This Row],[Intervalo]],Regiones[Skill],'BUPA Seguros'!$L$3)/Tabla54[[#This Row],[Atendidas]],0)</f>
        <v>0</v>
      </c>
      <c r="H11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4" s="21">
        <f>IFERROR(Tabla54[[#This Row],[Atendidas]]/Tabla54[[#This Row],[Recibidas]],0)</f>
        <v>0</v>
      </c>
    </row>
    <row r="1165" spans="2:9" x14ac:dyDescent="0.3">
      <c r="B1165" s="25">
        <f t="shared" si="51"/>
        <v>46228</v>
      </c>
      <c r="C1165" s="26">
        <v>0.14583333333333301</v>
      </c>
      <c r="D1165" s="19">
        <f>+SUMIFS(Regiones[Ofrecidas],Regiones[Fecha],Tabla54[[#This Row],[Fecha]],Regiones[Intervalo],Tabla54[[#This Row],[Intervalo]],Regiones[Skill],'BUPA Seguros'!$L$3)</f>
        <v>0</v>
      </c>
      <c r="E1165" s="19">
        <f>+SUMIFS(Regiones[Contestadas],Regiones[Fecha],Tabla54[[#This Row],[Fecha]],Regiones[Intervalo],Tabla54[[#This Row],[Intervalo]],Regiones[Skill],'BUPA Seguros'!$L$3)</f>
        <v>0</v>
      </c>
      <c r="F1165" s="20">
        <v>0</v>
      </c>
      <c r="G1165" s="19">
        <f>IFERROR(SUMIFS(Regiones[TMO],Regiones[Fecha],Tabla54[[#This Row],[Fecha]],Regiones[Intervalo],Tabla54[[#This Row],[Intervalo]],Regiones[Skill],'BUPA Seguros'!$L$3)/Tabla54[[#This Row],[Atendidas]],0)</f>
        <v>0</v>
      </c>
      <c r="H11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5" s="21">
        <f>IFERROR(Tabla54[[#This Row],[Atendidas]]/Tabla54[[#This Row],[Recibidas]],0)</f>
        <v>0</v>
      </c>
    </row>
    <row r="1166" spans="2:9" x14ac:dyDescent="0.3">
      <c r="B1166" s="27">
        <f t="shared" si="51"/>
        <v>46228</v>
      </c>
      <c r="C1166" s="18">
        <v>0.16666666666666699</v>
      </c>
      <c r="D1166" s="19">
        <f>+SUMIFS(Regiones[Ofrecidas],Regiones[Fecha],Tabla54[[#This Row],[Fecha]],Regiones[Intervalo],Tabla54[[#This Row],[Intervalo]],Regiones[Skill],'BUPA Seguros'!$L$3)</f>
        <v>0</v>
      </c>
      <c r="E1166" s="19">
        <f>+SUMIFS(Regiones[Contestadas],Regiones[Fecha],Tabla54[[#This Row],[Fecha]],Regiones[Intervalo],Tabla54[[#This Row],[Intervalo]],Regiones[Skill],'BUPA Seguros'!$L$3)</f>
        <v>0</v>
      </c>
      <c r="F1166" s="20">
        <v>0</v>
      </c>
      <c r="G1166" s="19">
        <f>IFERROR(SUMIFS(Regiones[TMO],Regiones[Fecha],Tabla54[[#This Row],[Fecha]],Regiones[Intervalo],Tabla54[[#This Row],[Intervalo]],Regiones[Skill],'BUPA Seguros'!$L$3)/Tabla54[[#This Row],[Atendidas]],0)</f>
        <v>0</v>
      </c>
      <c r="H11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6" s="21">
        <f>IFERROR(Tabla54[[#This Row],[Atendidas]]/Tabla54[[#This Row],[Recibidas]],0)</f>
        <v>0</v>
      </c>
    </row>
    <row r="1167" spans="2:9" x14ac:dyDescent="0.3">
      <c r="B1167" s="25">
        <f t="shared" si="51"/>
        <v>46228</v>
      </c>
      <c r="C1167" s="26">
        <v>0.1875</v>
      </c>
      <c r="D1167" s="19">
        <f>+SUMIFS(Regiones[Ofrecidas],Regiones[Fecha],Tabla54[[#This Row],[Fecha]],Regiones[Intervalo],Tabla54[[#This Row],[Intervalo]],Regiones[Skill],'BUPA Seguros'!$L$3)</f>
        <v>0</v>
      </c>
      <c r="E1167" s="19">
        <f>+SUMIFS(Regiones[Contestadas],Regiones[Fecha],Tabla54[[#This Row],[Fecha]],Regiones[Intervalo],Tabla54[[#This Row],[Intervalo]],Regiones[Skill],'BUPA Seguros'!$L$3)</f>
        <v>0</v>
      </c>
      <c r="F1167" s="20">
        <v>0</v>
      </c>
      <c r="G1167" s="19">
        <f>IFERROR(SUMIFS(Regiones[TMO],Regiones[Fecha],Tabla54[[#This Row],[Fecha]],Regiones[Intervalo],Tabla54[[#This Row],[Intervalo]],Regiones[Skill],'BUPA Seguros'!$L$3)/Tabla54[[#This Row],[Atendidas]],0)</f>
        <v>0</v>
      </c>
      <c r="H11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7" s="21">
        <f>IFERROR(Tabla54[[#This Row],[Atendidas]]/Tabla54[[#This Row],[Recibidas]],0)</f>
        <v>0</v>
      </c>
    </row>
    <row r="1168" spans="2:9" x14ac:dyDescent="0.3">
      <c r="B1168" s="27">
        <f t="shared" si="51"/>
        <v>46228</v>
      </c>
      <c r="C1168" s="18">
        <v>0.20833333333333301</v>
      </c>
      <c r="D1168" s="19">
        <f>+SUMIFS(Regiones[Ofrecidas],Regiones[Fecha],Tabla54[[#This Row],[Fecha]],Regiones[Intervalo],Tabla54[[#This Row],[Intervalo]],Regiones[Skill],'BUPA Seguros'!$L$3)</f>
        <v>0</v>
      </c>
      <c r="E1168" s="19">
        <f>+SUMIFS(Regiones[Contestadas],Regiones[Fecha],Tabla54[[#This Row],[Fecha]],Regiones[Intervalo],Tabla54[[#This Row],[Intervalo]],Regiones[Skill],'BUPA Seguros'!$L$3)</f>
        <v>0</v>
      </c>
      <c r="F1168" s="20">
        <v>0</v>
      </c>
      <c r="G1168" s="19">
        <f>IFERROR(SUMIFS(Regiones[TMO],Regiones[Fecha],Tabla54[[#This Row],[Fecha]],Regiones[Intervalo],Tabla54[[#This Row],[Intervalo]],Regiones[Skill],'BUPA Seguros'!$L$3)/Tabla54[[#This Row],[Atendidas]],0)</f>
        <v>0</v>
      </c>
      <c r="H11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8" s="21">
        <f>IFERROR(Tabla54[[#This Row],[Atendidas]]/Tabla54[[#This Row],[Recibidas]],0)</f>
        <v>0</v>
      </c>
    </row>
    <row r="1169" spans="2:9" x14ac:dyDescent="0.3">
      <c r="B1169" s="25">
        <f t="shared" si="51"/>
        <v>46228</v>
      </c>
      <c r="C1169" s="26">
        <v>0.22916666666666699</v>
      </c>
      <c r="D1169" s="19">
        <f>+SUMIFS(Regiones[Ofrecidas],Regiones[Fecha],Tabla54[[#This Row],[Fecha]],Regiones[Intervalo],Tabla54[[#This Row],[Intervalo]],Regiones[Skill],'BUPA Seguros'!$L$3)</f>
        <v>0</v>
      </c>
      <c r="E1169" s="19">
        <f>+SUMIFS(Regiones[Contestadas],Regiones[Fecha],Tabla54[[#This Row],[Fecha]],Regiones[Intervalo],Tabla54[[#This Row],[Intervalo]],Regiones[Skill],'BUPA Seguros'!$L$3)</f>
        <v>0</v>
      </c>
      <c r="F1169" s="20">
        <v>0</v>
      </c>
      <c r="G1169" s="19">
        <f>IFERROR(SUMIFS(Regiones[TMO],Regiones[Fecha],Tabla54[[#This Row],[Fecha]],Regiones[Intervalo],Tabla54[[#This Row],[Intervalo]],Regiones[Skill],'BUPA Seguros'!$L$3)/Tabla54[[#This Row],[Atendidas]],0)</f>
        <v>0</v>
      </c>
      <c r="H11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69" s="21">
        <f>IFERROR(Tabla54[[#This Row],[Atendidas]]/Tabla54[[#This Row],[Recibidas]],0)</f>
        <v>0</v>
      </c>
    </row>
    <row r="1170" spans="2:9" x14ac:dyDescent="0.3">
      <c r="B1170" s="27">
        <f t="shared" si="51"/>
        <v>46228</v>
      </c>
      <c r="C1170" s="18">
        <v>0.25</v>
      </c>
      <c r="D1170" s="19">
        <f>+SUMIFS(Regiones[Ofrecidas],Regiones[Fecha],Tabla54[[#This Row],[Fecha]],Regiones[Intervalo],Tabla54[[#This Row],[Intervalo]],Regiones[Skill],'BUPA Seguros'!$L$3)</f>
        <v>0</v>
      </c>
      <c r="E1170" s="19">
        <f>+SUMIFS(Regiones[Contestadas],Regiones[Fecha],Tabla54[[#This Row],[Fecha]],Regiones[Intervalo],Tabla54[[#This Row],[Intervalo]],Regiones[Skill],'BUPA Seguros'!$L$3)</f>
        <v>0</v>
      </c>
      <c r="F1170" s="20">
        <v>0</v>
      </c>
      <c r="G1170" s="19">
        <f>IFERROR(SUMIFS(Regiones[TMO],Regiones[Fecha],Tabla54[[#This Row],[Fecha]],Regiones[Intervalo],Tabla54[[#This Row],[Intervalo]],Regiones[Skill],'BUPA Seguros'!$L$3)/Tabla54[[#This Row],[Atendidas]],0)</f>
        <v>0</v>
      </c>
      <c r="H11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0" s="21">
        <f>IFERROR(Tabla54[[#This Row],[Atendidas]]/Tabla54[[#This Row],[Recibidas]],0)</f>
        <v>0</v>
      </c>
    </row>
    <row r="1171" spans="2:9" x14ac:dyDescent="0.3">
      <c r="B1171" s="25">
        <f t="shared" si="51"/>
        <v>46228</v>
      </c>
      <c r="C1171" s="26">
        <v>0.27083333333333298</v>
      </c>
      <c r="D1171" s="19">
        <f>+SUMIFS(Regiones[Ofrecidas],Regiones[Fecha],Tabla54[[#This Row],[Fecha]],Regiones[Intervalo],Tabla54[[#This Row],[Intervalo]],Regiones[Skill],'BUPA Seguros'!$L$3)</f>
        <v>0</v>
      </c>
      <c r="E1171" s="19">
        <f>+SUMIFS(Regiones[Contestadas],Regiones[Fecha],Tabla54[[#This Row],[Fecha]],Regiones[Intervalo],Tabla54[[#This Row],[Intervalo]],Regiones[Skill],'BUPA Seguros'!$L$3)</f>
        <v>0</v>
      </c>
      <c r="F1171" s="20">
        <v>0</v>
      </c>
      <c r="G1171" s="19">
        <f>IFERROR(SUMIFS(Regiones[TMO],Regiones[Fecha],Tabla54[[#This Row],[Fecha]],Regiones[Intervalo],Tabla54[[#This Row],[Intervalo]],Regiones[Skill],'BUPA Seguros'!$L$3)/Tabla54[[#This Row],[Atendidas]],0)</f>
        <v>0</v>
      </c>
      <c r="H11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1" s="21">
        <f>IFERROR(Tabla54[[#This Row],[Atendidas]]/Tabla54[[#This Row],[Recibidas]],0)</f>
        <v>0</v>
      </c>
    </row>
    <row r="1172" spans="2:9" x14ac:dyDescent="0.3">
      <c r="B1172" s="27">
        <f t="shared" si="51"/>
        <v>46228</v>
      </c>
      <c r="C1172" s="18">
        <v>0.29166666666666702</v>
      </c>
      <c r="D1172" s="19">
        <f>+SUMIFS(Regiones[Ofrecidas],Regiones[Fecha],Tabla54[[#This Row],[Fecha]],Regiones[Intervalo],Tabla54[[#This Row],[Intervalo]],Regiones[Skill],'BUPA Seguros'!$L$3)</f>
        <v>0</v>
      </c>
      <c r="E1172" s="19">
        <f>+SUMIFS(Regiones[Contestadas],Regiones[Fecha],Tabla54[[#This Row],[Fecha]],Regiones[Intervalo],Tabla54[[#This Row],[Intervalo]],Regiones[Skill],'BUPA Seguros'!$L$3)</f>
        <v>0</v>
      </c>
      <c r="F1172" s="20">
        <v>0</v>
      </c>
      <c r="G1172" s="19">
        <f>IFERROR(SUMIFS(Regiones[TMO],Regiones[Fecha],Tabla54[[#This Row],[Fecha]],Regiones[Intervalo],Tabla54[[#This Row],[Intervalo]],Regiones[Skill],'BUPA Seguros'!$L$3)/Tabla54[[#This Row],[Atendidas]],0)</f>
        <v>0</v>
      </c>
      <c r="H11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2" s="21">
        <f>IFERROR(Tabla54[[#This Row],[Atendidas]]/Tabla54[[#This Row],[Recibidas]],0)</f>
        <v>0</v>
      </c>
    </row>
    <row r="1173" spans="2:9" x14ac:dyDescent="0.3">
      <c r="B1173" s="25">
        <f t="shared" si="51"/>
        <v>46228</v>
      </c>
      <c r="C1173" s="26">
        <v>0.3125</v>
      </c>
      <c r="D1173" s="19">
        <f>+SUMIFS(Regiones[Ofrecidas],Regiones[Fecha],Tabla54[[#This Row],[Fecha]],Regiones[Intervalo],Tabla54[[#This Row],[Intervalo]],Regiones[Skill],'BUPA Seguros'!$L$3)</f>
        <v>0</v>
      </c>
      <c r="E1173" s="19">
        <f>+SUMIFS(Regiones[Contestadas],Regiones[Fecha],Tabla54[[#This Row],[Fecha]],Regiones[Intervalo],Tabla54[[#This Row],[Intervalo]],Regiones[Skill],'BUPA Seguros'!$L$3)</f>
        <v>0</v>
      </c>
      <c r="F1173" s="20">
        <v>0</v>
      </c>
      <c r="G1173" s="19">
        <f>IFERROR(SUMIFS(Regiones[TMO],Regiones[Fecha],Tabla54[[#This Row],[Fecha]],Regiones[Intervalo],Tabla54[[#This Row],[Intervalo]],Regiones[Skill],'BUPA Seguros'!$L$3)/Tabla54[[#This Row],[Atendidas]],0)</f>
        <v>0</v>
      </c>
      <c r="H11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3" s="21">
        <f>IFERROR(Tabla54[[#This Row],[Atendidas]]/Tabla54[[#This Row],[Recibidas]],0)</f>
        <v>0</v>
      </c>
    </row>
    <row r="1174" spans="2:9" x14ac:dyDescent="0.3">
      <c r="B1174" s="27">
        <f t="shared" si="51"/>
        <v>46228</v>
      </c>
      <c r="C1174" s="18">
        <v>0.33333333333333298</v>
      </c>
      <c r="D1174" s="19">
        <f>+SUMIFS(Regiones[Ofrecidas],Regiones[Fecha],Tabla54[[#This Row],[Fecha]],Regiones[Intervalo],Tabla54[[#This Row],[Intervalo]],Regiones[Skill],'BUPA Seguros'!$L$3)</f>
        <v>0</v>
      </c>
      <c r="E1174" s="19">
        <f>+SUMIFS(Regiones[Contestadas],Regiones[Fecha],Tabla54[[#This Row],[Fecha]],Regiones[Intervalo],Tabla54[[#This Row],[Intervalo]],Regiones[Skill],'BUPA Seguros'!$L$3)</f>
        <v>0</v>
      </c>
      <c r="F1174" s="20">
        <v>0</v>
      </c>
      <c r="G1174" s="19">
        <f>IFERROR(SUMIFS(Regiones[TMO],Regiones[Fecha],Tabla54[[#This Row],[Fecha]],Regiones[Intervalo],Tabla54[[#This Row],[Intervalo]],Regiones[Skill],'BUPA Seguros'!$L$3)/Tabla54[[#This Row],[Atendidas]],0)</f>
        <v>0</v>
      </c>
      <c r="H11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4" s="21">
        <f>IFERROR(Tabla54[[#This Row],[Atendidas]]/Tabla54[[#This Row],[Recibidas]],0)</f>
        <v>0</v>
      </c>
    </row>
    <row r="1175" spans="2:9" x14ac:dyDescent="0.3">
      <c r="B1175" s="25">
        <f t="shared" si="51"/>
        <v>46228</v>
      </c>
      <c r="C1175" s="26">
        <v>0.35416666666666702</v>
      </c>
      <c r="D1175" s="19">
        <f>+SUMIFS(Regiones[Ofrecidas],Regiones[Fecha],Tabla54[[#This Row],[Fecha]],Regiones[Intervalo],Tabla54[[#This Row],[Intervalo]],Regiones[Skill],'BUPA Seguros'!$L$3)</f>
        <v>0</v>
      </c>
      <c r="E1175" s="19">
        <f>+SUMIFS(Regiones[Contestadas],Regiones[Fecha],Tabla54[[#This Row],[Fecha]],Regiones[Intervalo],Tabla54[[#This Row],[Intervalo]],Regiones[Skill],'BUPA Seguros'!$L$3)</f>
        <v>0</v>
      </c>
      <c r="F1175" s="20">
        <v>0</v>
      </c>
      <c r="G1175" s="19">
        <f>IFERROR(SUMIFS(Regiones[TMO],Regiones[Fecha],Tabla54[[#This Row],[Fecha]],Regiones[Intervalo],Tabla54[[#This Row],[Intervalo]],Regiones[Skill],'BUPA Seguros'!$L$3)/Tabla54[[#This Row],[Atendidas]],0)</f>
        <v>0</v>
      </c>
      <c r="H11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5" s="21">
        <f>IFERROR(Tabla54[[#This Row],[Atendidas]]/Tabla54[[#This Row],[Recibidas]],0)</f>
        <v>0</v>
      </c>
    </row>
    <row r="1176" spans="2:9" x14ac:dyDescent="0.3">
      <c r="B1176" s="27">
        <f t="shared" si="51"/>
        <v>46228</v>
      </c>
      <c r="C1176" s="18">
        <v>0.375</v>
      </c>
      <c r="D1176" s="19">
        <f>+SUMIFS(Regiones[Ofrecidas],Regiones[Fecha],Tabla54[[#This Row],[Fecha]],Regiones[Intervalo],Tabla54[[#This Row],[Intervalo]],Regiones[Skill],'BUPA Seguros'!$L$3)</f>
        <v>0</v>
      </c>
      <c r="E1176" s="19">
        <f>+SUMIFS(Regiones[Contestadas],Regiones[Fecha],Tabla54[[#This Row],[Fecha]],Regiones[Intervalo],Tabla54[[#This Row],[Intervalo]],Regiones[Skill],'BUPA Seguros'!$L$3)</f>
        <v>0</v>
      </c>
      <c r="F1176" s="20">
        <v>0</v>
      </c>
      <c r="G1176" s="19">
        <f>IFERROR(SUMIFS(Regiones[TMO],Regiones[Fecha],Tabla54[[#This Row],[Fecha]],Regiones[Intervalo],Tabla54[[#This Row],[Intervalo]],Regiones[Skill],'BUPA Seguros'!$L$3)/Tabla54[[#This Row],[Atendidas]],0)</f>
        <v>0</v>
      </c>
      <c r="H11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6" s="21">
        <f>IFERROR(Tabla54[[#This Row],[Atendidas]]/Tabla54[[#This Row],[Recibidas]],0)</f>
        <v>0</v>
      </c>
    </row>
    <row r="1177" spans="2:9" x14ac:dyDescent="0.3">
      <c r="B1177" s="25">
        <f t="shared" si="51"/>
        <v>46228</v>
      </c>
      <c r="C1177" s="26">
        <v>0.39583333333333298</v>
      </c>
      <c r="D1177" s="19">
        <f>+SUMIFS(Regiones[Ofrecidas],Regiones[Fecha],Tabla54[[#This Row],[Fecha]],Regiones[Intervalo],Tabla54[[#This Row],[Intervalo]],Regiones[Skill],'BUPA Seguros'!$L$3)</f>
        <v>0</v>
      </c>
      <c r="E1177" s="19">
        <f>+SUMIFS(Regiones[Contestadas],Regiones[Fecha],Tabla54[[#This Row],[Fecha]],Regiones[Intervalo],Tabla54[[#This Row],[Intervalo]],Regiones[Skill],'BUPA Seguros'!$L$3)</f>
        <v>0</v>
      </c>
      <c r="F1177" s="20">
        <v>0</v>
      </c>
      <c r="G1177" s="19">
        <f>IFERROR(SUMIFS(Regiones[TMO],Regiones[Fecha],Tabla54[[#This Row],[Fecha]],Regiones[Intervalo],Tabla54[[#This Row],[Intervalo]],Regiones[Skill],'BUPA Seguros'!$L$3)/Tabla54[[#This Row],[Atendidas]],0)</f>
        <v>0</v>
      </c>
      <c r="H11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7" s="21">
        <f>IFERROR(Tabla54[[#This Row],[Atendidas]]/Tabla54[[#This Row],[Recibidas]],0)</f>
        <v>0</v>
      </c>
    </row>
    <row r="1178" spans="2:9" x14ac:dyDescent="0.3">
      <c r="B1178" s="27">
        <f t="shared" si="51"/>
        <v>46228</v>
      </c>
      <c r="C1178" s="18">
        <v>0.41666666666666702</v>
      </c>
      <c r="D1178" s="19">
        <f>+SUMIFS(Regiones[Ofrecidas],Regiones[Fecha],Tabla54[[#This Row],[Fecha]],Regiones[Intervalo],Tabla54[[#This Row],[Intervalo]],Regiones[Skill],'BUPA Seguros'!$L$3)</f>
        <v>0</v>
      </c>
      <c r="E1178" s="19">
        <f>+SUMIFS(Regiones[Contestadas],Regiones[Fecha],Tabla54[[#This Row],[Fecha]],Regiones[Intervalo],Tabla54[[#This Row],[Intervalo]],Regiones[Skill],'BUPA Seguros'!$L$3)</f>
        <v>0</v>
      </c>
      <c r="F1178" s="20">
        <v>0</v>
      </c>
      <c r="G1178" s="19">
        <f>IFERROR(SUMIFS(Regiones[TMO],Regiones[Fecha],Tabla54[[#This Row],[Fecha]],Regiones[Intervalo],Tabla54[[#This Row],[Intervalo]],Regiones[Skill],'BUPA Seguros'!$L$3)/Tabla54[[#This Row],[Atendidas]],0)</f>
        <v>0</v>
      </c>
      <c r="H11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8" s="21">
        <f>IFERROR(Tabla54[[#This Row],[Atendidas]]/Tabla54[[#This Row],[Recibidas]],0)</f>
        <v>0</v>
      </c>
    </row>
    <row r="1179" spans="2:9" x14ac:dyDescent="0.3">
      <c r="B1179" s="25">
        <f t="shared" si="51"/>
        <v>46228</v>
      </c>
      <c r="C1179" s="26">
        <v>0.4375</v>
      </c>
      <c r="D1179" s="19">
        <f>+SUMIFS(Regiones[Ofrecidas],Regiones[Fecha],Tabla54[[#This Row],[Fecha]],Regiones[Intervalo],Tabla54[[#This Row],[Intervalo]],Regiones[Skill],'BUPA Seguros'!$L$3)</f>
        <v>0</v>
      </c>
      <c r="E1179" s="19">
        <f>+SUMIFS(Regiones[Contestadas],Regiones[Fecha],Tabla54[[#This Row],[Fecha]],Regiones[Intervalo],Tabla54[[#This Row],[Intervalo]],Regiones[Skill],'BUPA Seguros'!$L$3)</f>
        <v>0</v>
      </c>
      <c r="F1179" s="20">
        <v>0</v>
      </c>
      <c r="G1179" s="19">
        <f>IFERROR(SUMIFS(Regiones[TMO],Regiones[Fecha],Tabla54[[#This Row],[Fecha]],Regiones[Intervalo],Tabla54[[#This Row],[Intervalo]],Regiones[Skill],'BUPA Seguros'!$L$3)/Tabla54[[#This Row],[Atendidas]],0)</f>
        <v>0</v>
      </c>
      <c r="H11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79" s="21">
        <f>IFERROR(Tabla54[[#This Row],[Atendidas]]/Tabla54[[#This Row],[Recibidas]],0)</f>
        <v>0</v>
      </c>
    </row>
    <row r="1180" spans="2:9" x14ac:dyDescent="0.3">
      <c r="B1180" s="27">
        <f t="shared" si="51"/>
        <v>46228</v>
      </c>
      <c r="C1180" s="18">
        <v>0.45833333333333298</v>
      </c>
      <c r="D1180" s="19">
        <f>+SUMIFS(Regiones[Ofrecidas],Regiones[Fecha],Tabla54[[#This Row],[Fecha]],Regiones[Intervalo],Tabla54[[#This Row],[Intervalo]],Regiones[Skill],'BUPA Seguros'!$L$3)</f>
        <v>0</v>
      </c>
      <c r="E1180" s="19">
        <f>+SUMIFS(Regiones[Contestadas],Regiones[Fecha],Tabla54[[#This Row],[Fecha]],Regiones[Intervalo],Tabla54[[#This Row],[Intervalo]],Regiones[Skill],'BUPA Seguros'!$L$3)</f>
        <v>0</v>
      </c>
      <c r="F1180" s="20">
        <v>0</v>
      </c>
      <c r="G1180" s="19">
        <f>IFERROR(SUMIFS(Regiones[TMO],Regiones[Fecha],Tabla54[[#This Row],[Fecha]],Regiones[Intervalo],Tabla54[[#This Row],[Intervalo]],Regiones[Skill],'BUPA Seguros'!$L$3)/Tabla54[[#This Row],[Atendidas]],0)</f>
        <v>0</v>
      </c>
      <c r="H11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0" s="21">
        <f>IFERROR(Tabla54[[#This Row],[Atendidas]]/Tabla54[[#This Row],[Recibidas]],0)</f>
        <v>0</v>
      </c>
    </row>
    <row r="1181" spans="2:9" x14ac:dyDescent="0.3">
      <c r="B1181" s="25">
        <f t="shared" si="51"/>
        <v>46228</v>
      </c>
      <c r="C1181" s="26">
        <v>0.47916666666666702</v>
      </c>
      <c r="D1181" s="19">
        <f>+SUMIFS(Regiones[Ofrecidas],Regiones[Fecha],Tabla54[[#This Row],[Fecha]],Regiones[Intervalo],Tabla54[[#This Row],[Intervalo]],Regiones[Skill],'BUPA Seguros'!$L$3)</f>
        <v>0</v>
      </c>
      <c r="E1181" s="19">
        <f>+SUMIFS(Regiones[Contestadas],Regiones[Fecha],Tabla54[[#This Row],[Fecha]],Regiones[Intervalo],Tabla54[[#This Row],[Intervalo]],Regiones[Skill],'BUPA Seguros'!$L$3)</f>
        <v>0</v>
      </c>
      <c r="F1181" s="20">
        <v>0</v>
      </c>
      <c r="G1181" s="19">
        <f>IFERROR(SUMIFS(Regiones[TMO],Regiones[Fecha],Tabla54[[#This Row],[Fecha]],Regiones[Intervalo],Tabla54[[#This Row],[Intervalo]],Regiones[Skill],'BUPA Seguros'!$L$3)/Tabla54[[#This Row],[Atendidas]],0)</f>
        <v>0</v>
      </c>
      <c r="H11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1" s="21">
        <f>IFERROR(Tabla54[[#This Row],[Atendidas]]/Tabla54[[#This Row],[Recibidas]],0)</f>
        <v>0</v>
      </c>
    </row>
    <row r="1182" spans="2:9" x14ac:dyDescent="0.3">
      <c r="B1182" s="27">
        <f t="shared" si="51"/>
        <v>46228</v>
      </c>
      <c r="C1182" s="18">
        <v>0.5</v>
      </c>
      <c r="D1182" s="19">
        <f>+SUMIFS(Regiones[Ofrecidas],Regiones[Fecha],Tabla54[[#This Row],[Fecha]],Regiones[Intervalo],Tabla54[[#This Row],[Intervalo]],Regiones[Skill],'BUPA Seguros'!$L$3)</f>
        <v>0</v>
      </c>
      <c r="E1182" s="19">
        <f>+SUMIFS(Regiones[Contestadas],Regiones[Fecha],Tabla54[[#This Row],[Fecha]],Regiones[Intervalo],Tabla54[[#This Row],[Intervalo]],Regiones[Skill],'BUPA Seguros'!$L$3)</f>
        <v>0</v>
      </c>
      <c r="F1182" s="20">
        <v>0</v>
      </c>
      <c r="G1182" s="19">
        <f>IFERROR(SUMIFS(Regiones[TMO],Regiones[Fecha],Tabla54[[#This Row],[Fecha]],Regiones[Intervalo],Tabla54[[#This Row],[Intervalo]],Regiones[Skill],'BUPA Seguros'!$L$3)/Tabla54[[#This Row],[Atendidas]],0)</f>
        <v>0</v>
      </c>
      <c r="H11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2" s="21">
        <f>IFERROR(Tabla54[[#This Row],[Atendidas]]/Tabla54[[#This Row],[Recibidas]],0)</f>
        <v>0</v>
      </c>
    </row>
    <row r="1183" spans="2:9" x14ac:dyDescent="0.3">
      <c r="B1183" s="25">
        <f t="shared" si="51"/>
        <v>46228</v>
      </c>
      <c r="C1183" s="26">
        <v>0.52083333333333304</v>
      </c>
      <c r="D1183" s="19">
        <f>+SUMIFS(Regiones[Ofrecidas],Regiones[Fecha],Tabla54[[#This Row],[Fecha]],Regiones[Intervalo],Tabla54[[#This Row],[Intervalo]],Regiones[Skill],'BUPA Seguros'!$L$3)</f>
        <v>0</v>
      </c>
      <c r="E1183" s="19">
        <f>+SUMIFS(Regiones[Contestadas],Regiones[Fecha],Tabla54[[#This Row],[Fecha]],Regiones[Intervalo],Tabla54[[#This Row],[Intervalo]],Regiones[Skill],'BUPA Seguros'!$L$3)</f>
        <v>0</v>
      </c>
      <c r="F1183" s="20">
        <v>0</v>
      </c>
      <c r="G1183" s="19">
        <f>IFERROR(SUMIFS(Regiones[TMO],Regiones[Fecha],Tabla54[[#This Row],[Fecha]],Regiones[Intervalo],Tabla54[[#This Row],[Intervalo]],Regiones[Skill],'BUPA Seguros'!$L$3)/Tabla54[[#This Row],[Atendidas]],0)</f>
        <v>0</v>
      </c>
      <c r="H11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3" s="21">
        <f>IFERROR(Tabla54[[#This Row],[Atendidas]]/Tabla54[[#This Row],[Recibidas]],0)</f>
        <v>0</v>
      </c>
    </row>
    <row r="1184" spans="2:9" x14ac:dyDescent="0.3">
      <c r="B1184" s="27">
        <f t="shared" si="51"/>
        <v>46228</v>
      </c>
      <c r="C1184" s="18">
        <v>0.54166666666666696</v>
      </c>
      <c r="D1184" s="19">
        <f>+SUMIFS(Regiones[Ofrecidas],Regiones[Fecha],Tabla54[[#This Row],[Fecha]],Regiones[Intervalo],Tabla54[[#This Row],[Intervalo]],Regiones[Skill],'BUPA Seguros'!$L$3)</f>
        <v>0</v>
      </c>
      <c r="E1184" s="19">
        <f>+SUMIFS(Regiones[Contestadas],Regiones[Fecha],Tabla54[[#This Row],[Fecha]],Regiones[Intervalo],Tabla54[[#This Row],[Intervalo]],Regiones[Skill],'BUPA Seguros'!$L$3)</f>
        <v>0</v>
      </c>
      <c r="F1184" s="20">
        <v>0</v>
      </c>
      <c r="G1184" s="19">
        <f>IFERROR(SUMIFS(Regiones[TMO],Regiones[Fecha],Tabla54[[#This Row],[Fecha]],Regiones[Intervalo],Tabla54[[#This Row],[Intervalo]],Regiones[Skill],'BUPA Seguros'!$L$3)/Tabla54[[#This Row],[Atendidas]],0)</f>
        <v>0</v>
      </c>
      <c r="H11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4" s="21">
        <f>IFERROR(Tabla54[[#This Row],[Atendidas]]/Tabla54[[#This Row],[Recibidas]],0)</f>
        <v>0</v>
      </c>
    </row>
    <row r="1185" spans="2:9" x14ac:dyDescent="0.3">
      <c r="B1185" s="25">
        <f t="shared" si="51"/>
        <v>46228</v>
      </c>
      <c r="C1185" s="26">
        <v>0.5625</v>
      </c>
      <c r="D1185" s="19">
        <f>+SUMIFS(Regiones[Ofrecidas],Regiones[Fecha],Tabla54[[#This Row],[Fecha]],Regiones[Intervalo],Tabla54[[#This Row],[Intervalo]],Regiones[Skill],'BUPA Seguros'!$L$3)</f>
        <v>0</v>
      </c>
      <c r="E1185" s="19">
        <f>+SUMIFS(Regiones[Contestadas],Regiones[Fecha],Tabla54[[#This Row],[Fecha]],Regiones[Intervalo],Tabla54[[#This Row],[Intervalo]],Regiones[Skill],'BUPA Seguros'!$L$3)</f>
        <v>0</v>
      </c>
      <c r="F1185" s="20">
        <v>0</v>
      </c>
      <c r="G1185" s="19">
        <f>IFERROR(SUMIFS(Regiones[TMO],Regiones[Fecha],Tabla54[[#This Row],[Fecha]],Regiones[Intervalo],Tabla54[[#This Row],[Intervalo]],Regiones[Skill],'BUPA Seguros'!$L$3)/Tabla54[[#This Row],[Atendidas]],0)</f>
        <v>0</v>
      </c>
      <c r="H11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5" s="21">
        <f>IFERROR(Tabla54[[#This Row],[Atendidas]]/Tabla54[[#This Row],[Recibidas]],0)</f>
        <v>0</v>
      </c>
    </row>
    <row r="1186" spans="2:9" x14ac:dyDescent="0.3">
      <c r="B1186" s="27">
        <f t="shared" si="51"/>
        <v>46228</v>
      </c>
      <c r="C1186" s="18">
        <v>0.58333333333333304</v>
      </c>
      <c r="D1186" s="19">
        <f>+SUMIFS(Regiones[Ofrecidas],Regiones[Fecha],Tabla54[[#This Row],[Fecha]],Regiones[Intervalo],Tabla54[[#This Row],[Intervalo]],Regiones[Skill],'BUPA Seguros'!$L$3)</f>
        <v>0</v>
      </c>
      <c r="E1186" s="19">
        <f>+SUMIFS(Regiones[Contestadas],Regiones[Fecha],Tabla54[[#This Row],[Fecha]],Regiones[Intervalo],Tabla54[[#This Row],[Intervalo]],Regiones[Skill],'BUPA Seguros'!$L$3)</f>
        <v>0</v>
      </c>
      <c r="F1186" s="20">
        <v>0</v>
      </c>
      <c r="G1186" s="19">
        <f>IFERROR(SUMIFS(Regiones[TMO],Regiones[Fecha],Tabla54[[#This Row],[Fecha]],Regiones[Intervalo],Tabla54[[#This Row],[Intervalo]],Regiones[Skill],'BUPA Seguros'!$L$3)/Tabla54[[#This Row],[Atendidas]],0)</f>
        <v>0</v>
      </c>
      <c r="H11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6" s="21">
        <f>IFERROR(Tabla54[[#This Row],[Atendidas]]/Tabla54[[#This Row],[Recibidas]],0)</f>
        <v>0</v>
      </c>
    </row>
    <row r="1187" spans="2:9" x14ac:dyDescent="0.3">
      <c r="B1187" s="25">
        <f t="shared" si="51"/>
        <v>46228</v>
      </c>
      <c r="C1187" s="26">
        <v>0.60416666666666696</v>
      </c>
      <c r="D1187" s="19">
        <f>+SUMIFS(Regiones[Ofrecidas],Regiones[Fecha],Tabla54[[#This Row],[Fecha]],Regiones[Intervalo],Tabla54[[#This Row],[Intervalo]],Regiones[Skill],'BUPA Seguros'!$L$3)</f>
        <v>0</v>
      </c>
      <c r="E1187" s="19">
        <f>+SUMIFS(Regiones[Contestadas],Regiones[Fecha],Tabla54[[#This Row],[Fecha]],Regiones[Intervalo],Tabla54[[#This Row],[Intervalo]],Regiones[Skill],'BUPA Seguros'!$L$3)</f>
        <v>0</v>
      </c>
      <c r="F1187" s="20">
        <v>0</v>
      </c>
      <c r="G1187" s="19">
        <f>IFERROR(SUMIFS(Regiones[TMO],Regiones[Fecha],Tabla54[[#This Row],[Fecha]],Regiones[Intervalo],Tabla54[[#This Row],[Intervalo]],Regiones[Skill],'BUPA Seguros'!$L$3)/Tabla54[[#This Row],[Atendidas]],0)</f>
        <v>0</v>
      </c>
      <c r="H11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7" s="21">
        <f>IFERROR(Tabla54[[#This Row],[Atendidas]]/Tabla54[[#This Row],[Recibidas]],0)</f>
        <v>0</v>
      </c>
    </row>
    <row r="1188" spans="2:9" x14ac:dyDescent="0.3">
      <c r="B1188" s="27">
        <f t="shared" si="51"/>
        <v>46228</v>
      </c>
      <c r="C1188" s="18">
        <v>0.625</v>
      </c>
      <c r="D1188" s="19">
        <f>+SUMIFS(Regiones[Ofrecidas],Regiones[Fecha],Tabla54[[#This Row],[Fecha]],Regiones[Intervalo],Tabla54[[#This Row],[Intervalo]],Regiones[Skill],'BUPA Seguros'!$L$3)</f>
        <v>0</v>
      </c>
      <c r="E1188" s="19">
        <f>+SUMIFS(Regiones[Contestadas],Regiones[Fecha],Tabla54[[#This Row],[Fecha]],Regiones[Intervalo],Tabla54[[#This Row],[Intervalo]],Regiones[Skill],'BUPA Seguros'!$L$3)</f>
        <v>0</v>
      </c>
      <c r="F1188" s="20">
        <v>0</v>
      </c>
      <c r="G1188" s="19">
        <f>IFERROR(SUMIFS(Regiones[TMO],Regiones[Fecha],Tabla54[[#This Row],[Fecha]],Regiones[Intervalo],Tabla54[[#This Row],[Intervalo]],Regiones[Skill],'BUPA Seguros'!$L$3)/Tabla54[[#This Row],[Atendidas]],0)</f>
        <v>0</v>
      </c>
      <c r="H11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8" s="21">
        <f>IFERROR(Tabla54[[#This Row],[Atendidas]]/Tabla54[[#This Row],[Recibidas]],0)</f>
        <v>0</v>
      </c>
    </row>
    <row r="1189" spans="2:9" x14ac:dyDescent="0.3">
      <c r="B1189" s="25">
        <f t="shared" si="51"/>
        <v>46228</v>
      </c>
      <c r="C1189" s="26">
        <v>0.64583333333333304</v>
      </c>
      <c r="D1189" s="19">
        <f>+SUMIFS(Regiones[Ofrecidas],Regiones[Fecha],Tabla54[[#This Row],[Fecha]],Regiones[Intervalo],Tabla54[[#This Row],[Intervalo]],Regiones[Skill],'BUPA Seguros'!$L$3)</f>
        <v>0</v>
      </c>
      <c r="E1189" s="19">
        <f>+SUMIFS(Regiones[Contestadas],Regiones[Fecha],Tabla54[[#This Row],[Fecha]],Regiones[Intervalo],Tabla54[[#This Row],[Intervalo]],Regiones[Skill],'BUPA Seguros'!$L$3)</f>
        <v>0</v>
      </c>
      <c r="F1189" s="20">
        <v>0</v>
      </c>
      <c r="G1189" s="19">
        <f>IFERROR(SUMIFS(Regiones[TMO],Regiones[Fecha],Tabla54[[#This Row],[Fecha]],Regiones[Intervalo],Tabla54[[#This Row],[Intervalo]],Regiones[Skill],'BUPA Seguros'!$L$3)/Tabla54[[#This Row],[Atendidas]],0)</f>
        <v>0</v>
      </c>
      <c r="H11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89" s="21">
        <f>IFERROR(Tabla54[[#This Row],[Atendidas]]/Tabla54[[#This Row],[Recibidas]],0)</f>
        <v>0</v>
      </c>
    </row>
    <row r="1190" spans="2:9" x14ac:dyDescent="0.3">
      <c r="B1190" s="27">
        <f t="shared" si="51"/>
        <v>46228</v>
      </c>
      <c r="C1190" s="18">
        <v>0.66666666666666696</v>
      </c>
      <c r="D1190" s="19">
        <f>+SUMIFS(Regiones[Ofrecidas],Regiones[Fecha],Tabla54[[#This Row],[Fecha]],Regiones[Intervalo],Tabla54[[#This Row],[Intervalo]],Regiones[Skill],'BUPA Seguros'!$L$3)</f>
        <v>0</v>
      </c>
      <c r="E1190" s="19">
        <f>+SUMIFS(Regiones[Contestadas],Regiones[Fecha],Tabla54[[#This Row],[Fecha]],Regiones[Intervalo],Tabla54[[#This Row],[Intervalo]],Regiones[Skill],'BUPA Seguros'!$L$3)</f>
        <v>0</v>
      </c>
      <c r="F1190" s="20">
        <v>0</v>
      </c>
      <c r="G1190" s="19">
        <f>IFERROR(SUMIFS(Regiones[TMO],Regiones[Fecha],Tabla54[[#This Row],[Fecha]],Regiones[Intervalo],Tabla54[[#This Row],[Intervalo]],Regiones[Skill],'BUPA Seguros'!$L$3)/Tabla54[[#This Row],[Atendidas]],0)</f>
        <v>0</v>
      </c>
      <c r="H11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0" s="21">
        <f>IFERROR(Tabla54[[#This Row],[Atendidas]]/Tabla54[[#This Row],[Recibidas]],0)</f>
        <v>0</v>
      </c>
    </row>
    <row r="1191" spans="2:9" x14ac:dyDescent="0.3">
      <c r="B1191" s="25">
        <f t="shared" si="51"/>
        <v>46228</v>
      </c>
      <c r="C1191" s="26">
        <v>0.6875</v>
      </c>
      <c r="D1191" s="19">
        <f>+SUMIFS(Regiones[Ofrecidas],Regiones[Fecha],Tabla54[[#This Row],[Fecha]],Regiones[Intervalo],Tabla54[[#This Row],[Intervalo]],Regiones[Skill],'BUPA Seguros'!$L$3)</f>
        <v>0</v>
      </c>
      <c r="E1191" s="19">
        <f>+SUMIFS(Regiones[Contestadas],Regiones[Fecha],Tabla54[[#This Row],[Fecha]],Regiones[Intervalo],Tabla54[[#This Row],[Intervalo]],Regiones[Skill],'BUPA Seguros'!$L$3)</f>
        <v>0</v>
      </c>
      <c r="F1191" s="20">
        <v>0</v>
      </c>
      <c r="G1191" s="19">
        <f>IFERROR(SUMIFS(Regiones[TMO],Regiones[Fecha],Tabla54[[#This Row],[Fecha]],Regiones[Intervalo],Tabla54[[#This Row],[Intervalo]],Regiones[Skill],'BUPA Seguros'!$L$3)/Tabla54[[#This Row],[Atendidas]],0)</f>
        <v>0</v>
      </c>
      <c r="H11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1" s="21">
        <f>IFERROR(Tabla54[[#This Row],[Atendidas]]/Tabla54[[#This Row],[Recibidas]],0)</f>
        <v>0</v>
      </c>
    </row>
    <row r="1192" spans="2:9" x14ac:dyDescent="0.3">
      <c r="B1192" s="27">
        <f t="shared" si="51"/>
        <v>46228</v>
      </c>
      <c r="C1192" s="18">
        <v>0.70833333333333304</v>
      </c>
      <c r="D1192" s="19">
        <f>+SUMIFS(Regiones[Ofrecidas],Regiones[Fecha],Tabla54[[#This Row],[Fecha]],Regiones[Intervalo],Tabla54[[#This Row],[Intervalo]],Regiones[Skill],'BUPA Seguros'!$L$3)</f>
        <v>0</v>
      </c>
      <c r="E1192" s="19">
        <f>+SUMIFS(Regiones[Contestadas],Regiones[Fecha],Tabla54[[#This Row],[Fecha]],Regiones[Intervalo],Tabla54[[#This Row],[Intervalo]],Regiones[Skill],'BUPA Seguros'!$L$3)</f>
        <v>0</v>
      </c>
      <c r="F1192" s="20">
        <v>0</v>
      </c>
      <c r="G1192" s="19">
        <f>IFERROR(SUMIFS(Regiones[TMO],Regiones[Fecha],Tabla54[[#This Row],[Fecha]],Regiones[Intervalo],Tabla54[[#This Row],[Intervalo]],Regiones[Skill],'BUPA Seguros'!$L$3)/Tabla54[[#This Row],[Atendidas]],0)</f>
        <v>0</v>
      </c>
      <c r="H11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2" s="21">
        <f>IFERROR(Tabla54[[#This Row],[Atendidas]]/Tabla54[[#This Row],[Recibidas]],0)</f>
        <v>0</v>
      </c>
    </row>
    <row r="1193" spans="2:9" x14ac:dyDescent="0.3">
      <c r="B1193" s="25">
        <f t="shared" si="51"/>
        <v>46228</v>
      </c>
      <c r="C1193" s="26">
        <v>0.72916666666666696</v>
      </c>
      <c r="D1193" s="19">
        <f>+SUMIFS(Regiones[Ofrecidas],Regiones[Fecha],Tabla54[[#This Row],[Fecha]],Regiones[Intervalo],Tabla54[[#This Row],[Intervalo]],Regiones[Skill],'BUPA Seguros'!$L$3)</f>
        <v>0</v>
      </c>
      <c r="E1193" s="19">
        <f>+SUMIFS(Regiones[Contestadas],Regiones[Fecha],Tabla54[[#This Row],[Fecha]],Regiones[Intervalo],Tabla54[[#This Row],[Intervalo]],Regiones[Skill],'BUPA Seguros'!$L$3)</f>
        <v>0</v>
      </c>
      <c r="F1193" s="20">
        <v>0</v>
      </c>
      <c r="G1193" s="19">
        <f>IFERROR(SUMIFS(Regiones[TMO],Regiones[Fecha],Tabla54[[#This Row],[Fecha]],Regiones[Intervalo],Tabla54[[#This Row],[Intervalo]],Regiones[Skill],'BUPA Seguros'!$L$3)/Tabla54[[#This Row],[Atendidas]],0)</f>
        <v>0</v>
      </c>
      <c r="H11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3" s="21">
        <f>IFERROR(Tabla54[[#This Row],[Atendidas]]/Tabla54[[#This Row],[Recibidas]],0)</f>
        <v>0</v>
      </c>
    </row>
    <row r="1194" spans="2:9" x14ac:dyDescent="0.3">
      <c r="B1194" s="27">
        <f t="shared" si="51"/>
        <v>46228</v>
      </c>
      <c r="C1194" s="18">
        <v>0.75</v>
      </c>
      <c r="D1194" s="19">
        <f>+SUMIFS(Regiones[Ofrecidas],Regiones[Fecha],Tabla54[[#This Row],[Fecha]],Regiones[Intervalo],Tabla54[[#This Row],[Intervalo]],Regiones[Skill],'BUPA Seguros'!$L$3)</f>
        <v>0</v>
      </c>
      <c r="E1194" s="19">
        <f>+SUMIFS(Regiones[Contestadas],Regiones[Fecha],Tabla54[[#This Row],[Fecha]],Regiones[Intervalo],Tabla54[[#This Row],[Intervalo]],Regiones[Skill],'BUPA Seguros'!$L$3)</f>
        <v>0</v>
      </c>
      <c r="F1194" s="20">
        <v>0</v>
      </c>
      <c r="G1194" s="19">
        <f>IFERROR(SUMIFS(Regiones[TMO],Regiones[Fecha],Tabla54[[#This Row],[Fecha]],Regiones[Intervalo],Tabla54[[#This Row],[Intervalo]],Regiones[Skill],'BUPA Seguros'!$L$3)/Tabla54[[#This Row],[Atendidas]],0)</f>
        <v>0</v>
      </c>
      <c r="H11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4" s="21">
        <f>IFERROR(Tabla54[[#This Row],[Atendidas]]/Tabla54[[#This Row],[Recibidas]],0)</f>
        <v>0</v>
      </c>
    </row>
    <row r="1195" spans="2:9" x14ac:dyDescent="0.3">
      <c r="B1195" s="25">
        <f t="shared" si="51"/>
        <v>46228</v>
      </c>
      <c r="C1195" s="26">
        <v>0.77083333333333304</v>
      </c>
      <c r="D1195" s="19">
        <f>+SUMIFS(Regiones[Ofrecidas],Regiones[Fecha],Tabla54[[#This Row],[Fecha]],Regiones[Intervalo],Tabla54[[#This Row],[Intervalo]],Regiones[Skill],'BUPA Seguros'!$L$3)</f>
        <v>0</v>
      </c>
      <c r="E1195" s="19">
        <f>+SUMIFS(Regiones[Contestadas],Regiones[Fecha],Tabla54[[#This Row],[Fecha]],Regiones[Intervalo],Tabla54[[#This Row],[Intervalo]],Regiones[Skill],'BUPA Seguros'!$L$3)</f>
        <v>0</v>
      </c>
      <c r="F1195" s="20">
        <v>0</v>
      </c>
      <c r="G1195" s="19">
        <f>IFERROR(SUMIFS(Regiones[TMO],Regiones[Fecha],Tabla54[[#This Row],[Fecha]],Regiones[Intervalo],Tabla54[[#This Row],[Intervalo]],Regiones[Skill],'BUPA Seguros'!$L$3)/Tabla54[[#This Row],[Atendidas]],0)</f>
        <v>0</v>
      </c>
      <c r="H11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5" s="21">
        <f>IFERROR(Tabla54[[#This Row],[Atendidas]]/Tabla54[[#This Row],[Recibidas]],0)</f>
        <v>0</v>
      </c>
    </row>
    <row r="1196" spans="2:9" x14ac:dyDescent="0.3">
      <c r="B1196" s="27">
        <f t="shared" si="51"/>
        <v>46228</v>
      </c>
      <c r="C1196" s="18">
        <v>0.79166666666666696</v>
      </c>
      <c r="D1196" s="19">
        <f>+SUMIFS(Regiones[Ofrecidas],Regiones[Fecha],Tabla54[[#This Row],[Fecha]],Regiones[Intervalo],Tabla54[[#This Row],[Intervalo]],Regiones[Skill],'BUPA Seguros'!$L$3)</f>
        <v>0</v>
      </c>
      <c r="E1196" s="19">
        <f>+SUMIFS(Regiones[Contestadas],Regiones[Fecha],Tabla54[[#This Row],[Fecha]],Regiones[Intervalo],Tabla54[[#This Row],[Intervalo]],Regiones[Skill],'BUPA Seguros'!$L$3)</f>
        <v>0</v>
      </c>
      <c r="F1196" s="20">
        <v>0</v>
      </c>
      <c r="G1196" s="19">
        <f>IFERROR(SUMIFS(Regiones[TMO],Regiones[Fecha],Tabla54[[#This Row],[Fecha]],Regiones[Intervalo],Tabla54[[#This Row],[Intervalo]],Regiones[Skill],'BUPA Seguros'!$L$3)/Tabla54[[#This Row],[Atendidas]],0)</f>
        <v>0</v>
      </c>
      <c r="H11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6" s="21">
        <f>IFERROR(Tabla54[[#This Row],[Atendidas]]/Tabla54[[#This Row],[Recibidas]],0)</f>
        <v>0</v>
      </c>
    </row>
    <row r="1197" spans="2:9" x14ac:dyDescent="0.3">
      <c r="B1197" s="25">
        <f t="shared" si="51"/>
        <v>46228</v>
      </c>
      <c r="C1197" s="26">
        <v>0.8125</v>
      </c>
      <c r="D1197" s="19">
        <f>+SUMIFS(Regiones[Ofrecidas],Regiones[Fecha],Tabla54[[#This Row],[Fecha]],Regiones[Intervalo],Tabla54[[#This Row],[Intervalo]],Regiones[Skill],'BUPA Seguros'!$L$3)</f>
        <v>0</v>
      </c>
      <c r="E1197" s="19">
        <f>+SUMIFS(Regiones[Contestadas],Regiones[Fecha],Tabla54[[#This Row],[Fecha]],Regiones[Intervalo],Tabla54[[#This Row],[Intervalo]],Regiones[Skill],'BUPA Seguros'!$L$3)</f>
        <v>0</v>
      </c>
      <c r="F1197" s="20">
        <v>0</v>
      </c>
      <c r="G1197" s="19">
        <f>IFERROR(SUMIFS(Regiones[TMO],Regiones[Fecha],Tabla54[[#This Row],[Fecha]],Regiones[Intervalo],Tabla54[[#This Row],[Intervalo]],Regiones[Skill],'BUPA Seguros'!$L$3)/Tabla54[[#This Row],[Atendidas]],0)</f>
        <v>0</v>
      </c>
      <c r="H11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7" s="21">
        <f>IFERROR(Tabla54[[#This Row],[Atendidas]]/Tabla54[[#This Row],[Recibidas]],0)</f>
        <v>0</v>
      </c>
    </row>
    <row r="1198" spans="2:9" x14ac:dyDescent="0.3">
      <c r="B1198" s="27">
        <f t="shared" si="51"/>
        <v>46228</v>
      </c>
      <c r="C1198" s="18">
        <v>0.83333333333333304</v>
      </c>
      <c r="D1198" s="19">
        <f>+SUMIFS(Regiones[Ofrecidas],Regiones[Fecha],Tabla54[[#This Row],[Fecha]],Regiones[Intervalo],Tabla54[[#This Row],[Intervalo]],Regiones[Skill],'BUPA Seguros'!$L$3)</f>
        <v>0</v>
      </c>
      <c r="E1198" s="19">
        <f>+SUMIFS(Regiones[Contestadas],Regiones[Fecha],Tabla54[[#This Row],[Fecha]],Regiones[Intervalo],Tabla54[[#This Row],[Intervalo]],Regiones[Skill],'BUPA Seguros'!$L$3)</f>
        <v>0</v>
      </c>
      <c r="F1198" s="20">
        <v>0</v>
      </c>
      <c r="G1198" s="19">
        <f>IFERROR(SUMIFS(Regiones[TMO],Regiones[Fecha],Tabla54[[#This Row],[Fecha]],Regiones[Intervalo],Tabla54[[#This Row],[Intervalo]],Regiones[Skill],'BUPA Seguros'!$L$3)/Tabla54[[#This Row],[Atendidas]],0)</f>
        <v>0</v>
      </c>
      <c r="H11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8" s="21">
        <f>IFERROR(Tabla54[[#This Row],[Atendidas]]/Tabla54[[#This Row],[Recibidas]],0)</f>
        <v>0</v>
      </c>
    </row>
    <row r="1199" spans="2:9" x14ac:dyDescent="0.3">
      <c r="B1199" s="25">
        <f t="shared" si="51"/>
        <v>46228</v>
      </c>
      <c r="C1199" s="26">
        <v>0.85416666666666696</v>
      </c>
      <c r="D1199" s="19">
        <f>+SUMIFS(Regiones[Ofrecidas],Regiones[Fecha],Tabla54[[#This Row],[Fecha]],Regiones[Intervalo],Tabla54[[#This Row],[Intervalo]],Regiones[Skill],'BUPA Seguros'!$L$3)</f>
        <v>0</v>
      </c>
      <c r="E1199" s="19">
        <f>+SUMIFS(Regiones[Contestadas],Regiones[Fecha],Tabla54[[#This Row],[Fecha]],Regiones[Intervalo],Tabla54[[#This Row],[Intervalo]],Regiones[Skill],'BUPA Seguros'!$L$3)</f>
        <v>0</v>
      </c>
      <c r="F1199" s="20">
        <v>0</v>
      </c>
      <c r="G1199" s="19">
        <f>IFERROR(SUMIFS(Regiones[TMO],Regiones[Fecha],Tabla54[[#This Row],[Fecha]],Regiones[Intervalo],Tabla54[[#This Row],[Intervalo]],Regiones[Skill],'BUPA Seguros'!$L$3)/Tabla54[[#This Row],[Atendidas]],0)</f>
        <v>0</v>
      </c>
      <c r="H11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199" s="21">
        <f>IFERROR(Tabla54[[#This Row],[Atendidas]]/Tabla54[[#This Row],[Recibidas]],0)</f>
        <v>0</v>
      </c>
    </row>
    <row r="1200" spans="2:9" x14ac:dyDescent="0.3">
      <c r="B1200" s="27">
        <f t="shared" si="51"/>
        <v>46228</v>
      </c>
      <c r="C1200" s="18">
        <v>0.875</v>
      </c>
      <c r="D1200" s="19">
        <f>+SUMIFS(Regiones[Ofrecidas],Regiones[Fecha],Tabla54[[#This Row],[Fecha]],Regiones[Intervalo],Tabla54[[#This Row],[Intervalo]],Regiones[Skill],'BUPA Seguros'!$L$3)</f>
        <v>0</v>
      </c>
      <c r="E1200" s="19">
        <f>+SUMIFS(Regiones[Contestadas],Regiones[Fecha],Tabla54[[#This Row],[Fecha]],Regiones[Intervalo],Tabla54[[#This Row],[Intervalo]],Regiones[Skill],'BUPA Seguros'!$L$3)</f>
        <v>0</v>
      </c>
      <c r="F1200" s="20">
        <v>0</v>
      </c>
      <c r="G1200" s="19">
        <f>IFERROR(SUMIFS(Regiones[TMO],Regiones[Fecha],Tabla54[[#This Row],[Fecha]],Regiones[Intervalo],Tabla54[[#This Row],[Intervalo]],Regiones[Skill],'BUPA Seguros'!$L$3)/Tabla54[[#This Row],[Atendidas]],0)</f>
        <v>0</v>
      </c>
      <c r="H12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0" s="21">
        <f>IFERROR(Tabla54[[#This Row],[Atendidas]]/Tabla54[[#This Row],[Recibidas]],0)</f>
        <v>0</v>
      </c>
    </row>
    <row r="1201" spans="2:9" x14ac:dyDescent="0.3">
      <c r="B1201" s="25">
        <f t="shared" si="51"/>
        <v>46228</v>
      </c>
      <c r="C1201" s="26">
        <v>0.89583333333333304</v>
      </c>
      <c r="D1201" s="19">
        <f>+SUMIFS(Regiones[Ofrecidas],Regiones[Fecha],Tabla54[[#This Row],[Fecha]],Regiones[Intervalo],Tabla54[[#This Row],[Intervalo]],Regiones[Skill],'BUPA Seguros'!$L$3)</f>
        <v>0</v>
      </c>
      <c r="E1201" s="19">
        <f>+SUMIFS(Regiones[Contestadas],Regiones[Fecha],Tabla54[[#This Row],[Fecha]],Regiones[Intervalo],Tabla54[[#This Row],[Intervalo]],Regiones[Skill],'BUPA Seguros'!$L$3)</f>
        <v>0</v>
      </c>
      <c r="F1201" s="20">
        <v>0</v>
      </c>
      <c r="G1201" s="19">
        <f>IFERROR(SUMIFS(Regiones[TMO],Regiones[Fecha],Tabla54[[#This Row],[Fecha]],Regiones[Intervalo],Tabla54[[#This Row],[Intervalo]],Regiones[Skill],'BUPA Seguros'!$L$3)/Tabla54[[#This Row],[Atendidas]],0)</f>
        <v>0</v>
      </c>
      <c r="H12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1" s="21">
        <f>IFERROR(Tabla54[[#This Row],[Atendidas]]/Tabla54[[#This Row],[Recibidas]],0)</f>
        <v>0</v>
      </c>
    </row>
    <row r="1202" spans="2:9" x14ac:dyDescent="0.3">
      <c r="B1202" s="27">
        <f t="shared" si="51"/>
        <v>46228</v>
      </c>
      <c r="C1202" s="18">
        <v>0.91666666666666696</v>
      </c>
      <c r="D1202" s="19">
        <f>+SUMIFS(Regiones[Ofrecidas],Regiones[Fecha],Tabla54[[#This Row],[Fecha]],Regiones[Intervalo],Tabla54[[#This Row],[Intervalo]],Regiones[Skill],'BUPA Seguros'!$L$3)</f>
        <v>0</v>
      </c>
      <c r="E1202" s="19">
        <f>+SUMIFS(Regiones[Contestadas],Regiones[Fecha],Tabla54[[#This Row],[Fecha]],Regiones[Intervalo],Tabla54[[#This Row],[Intervalo]],Regiones[Skill],'BUPA Seguros'!$L$3)</f>
        <v>0</v>
      </c>
      <c r="F1202" s="20">
        <v>0</v>
      </c>
      <c r="G1202" s="19">
        <f>IFERROR(SUMIFS(Regiones[TMO],Regiones[Fecha],Tabla54[[#This Row],[Fecha]],Regiones[Intervalo],Tabla54[[#This Row],[Intervalo]],Regiones[Skill],'BUPA Seguros'!$L$3)/Tabla54[[#This Row],[Atendidas]],0)</f>
        <v>0</v>
      </c>
      <c r="H12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2" s="21">
        <f>IFERROR(Tabla54[[#This Row],[Atendidas]]/Tabla54[[#This Row],[Recibidas]],0)</f>
        <v>0</v>
      </c>
    </row>
    <row r="1203" spans="2:9" x14ac:dyDescent="0.3">
      <c r="B1203" s="25">
        <f t="shared" si="51"/>
        <v>46228</v>
      </c>
      <c r="C1203" s="26">
        <v>0.9375</v>
      </c>
      <c r="D1203" s="19">
        <f>+SUMIFS(Regiones[Ofrecidas],Regiones[Fecha],Tabla54[[#This Row],[Fecha]],Regiones[Intervalo],Tabla54[[#This Row],[Intervalo]],Regiones[Skill],'BUPA Seguros'!$L$3)</f>
        <v>0</v>
      </c>
      <c r="E1203" s="19">
        <f>+SUMIFS(Regiones[Contestadas],Regiones[Fecha],Tabla54[[#This Row],[Fecha]],Regiones[Intervalo],Tabla54[[#This Row],[Intervalo]],Regiones[Skill],'BUPA Seguros'!$L$3)</f>
        <v>0</v>
      </c>
      <c r="F1203" s="20">
        <v>0</v>
      </c>
      <c r="G1203" s="19">
        <f>IFERROR(SUMIFS(Regiones[TMO],Regiones[Fecha],Tabla54[[#This Row],[Fecha]],Regiones[Intervalo],Tabla54[[#This Row],[Intervalo]],Regiones[Skill],'BUPA Seguros'!$L$3)/Tabla54[[#This Row],[Atendidas]],0)</f>
        <v>0</v>
      </c>
      <c r="H12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3" s="21">
        <f>IFERROR(Tabla54[[#This Row],[Atendidas]]/Tabla54[[#This Row],[Recibidas]],0)</f>
        <v>0</v>
      </c>
    </row>
    <row r="1204" spans="2:9" x14ac:dyDescent="0.3">
      <c r="B1204" s="27">
        <f t="shared" si="51"/>
        <v>46228</v>
      </c>
      <c r="C1204" s="18">
        <v>0.95833333333333304</v>
      </c>
      <c r="D1204" s="19">
        <f>+SUMIFS(Regiones[Ofrecidas],Regiones[Fecha],Tabla54[[#This Row],[Fecha]],Regiones[Intervalo],Tabla54[[#This Row],[Intervalo]],Regiones[Skill],'BUPA Seguros'!$L$3)</f>
        <v>0</v>
      </c>
      <c r="E1204" s="19">
        <f>+SUMIFS(Regiones[Contestadas],Regiones[Fecha],Tabla54[[#This Row],[Fecha]],Regiones[Intervalo],Tabla54[[#This Row],[Intervalo]],Regiones[Skill],'BUPA Seguros'!$L$3)</f>
        <v>0</v>
      </c>
      <c r="F1204" s="20">
        <v>0</v>
      </c>
      <c r="G1204" s="19">
        <f>IFERROR(SUMIFS(Regiones[TMO],Regiones[Fecha],Tabla54[[#This Row],[Fecha]],Regiones[Intervalo],Tabla54[[#This Row],[Intervalo]],Regiones[Skill],'BUPA Seguros'!$L$3)/Tabla54[[#This Row],[Atendidas]],0)</f>
        <v>0</v>
      </c>
      <c r="H12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4" s="21">
        <f>IFERROR(Tabla54[[#This Row],[Atendidas]]/Tabla54[[#This Row],[Recibidas]],0)</f>
        <v>0</v>
      </c>
    </row>
    <row r="1205" spans="2:9" x14ac:dyDescent="0.3">
      <c r="B1205" s="25">
        <f t="shared" si="51"/>
        <v>46228</v>
      </c>
      <c r="C1205" s="26">
        <v>0.97916666666666696</v>
      </c>
      <c r="D1205" s="19">
        <f>+SUMIFS(Regiones[Ofrecidas],Regiones[Fecha],Tabla54[[#This Row],[Fecha]],Regiones[Intervalo],Tabla54[[#This Row],[Intervalo]],Regiones[Skill],'BUPA Seguros'!$L$3)</f>
        <v>0</v>
      </c>
      <c r="E1205" s="19">
        <f>+SUMIFS(Regiones[Contestadas],Regiones[Fecha],Tabla54[[#This Row],[Fecha]],Regiones[Intervalo],Tabla54[[#This Row],[Intervalo]],Regiones[Skill],'BUPA Seguros'!$L$3)</f>
        <v>0</v>
      </c>
      <c r="F1205" s="20">
        <v>0</v>
      </c>
      <c r="G1205" s="19">
        <f>IFERROR(SUMIFS(Regiones[TMO],Regiones[Fecha],Tabla54[[#This Row],[Fecha]],Regiones[Intervalo],Tabla54[[#This Row],[Intervalo]],Regiones[Skill],'BUPA Seguros'!$L$3)/Tabla54[[#This Row],[Atendidas]],0)</f>
        <v>0</v>
      </c>
      <c r="H12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5" s="21">
        <f>IFERROR(Tabla54[[#This Row],[Atendidas]]/Tabla54[[#This Row],[Recibidas]],0)</f>
        <v>0</v>
      </c>
    </row>
    <row r="1206" spans="2:9" x14ac:dyDescent="0.3">
      <c r="B1206" s="27">
        <f t="shared" ref="B1206" si="54">+B1205+1</f>
        <v>46229</v>
      </c>
      <c r="C1206" s="18">
        <v>0</v>
      </c>
      <c r="D1206" s="19">
        <f>+SUMIFS(Regiones[Ofrecidas],Regiones[Fecha],Tabla54[[#This Row],[Fecha]],Regiones[Intervalo],Tabla54[[#This Row],[Intervalo]],Regiones[Skill],'BUPA Seguros'!$L$3)</f>
        <v>0</v>
      </c>
      <c r="E1206" s="19">
        <f>+SUMIFS(Regiones[Contestadas],Regiones[Fecha],Tabla54[[#This Row],[Fecha]],Regiones[Intervalo],Tabla54[[#This Row],[Intervalo]],Regiones[Skill],'BUPA Seguros'!$L$3)</f>
        <v>0</v>
      </c>
      <c r="F1206" s="20">
        <v>0</v>
      </c>
      <c r="G1206" s="19">
        <f>IFERROR(SUMIFS(Regiones[TMO],Regiones[Fecha],Tabla54[[#This Row],[Fecha]],Regiones[Intervalo],Tabla54[[#This Row],[Intervalo]],Regiones[Skill],'BUPA Seguros'!$L$3)/Tabla54[[#This Row],[Atendidas]],0)</f>
        <v>0</v>
      </c>
      <c r="H12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6" s="21">
        <f>IFERROR(Tabla54[[#This Row],[Atendidas]]/Tabla54[[#This Row],[Recibidas]],0)</f>
        <v>0</v>
      </c>
    </row>
    <row r="1207" spans="2:9" x14ac:dyDescent="0.3">
      <c r="B1207" s="25">
        <f t="shared" ref="B1207:B1270" si="55">+B1206</f>
        <v>46229</v>
      </c>
      <c r="C1207" s="26">
        <v>2.0833333333333332E-2</v>
      </c>
      <c r="D1207" s="19">
        <f>+SUMIFS(Regiones[Ofrecidas],Regiones[Fecha],Tabla54[[#This Row],[Fecha]],Regiones[Intervalo],Tabla54[[#This Row],[Intervalo]],Regiones[Skill],'BUPA Seguros'!$L$3)</f>
        <v>0</v>
      </c>
      <c r="E1207" s="19">
        <f>+SUMIFS(Regiones[Contestadas],Regiones[Fecha],Tabla54[[#This Row],[Fecha]],Regiones[Intervalo],Tabla54[[#This Row],[Intervalo]],Regiones[Skill],'BUPA Seguros'!$L$3)</f>
        <v>0</v>
      </c>
      <c r="F1207" s="20">
        <v>0</v>
      </c>
      <c r="G1207" s="19">
        <f>IFERROR(SUMIFS(Regiones[TMO],Regiones[Fecha],Tabla54[[#This Row],[Fecha]],Regiones[Intervalo],Tabla54[[#This Row],[Intervalo]],Regiones[Skill],'BUPA Seguros'!$L$3)/Tabla54[[#This Row],[Atendidas]],0)</f>
        <v>0</v>
      </c>
      <c r="H12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7" s="21">
        <f>IFERROR(Tabla54[[#This Row],[Atendidas]]/Tabla54[[#This Row],[Recibidas]],0)</f>
        <v>0</v>
      </c>
    </row>
    <row r="1208" spans="2:9" x14ac:dyDescent="0.3">
      <c r="B1208" s="27">
        <f t="shared" si="55"/>
        <v>46229</v>
      </c>
      <c r="C1208" s="18">
        <v>4.1666666666666699E-2</v>
      </c>
      <c r="D1208" s="19">
        <f>+SUMIFS(Regiones[Ofrecidas],Regiones[Fecha],Tabla54[[#This Row],[Fecha]],Regiones[Intervalo],Tabla54[[#This Row],[Intervalo]],Regiones[Skill],'BUPA Seguros'!$L$3)</f>
        <v>0</v>
      </c>
      <c r="E1208" s="19">
        <f>+SUMIFS(Regiones[Contestadas],Regiones[Fecha],Tabla54[[#This Row],[Fecha]],Regiones[Intervalo],Tabla54[[#This Row],[Intervalo]],Regiones[Skill],'BUPA Seguros'!$L$3)</f>
        <v>0</v>
      </c>
      <c r="F1208" s="20">
        <v>0</v>
      </c>
      <c r="G1208" s="19">
        <f>IFERROR(SUMIFS(Regiones[TMO],Regiones[Fecha],Tabla54[[#This Row],[Fecha]],Regiones[Intervalo],Tabla54[[#This Row],[Intervalo]],Regiones[Skill],'BUPA Seguros'!$L$3)/Tabla54[[#This Row],[Atendidas]],0)</f>
        <v>0</v>
      </c>
      <c r="H12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8" s="21">
        <f>IFERROR(Tabla54[[#This Row],[Atendidas]]/Tabla54[[#This Row],[Recibidas]],0)</f>
        <v>0</v>
      </c>
    </row>
    <row r="1209" spans="2:9" x14ac:dyDescent="0.3">
      <c r="B1209" s="25">
        <f t="shared" si="55"/>
        <v>46229</v>
      </c>
      <c r="C1209" s="26">
        <v>6.25E-2</v>
      </c>
      <c r="D1209" s="19">
        <f>+SUMIFS(Regiones[Ofrecidas],Regiones[Fecha],Tabla54[[#This Row],[Fecha]],Regiones[Intervalo],Tabla54[[#This Row],[Intervalo]],Regiones[Skill],'BUPA Seguros'!$L$3)</f>
        <v>0</v>
      </c>
      <c r="E1209" s="19">
        <f>+SUMIFS(Regiones[Contestadas],Regiones[Fecha],Tabla54[[#This Row],[Fecha]],Regiones[Intervalo],Tabla54[[#This Row],[Intervalo]],Regiones[Skill],'BUPA Seguros'!$L$3)</f>
        <v>0</v>
      </c>
      <c r="F1209" s="20">
        <v>0</v>
      </c>
      <c r="G1209" s="19">
        <f>IFERROR(SUMIFS(Regiones[TMO],Regiones[Fecha],Tabla54[[#This Row],[Fecha]],Regiones[Intervalo],Tabla54[[#This Row],[Intervalo]],Regiones[Skill],'BUPA Seguros'!$L$3)/Tabla54[[#This Row],[Atendidas]],0)</f>
        <v>0</v>
      </c>
      <c r="H12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09" s="21">
        <f>IFERROR(Tabla54[[#This Row],[Atendidas]]/Tabla54[[#This Row],[Recibidas]],0)</f>
        <v>0</v>
      </c>
    </row>
    <row r="1210" spans="2:9" x14ac:dyDescent="0.3">
      <c r="B1210" s="27">
        <f t="shared" si="55"/>
        <v>46229</v>
      </c>
      <c r="C1210" s="18">
        <v>8.3333333333333301E-2</v>
      </c>
      <c r="D1210" s="19">
        <f>+SUMIFS(Regiones[Ofrecidas],Regiones[Fecha],Tabla54[[#This Row],[Fecha]],Regiones[Intervalo],Tabla54[[#This Row],[Intervalo]],Regiones[Skill],'BUPA Seguros'!$L$3)</f>
        <v>0</v>
      </c>
      <c r="E1210" s="19">
        <f>+SUMIFS(Regiones[Contestadas],Regiones[Fecha],Tabla54[[#This Row],[Fecha]],Regiones[Intervalo],Tabla54[[#This Row],[Intervalo]],Regiones[Skill],'BUPA Seguros'!$L$3)</f>
        <v>0</v>
      </c>
      <c r="F1210" s="20">
        <v>0</v>
      </c>
      <c r="G1210" s="19">
        <f>IFERROR(SUMIFS(Regiones[TMO],Regiones[Fecha],Tabla54[[#This Row],[Fecha]],Regiones[Intervalo],Tabla54[[#This Row],[Intervalo]],Regiones[Skill],'BUPA Seguros'!$L$3)/Tabla54[[#This Row],[Atendidas]],0)</f>
        <v>0</v>
      </c>
      <c r="H12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0" s="21">
        <f>IFERROR(Tabla54[[#This Row],[Atendidas]]/Tabla54[[#This Row],[Recibidas]],0)</f>
        <v>0</v>
      </c>
    </row>
    <row r="1211" spans="2:9" x14ac:dyDescent="0.3">
      <c r="B1211" s="25">
        <f t="shared" si="55"/>
        <v>46229</v>
      </c>
      <c r="C1211" s="26">
        <v>0.104166666666667</v>
      </c>
      <c r="D1211" s="19">
        <f>+SUMIFS(Regiones[Ofrecidas],Regiones[Fecha],Tabla54[[#This Row],[Fecha]],Regiones[Intervalo],Tabla54[[#This Row],[Intervalo]],Regiones[Skill],'BUPA Seguros'!$L$3)</f>
        <v>0</v>
      </c>
      <c r="E1211" s="19">
        <f>+SUMIFS(Regiones[Contestadas],Regiones[Fecha],Tabla54[[#This Row],[Fecha]],Regiones[Intervalo],Tabla54[[#This Row],[Intervalo]],Regiones[Skill],'BUPA Seguros'!$L$3)</f>
        <v>0</v>
      </c>
      <c r="F1211" s="20">
        <v>0</v>
      </c>
      <c r="G1211" s="19">
        <f>IFERROR(SUMIFS(Regiones[TMO],Regiones[Fecha],Tabla54[[#This Row],[Fecha]],Regiones[Intervalo],Tabla54[[#This Row],[Intervalo]],Regiones[Skill],'BUPA Seguros'!$L$3)/Tabla54[[#This Row],[Atendidas]],0)</f>
        <v>0</v>
      </c>
      <c r="H12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1" s="21">
        <f>IFERROR(Tabla54[[#This Row],[Atendidas]]/Tabla54[[#This Row],[Recibidas]],0)</f>
        <v>0</v>
      </c>
    </row>
    <row r="1212" spans="2:9" x14ac:dyDescent="0.3">
      <c r="B1212" s="27">
        <f t="shared" si="55"/>
        <v>46229</v>
      </c>
      <c r="C1212" s="18">
        <v>0.125</v>
      </c>
      <c r="D1212" s="19">
        <f>+SUMIFS(Regiones[Ofrecidas],Regiones[Fecha],Tabla54[[#This Row],[Fecha]],Regiones[Intervalo],Tabla54[[#This Row],[Intervalo]],Regiones[Skill],'BUPA Seguros'!$L$3)</f>
        <v>0</v>
      </c>
      <c r="E1212" s="19">
        <f>+SUMIFS(Regiones[Contestadas],Regiones[Fecha],Tabla54[[#This Row],[Fecha]],Regiones[Intervalo],Tabla54[[#This Row],[Intervalo]],Regiones[Skill],'BUPA Seguros'!$L$3)</f>
        <v>0</v>
      </c>
      <c r="F1212" s="20">
        <v>0</v>
      </c>
      <c r="G1212" s="19">
        <f>IFERROR(SUMIFS(Regiones[TMO],Regiones[Fecha],Tabla54[[#This Row],[Fecha]],Regiones[Intervalo],Tabla54[[#This Row],[Intervalo]],Regiones[Skill],'BUPA Seguros'!$L$3)/Tabla54[[#This Row],[Atendidas]],0)</f>
        <v>0</v>
      </c>
      <c r="H12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2" s="21">
        <f>IFERROR(Tabla54[[#This Row],[Atendidas]]/Tabla54[[#This Row],[Recibidas]],0)</f>
        <v>0</v>
      </c>
    </row>
    <row r="1213" spans="2:9" x14ac:dyDescent="0.3">
      <c r="B1213" s="25">
        <f t="shared" si="55"/>
        <v>46229</v>
      </c>
      <c r="C1213" s="26">
        <v>0.14583333333333301</v>
      </c>
      <c r="D1213" s="19">
        <f>+SUMIFS(Regiones[Ofrecidas],Regiones[Fecha],Tabla54[[#This Row],[Fecha]],Regiones[Intervalo],Tabla54[[#This Row],[Intervalo]],Regiones[Skill],'BUPA Seguros'!$L$3)</f>
        <v>0</v>
      </c>
      <c r="E1213" s="19">
        <f>+SUMIFS(Regiones[Contestadas],Regiones[Fecha],Tabla54[[#This Row],[Fecha]],Regiones[Intervalo],Tabla54[[#This Row],[Intervalo]],Regiones[Skill],'BUPA Seguros'!$L$3)</f>
        <v>0</v>
      </c>
      <c r="F1213" s="20">
        <v>0</v>
      </c>
      <c r="G1213" s="19">
        <f>IFERROR(SUMIFS(Regiones[TMO],Regiones[Fecha],Tabla54[[#This Row],[Fecha]],Regiones[Intervalo],Tabla54[[#This Row],[Intervalo]],Regiones[Skill],'BUPA Seguros'!$L$3)/Tabla54[[#This Row],[Atendidas]],0)</f>
        <v>0</v>
      </c>
      <c r="H12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3" s="21">
        <f>IFERROR(Tabla54[[#This Row],[Atendidas]]/Tabla54[[#This Row],[Recibidas]],0)</f>
        <v>0</v>
      </c>
    </row>
    <row r="1214" spans="2:9" x14ac:dyDescent="0.3">
      <c r="B1214" s="27">
        <f t="shared" si="55"/>
        <v>46229</v>
      </c>
      <c r="C1214" s="18">
        <v>0.16666666666666699</v>
      </c>
      <c r="D1214" s="19">
        <f>+SUMIFS(Regiones[Ofrecidas],Regiones[Fecha],Tabla54[[#This Row],[Fecha]],Regiones[Intervalo],Tabla54[[#This Row],[Intervalo]],Regiones[Skill],'BUPA Seguros'!$L$3)</f>
        <v>0</v>
      </c>
      <c r="E1214" s="19">
        <f>+SUMIFS(Regiones[Contestadas],Regiones[Fecha],Tabla54[[#This Row],[Fecha]],Regiones[Intervalo],Tabla54[[#This Row],[Intervalo]],Regiones[Skill],'BUPA Seguros'!$L$3)</f>
        <v>0</v>
      </c>
      <c r="F1214" s="20">
        <v>0</v>
      </c>
      <c r="G1214" s="19">
        <f>IFERROR(SUMIFS(Regiones[TMO],Regiones[Fecha],Tabla54[[#This Row],[Fecha]],Regiones[Intervalo],Tabla54[[#This Row],[Intervalo]],Regiones[Skill],'BUPA Seguros'!$L$3)/Tabla54[[#This Row],[Atendidas]],0)</f>
        <v>0</v>
      </c>
      <c r="H12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4" s="21">
        <f>IFERROR(Tabla54[[#This Row],[Atendidas]]/Tabla54[[#This Row],[Recibidas]],0)</f>
        <v>0</v>
      </c>
    </row>
    <row r="1215" spans="2:9" x14ac:dyDescent="0.3">
      <c r="B1215" s="25">
        <f t="shared" si="55"/>
        <v>46229</v>
      </c>
      <c r="C1215" s="26">
        <v>0.1875</v>
      </c>
      <c r="D1215" s="19">
        <f>+SUMIFS(Regiones[Ofrecidas],Regiones[Fecha],Tabla54[[#This Row],[Fecha]],Regiones[Intervalo],Tabla54[[#This Row],[Intervalo]],Regiones[Skill],'BUPA Seguros'!$L$3)</f>
        <v>0</v>
      </c>
      <c r="E1215" s="19">
        <f>+SUMIFS(Regiones[Contestadas],Regiones[Fecha],Tabla54[[#This Row],[Fecha]],Regiones[Intervalo],Tabla54[[#This Row],[Intervalo]],Regiones[Skill],'BUPA Seguros'!$L$3)</f>
        <v>0</v>
      </c>
      <c r="F1215" s="20">
        <v>0</v>
      </c>
      <c r="G1215" s="19">
        <f>IFERROR(SUMIFS(Regiones[TMO],Regiones[Fecha],Tabla54[[#This Row],[Fecha]],Regiones[Intervalo],Tabla54[[#This Row],[Intervalo]],Regiones[Skill],'BUPA Seguros'!$L$3)/Tabla54[[#This Row],[Atendidas]],0)</f>
        <v>0</v>
      </c>
      <c r="H12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5" s="21">
        <f>IFERROR(Tabla54[[#This Row],[Atendidas]]/Tabla54[[#This Row],[Recibidas]],0)</f>
        <v>0</v>
      </c>
    </row>
    <row r="1216" spans="2:9" x14ac:dyDescent="0.3">
      <c r="B1216" s="27">
        <f t="shared" si="55"/>
        <v>46229</v>
      </c>
      <c r="C1216" s="18">
        <v>0.20833333333333301</v>
      </c>
      <c r="D1216" s="19">
        <f>+SUMIFS(Regiones[Ofrecidas],Regiones[Fecha],Tabla54[[#This Row],[Fecha]],Regiones[Intervalo],Tabla54[[#This Row],[Intervalo]],Regiones[Skill],'BUPA Seguros'!$L$3)</f>
        <v>0</v>
      </c>
      <c r="E1216" s="19">
        <f>+SUMIFS(Regiones[Contestadas],Regiones[Fecha],Tabla54[[#This Row],[Fecha]],Regiones[Intervalo],Tabla54[[#This Row],[Intervalo]],Regiones[Skill],'BUPA Seguros'!$L$3)</f>
        <v>0</v>
      </c>
      <c r="F1216" s="20">
        <v>0</v>
      </c>
      <c r="G1216" s="19">
        <f>IFERROR(SUMIFS(Regiones[TMO],Regiones[Fecha],Tabla54[[#This Row],[Fecha]],Regiones[Intervalo],Tabla54[[#This Row],[Intervalo]],Regiones[Skill],'BUPA Seguros'!$L$3)/Tabla54[[#This Row],[Atendidas]],0)</f>
        <v>0</v>
      </c>
      <c r="H12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6" s="21">
        <f>IFERROR(Tabla54[[#This Row],[Atendidas]]/Tabla54[[#This Row],[Recibidas]],0)</f>
        <v>0</v>
      </c>
    </row>
    <row r="1217" spans="2:9" x14ac:dyDescent="0.3">
      <c r="B1217" s="25">
        <f t="shared" si="55"/>
        <v>46229</v>
      </c>
      <c r="C1217" s="26">
        <v>0.22916666666666699</v>
      </c>
      <c r="D1217" s="19">
        <f>+SUMIFS(Regiones[Ofrecidas],Regiones[Fecha],Tabla54[[#This Row],[Fecha]],Regiones[Intervalo],Tabla54[[#This Row],[Intervalo]],Regiones[Skill],'BUPA Seguros'!$L$3)</f>
        <v>0</v>
      </c>
      <c r="E1217" s="19">
        <f>+SUMIFS(Regiones[Contestadas],Regiones[Fecha],Tabla54[[#This Row],[Fecha]],Regiones[Intervalo],Tabla54[[#This Row],[Intervalo]],Regiones[Skill],'BUPA Seguros'!$L$3)</f>
        <v>0</v>
      </c>
      <c r="F1217" s="20">
        <v>0</v>
      </c>
      <c r="G1217" s="19">
        <f>IFERROR(SUMIFS(Regiones[TMO],Regiones[Fecha],Tabla54[[#This Row],[Fecha]],Regiones[Intervalo],Tabla54[[#This Row],[Intervalo]],Regiones[Skill],'BUPA Seguros'!$L$3)/Tabla54[[#This Row],[Atendidas]],0)</f>
        <v>0</v>
      </c>
      <c r="H12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7" s="21">
        <f>IFERROR(Tabla54[[#This Row],[Atendidas]]/Tabla54[[#This Row],[Recibidas]],0)</f>
        <v>0</v>
      </c>
    </row>
    <row r="1218" spans="2:9" x14ac:dyDescent="0.3">
      <c r="B1218" s="27">
        <f t="shared" si="55"/>
        <v>46229</v>
      </c>
      <c r="C1218" s="18">
        <v>0.25</v>
      </c>
      <c r="D1218" s="19">
        <f>+SUMIFS(Regiones[Ofrecidas],Regiones[Fecha],Tabla54[[#This Row],[Fecha]],Regiones[Intervalo],Tabla54[[#This Row],[Intervalo]],Regiones[Skill],'BUPA Seguros'!$L$3)</f>
        <v>0</v>
      </c>
      <c r="E1218" s="19">
        <f>+SUMIFS(Regiones[Contestadas],Regiones[Fecha],Tabla54[[#This Row],[Fecha]],Regiones[Intervalo],Tabla54[[#This Row],[Intervalo]],Regiones[Skill],'BUPA Seguros'!$L$3)</f>
        <v>0</v>
      </c>
      <c r="F1218" s="20">
        <v>0</v>
      </c>
      <c r="G1218" s="19">
        <f>IFERROR(SUMIFS(Regiones[TMO],Regiones[Fecha],Tabla54[[#This Row],[Fecha]],Regiones[Intervalo],Tabla54[[#This Row],[Intervalo]],Regiones[Skill],'BUPA Seguros'!$L$3)/Tabla54[[#This Row],[Atendidas]],0)</f>
        <v>0</v>
      </c>
      <c r="H12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8" s="21">
        <f>IFERROR(Tabla54[[#This Row],[Atendidas]]/Tabla54[[#This Row],[Recibidas]],0)</f>
        <v>0</v>
      </c>
    </row>
    <row r="1219" spans="2:9" x14ac:dyDescent="0.3">
      <c r="B1219" s="25">
        <f t="shared" si="55"/>
        <v>46229</v>
      </c>
      <c r="C1219" s="26">
        <v>0.27083333333333298</v>
      </c>
      <c r="D1219" s="19">
        <f>+SUMIFS(Regiones[Ofrecidas],Regiones[Fecha],Tabla54[[#This Row],[Fecha]],Regiones[Intervalo],Tabla54[[#This Row],[Intervalo]],Regiones[Skill],'BUPA Seguros'!$L$3)</f>
        <v>0</v>
      </c>
      <c r="E1219" s="19">
        <f>+SUMIFS(Regiones[Contestadas],Regiones[Fecha],Tabla54[[#This Row],[Fecha]],Regiones[Intervalo],Tabla54[[#This Row],[Intervalo]],Regiones[Skill],'BUPA Seguros'!$L$3)</f>
        <v>0</v>
      </c>
      <c r="F1219" s="20">
        <v>0</v>
      </c>
      <c r="G1219" s="19">
        <f>IFERROR(SUMIFS(Regiones[TMO],Regiones[Fecha],Tabla54[[#This Row],[Fecha]],Regiones[Intervalo],Tabla54[[#This Row],[Intervalo]],Regiones[Skill],'BUPA Seguros'!$L$3)/Tabla54[[#This Row],[Atendidas]],0)</f>
        <v>0</v>
      </c>
      <c r="H12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19" s="21">
        <f>IFERROR(Tabla54[[#This Row],[Atendidas]]/Tabla54[[#This Row],[Recibidas]],0)</f>
        <v>0</v>
      </c>
    </row>
    <row r="1220" spans="2:9" x14ac:dyDescent="0.3">
      <c r="B1220" s="27">
        <f t="shared" si="55"/>
        <v>46229</v>
      </c>
      <c r="C1220" s="18">
        <v>0.29166666666666702</v>
      </c>
      <c r="D1220" s="19">
        <f>+SUMIFS(Regiones[Ofrecidas],Regiones[Fecha],Tabla54[[#This Row],[Fecha]],Regiones[Intervalo],Tabla54[[#This Row],[Intervalo]],Regiones[Skill],'BUPA Seguros'!$L$3)</f>
        <v>0</v>
      </c>
      <c r="E1220" s="19">
        <f>+SUMIFS(Regiones[Contestadas],Regiones[Fecha],Tabla54[[#This Row],[Fecha]],Regiones[Intervalo],Tabla54[[#This Row],[Intervalo]],Regiones[Skill],'BUPA Seguros'!$L$3)</f>
        <v>0</v>
      </c>
      <c r="F1220" s="20">
        <v>0</v>
      </c>
      <c r="G1220" s="19">
        <f>IFERROR(SUMIFS(Regiones[TMO],Regiones[Fecha],Tabla54[[#This Row],[Fecha]],Regiones[Intervalo],Tabla54[[#This Row],[Intervalo]],Regiones[Skill],'BUPA Seguros'!$L$3)/Tabla54[[#This Row],[Atendidas]],0)</f>
        <v>0</v>
      </c>
      <c r="H12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0" s="21">
        <f>IFERROR(Tabla54[[#This Row],[Atendidas]]/Tabla54[[#This Row],[Recibidas]],0)</f>
        <v>0</v>
      </c>
    </row>
    <row r="1221" spans="2:9" x14ac:dyDescent="0.3">
      <c r="B1221" s="25">
        <f t="shared" si="55"/>
        <v>46229</v>
      </c>
      <c r="C1221" s="26">
        <v>0.3125</v>
      </c>
      <c r="D1221" s="19">
        <f>+SUMIFS(Regiones[Ofrecidas],Regiones[Fecha],Tabla54[[#This Row],[Fecha]],Regiones[Intervalo],Tabla54[[#This Row],[Intervalo]],Regiones[Skill],'BUPA Seguros'!$L$3)</f>
        <v>0</v>
      </c>
      <c r="E1221" s="19">
        <f>+SUMIFS(Regiones[Contestadas],Regiones[Fecha],Tabla54[[#This Row],[Fecha]],Regiones[Intervalo],Tabla54[[#This Row],[Intervalo]],Regiones[Skill],'BUPA Seguros'!$L$3)</f>
        <v>0</v>
      </c>
      <c r="F1221" s="20">
        <v>0</v>
      </c>
      <c r="G1221" s="19">
        <f>IFERROR(SUMIFS(Regiones[TMO],Regiones[Fecha],Tabla54[[#This Row],[Fecha]],Regiones[Intervalo],Tabla54[[#This Row],[Intervalo]],Regiones[Skill],'BUPA Seguros'!$L$3)/Tabla54[[#This Row],[Atendidas]],0)</f>
        <v>0</v>
      </c>
      <c r="H12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1" s="21">
        <f>IFERROR(Tabla54[[#This Row],[Atendidas]]/Tabla54[[#This Row],[Recibidas]],0)</f>
        <v>0</v>
      </c>
    </row>
    <row r="1222" spans="2:9" x14ac:dyDescent="0.3">
      <c r="B1222" s="27">
        <f t="shared" si="55"/>
        <v>46229</v>
      </c>
      <c r="C1222" s="18">
        <v>0.33333333333333298</v>
      </c>
      <c r="D1222" s="19">
        <f>+SUMIFS(Regiones[Ofrecidas],Regiones[Fecha],Tabla54[[#This Row],[Fecha]],Regiones[Intervalo],Tabla54[[#This Row],[Intervalo]],Regiones[Skill],'BUPA Seguros'!$L$3)</f>
        <v>0</v>
      </c>
      <c r="E1222" s="19">
        <f>+SUMIFS(Regiones[Contestadas],Regiones[Fecha],Tabla54[[#This Row],[Fecha]],Regiones[Intervalo],Tabla54[[#This Row],[Intervalo]],Regiones[Skill],'BUPA Seguros'!$L$3)</f>
        <v>0</v>
      </c>
      <c r="F1222" s="20">
        <v>0</v>
      </c>
      <c r="G1222" s="19">
        <f>IFERROR(SUMIFS(Regiones[TMO],Regiones[Fecha],Tabla54[[#This Row],[Fecha]],Regiones[Intervalo],Tabla54[[#This Row],[Intervalo]],Regiones[Skill],'BUPA Seguros'!$L$3)/Tabla54[[#This Row],[Atendidas]],0)</f>
        <v>0</v>
      </c>
      <c r="H12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2" s="21">
        <f>IFERROR(Tabla54[[#This Row],[Atendidas]]/Tabla54[[#This Row],[Recibidas]],0)</f>
        <v>0</v>
      </c>
    </row>
    <row r="1223" spans="2:9" x14ac:dyDescent="0.3">
      <c r="B1223" s="25">
        <f t="shared" si="55"/>
        <v>46229</v>
      </c>
      <c r="C1223" s="26">
        <v>0.35416666666666702</v>
      </c>
      <c r="D1223" s="19">
        <f>+SUMIFS(Regiones[Ofrecidas],Regiones[Fecha],Tabla54[[#This Row],[Fecha]],Regiones[Intervalo],Tabla54[[#This Row],[Intervalo]],Regiones[Skill],'BUPA Seguros'!$L$3)</f>
        <v>0</v>
      </c>
      <c r="E1223" s="19">
        <f>+SUMIFS(Regiones[Contestadas],Regiones[Fecha],Tabla54[[#This Row],[Fecha]],Regiones[Intervalo],Tabla54[[#This Row],[Intervalo]],Regiones[Skill],'BUPA Seguros'!$L$3)</f>
        <v>0</v>
      </c>
      <c r="F1223" s="20">
        <v>0</v>
      </c>
      <c r="G1223" s="19">
        <f>IFERROR(SUMIFS(Regiones[TMO],Regiones[Fecha],Tabla54[[#This Row],[Fecha]],Regiones[Intervalo],Tabla54[[#This Row],[Intervalo]],Regiones[Skill],'BUPA Seguros'!$L$3)/Tabla54[[#This Row],[Atendidas]],0)</f>
        <v>0</v>
      </c>
      <c r="H12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3" s="21">
        <f>IFERROR(Tabla54[[#This Row],[Atendidas]]/Tabla54[[#This Row],[Recibidas]],0)</f>
        <v>0</v>
      </c>
    </row>
    <row r="1224" spans="2:9" x14ac:dyDescent="0.3">
      <c r="B1224" s="27">
        <f t="shared" si="55"/>
        <v>46229</v>
      </c>
      <c r="C1224" s="18">
        <v>0.375</v>
      </c>
      <c r="D1224" s="19">
        <f>+SUMIFS(Regiones[Ofrecidas],Regiones[Fecha],Tabla54[[#This Row],[Fecha]],Regiones[Intervalo],Tabla54[[#This Row],[Intervalo]],Regiones[Skill],'BUPA Seguros'!$L$3)</f>
        <v>0</v>
      </c>
      <c r="E1224" s="19">
        <f>+SUMIFS(Regiones[Contestadas],Regiones[Fecha],Tabla54[[#This Row],[Fecha]],Regiones[Intervalo],Tabla54[[#This Row],[Intervalo]],Regiones[Skill],'BUPA Seguros'!$L$3)</f>
        <v>0</v>
      </c>
      <c r="F1224" s="20">
        <v>0</v>
      </c>
      <c r="G1224" s="19">
        <f>IFERROR(SUMIFS(Regiones[TMO],Regiones[Fecha],Tabla54[[#This Row],[Fecha]],Regiones[Intervalo],Tabla54[[#This Row],[Intervalo]],Regiones[Skill],'BUPA Seguros'!$L$3)/Tabla54[[#This Row],[Atendidas]],0)</f>
        <v>0</v>
      </c>
      <c r="H12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4" s="21">
        <f>IFERROR(Tabla54[[#This Row],[Atendidas]]/Tabla54[[#This Row],[Recibidas]],0)</f>
        <v>0</v>
      </c>
    </row>
    <row r="1225" spans="2:9" x14ac:dyDescent="0.3">
      <c r="B1225" s="25">
        <f t="shared" si="55"/>
        <v>46229</v>
      </c>
      <c r="C1225" s="26">
        <v>0.39583333333333298</v>
      </c>
      <c r="D1225" s="19">
        <f>+SUMIFS(Regiones[Ofrecidas],Regiones[Fecha],Tabla54[[#This Row],[Fecha]],Regiones[Intervalo],Tabla54[[#This Row],[Intervalo]],Regiones[Skill],'BUPA Seguros'!$L$3)</f>
        <v>0</v>
      </c>
      <c r="E1225" s="19">
        <f>+SUMIFS(Regiones[Contestadas],Regiones[Fecha],Tabla54[[#This Row],[Fecha]],Regiones[Intervalo],Tabla54[[#This Row],[Intervalo]],Regiones[Skill],'BUPA Seguros'!$L$3)</f>
        <v>0</v>
      </c>
      <c r="F1225" s="20">
        <v>0</v>
      </c>
      <c r="G1225" s="19">
        <f>IFERROR(SUMIFS(Regiones[TMO],Regiones[Fecha],Tabla54[[#This Row],[Fecha]],Regiones[Intervalo],Tabla54[[#This Row],[Intervalo]],Regiones[Skill],'BUPA Seguros'!$L$3)/Tabla54[[#This Row],[Atendidas]],0)</f>
        <v>0</v>
      </c>
      <c r="H12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5" s="21">
        <f>IFERROR(Tabla54[[#This Row],[Atendidas]]/Tabla54[[#This Row],[Recibidas]],0)</f>
        <v>0</v>
      </c>
    </row>
    <row r="1226" spans="2:9" x14ac:dyDescent="0.3">
      <c r="B1226" s="27">
        <f t="shared" si="55"/>
        <v>46229</v>
      </c>
      <c r="C1226" s="18">
        <v>0.41666666666666702</v>
      </c>
      <c r="D1226" s="19">
        <f>+SUMIFS(Regiones[Ofrecidas],Regiones[Fecha],Tabla54[[#This Row],[Fecha]],Regiones[Intervalo],Tabla54[[#This Row],[Intervalo]],Regiones[Skill],'BUPA Seguros'!$L$3)</f>
        <v>0</v>
      </c>
      <c r="E1226" s="19">
        <f>+SUMIFS(Regiones[Contestadas],Regiones[Fecha],Tabla54[[#This Row],[Fecha]],Regiones[Intervalo],Tabla54[[#This Row],[Intervalo]],Regiones[Skill],'BUPA Seguros'!$L$3)</f>
        <v>0</v>
      </c>
      <c r="F1226" s="20">
        <v>0</v>
      </c>
      <c r="G1226" s="19">
        <f>IFERROR(SUMIFS(Regiones[TMO],Regiones[Fecha],Tabla54[[#This Row],[Fecha]],Regiones[Intervalo],Tabla54[[#This Row],[Intervalo]],Regiones[Skill],'BUPA Seguros'!$L$3)/Tabla54[[#This Row],[Atendidas]],0)</f>
        <v>0</v>
      </c>
      <c r="H12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6" s="21">
        <f>IFERROR(Tabla54[[#This Row],[Atendidas]]/Tabla54[[#This Row],[Recibidas]],0)</f>
        <v>0</v>
      </c>
    </row>
    <row r="1227" spans="2:9" x14ac:dyDescent="0.3">
      <c r="B1227" s="25">
        <f t="shared" si="55"/>
        <v>46229</v>
      </c>
      <c r="C1227" s="26">
        <v>0.4375</v>
      </c>
      <c r="D1227" s="19">
        <f>+SUMIFS(Regiones[Ofrecidas],Regiones[Fecha],Tabla54[[#This Row],[Fecha]],Regiones[Intervalo],Tabla54[[#This Row],[Intervalo]],Regiones[Skill],'BUPA Seguros'!$L$3)</f>
        <v>0</v>
      </c>
      <c r="E1227" s="19">
        <f>+SUMIFS(Regiones[Contestadas],Regiones[Fecha],Tabla54[[#This Row],[Fecha]],Regiones[Intervalo],Tabla54[[#This Row],[Intervalo]],Regiones[Skill],'BUPA Seguros'!$L$3)</f>
        <v>0</v>
      </c>
      <c r="F1227" s="20">
        <v>0</v>
      </c>
      <c r="G1227" s="19">
        <f>IFERROR(SUMIFS(Regiones[TMO],Regiones[Fecha],Tabla54[[#This Row],[Fecha]],Regiones[Intervalo],Tabla54[[#This Row],[Intervalo]],Regiones[Skill],'BUPA Seguros'!$L$3)/Tabla54[[#This Row],[Atendidas]],0)</f>
        <v>0</v>
      </c>
      <c r="H12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7" s="21">
        <f>IFERROR(Tabla54[[#This Row],[Atendidas]]/Tabla54[[#This Row],[Recibidas]],0)</f>
        <v>0</v>
      </c>
    </row>
    <row r="1228" spans="2:9" x14ac:dyDescent="0.3">
      <c r="B1228" s="27">
        <f t="shared" si="55"/>
        <v>46229</v>
      </c>
      <c r="C1228" s="18">
        <v>0.45833333333333298</v>
      </c>
      <c r="D1228" s="19">
        <f>+SUMIFS(Regiones[Ofrecidas],Regiones[Fecha],Tabla54[[#This Row],[Fecha]],Regiones[Intervalo],Tabla54[[#This Row],[Intervalo]],Regiones[Skill],'BUPA Seguros'!$L$3)</f>
        <v>0</v>
      </c>
      <c r="E1228" s="19">
        <f>+SUMIFS(Regiones[Contestadas],Regiones[Fecha],Tabla54[[#This Row],[Fecha]],Regiones[Intervalo],Tabla54[[#This Row],[Intervalo]],Regiones[Skill],'BUPA Seguros'!$L$3)</f>
        <v>0</v>
      </c>
      <c r="F1228" s="20">
        <v>0</v>
      </c>
      <c r="G1228" s="19">
        <f>IFERROR(SUMIFS(Regiones[TMO],Regiones[Fecha],Tabla54[[#This Row],[Fecha]],Regiones[Intervalo],Tabla54[[#This Row],[Intervalo]],Regiones[Skill],'BUPA Seguros'!$L$3)/Tabla54[[#This Row],[Atendidas]],0)</f>
        <v>0</v>
      </c>
      <c r="H12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8" s="21">
        <f>IFERROR(Tabla54[[#This Row],[Atendidas]]/Tabla54[[#This Row],[Recibidas]],0)</f>
        <v>0</v>
      </c>
    </row>
    <row r="1229" spans="2:9" x14ac:dyDescent="0.3">
      <c r="B1229" s="25">
        <f t="shared" si="55"/>
        <v>46229</v>
      </c>
      <c r="C1229" s="26">
        <v>0.47916666666666702</v>
      </c>
      <c r="D1229" s="19">
        <f>+SUMIFS(Regiones[Ofrecidas],Regiones[Fecha],Tabla54[[#This Row],[Fecha]],Regiones[Intervalo],Tabla54[[#This Row],[Intervalo]],Regiones[Skill],'BUPA Seguros'!$L$3)</f>
        <v>0</v>
      </c>
      <c r="E1229" s="19">
        <f>+SUMIFS(Regiones[Contestadas],Regiones[Fecha],Tabla54[[#This Row],[Fecha]],Regiones[Intervalo],Tabla54[[#This Row],[Intervalo]],Regiones[Skill],'BUPA Seguros'!$L$3)</f>
        <v>0</v>
      </c>
      <c r="F1229" s="20">
        <v>0</v>
      </c>
      <c r="G1229" s="19">
        <f>IFERROR(SUMIFS(Regiones[TMO],Regiones[Fecha],Tabla54[[#This Row],[Fecha]],Regiones[Intervalo],Tabla54[[#This Row],[Intervalo]],Regiones[Skill],'BUPA Seguros'!$L$3)/Tabla54[[#This Row],[Atendidas]],0)</f>
        <v>0</v>
      </c>
      <c r="H12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29" s="21">
        <f>IFERROR(Tabla54[[#This Row],[Atendidas]]/Tabla54[[#This Row],[Recibidas]],0)</f>
        <v>0</v>
      </c>
    </row>
    <row r="1230" spans="2:9" x14ac:dyDescent="0.3">
      <c r="B1230" s="27">
        <f t="shared" si="55"/>
        <v>46229</v>
      </c>
      <c r="C1230" s="18">
        <v>0.5</v>
      </c>
      <c r="D1230" s="19">
        <f>+SUMIFS(Regiones[Ofrecidas],Regiones[Fecha],Tabla54[[#This Row],[Fecha]],Regiones[Intervalo],Tabla54[[#This Row],[Intervalo]],Regiones[Skill],'BUPA Seguros'!$L$3)</f>
        <v>0</v>
      </c>
      <c r="E1230" s="19">
        <f>+SUMIFS(Regiones[Contestadas],Regiones[Fecha],Tabla54[[#This Row],[Fecha]],Regiones[Intervalo],Tabla54[[#This Row],[Intervalo]],Regiones[Skill],'BUPA Seguros'!$L$3)</f>
        <v>0</v>
      </c>
      <c r="F1230" s="20">
        <v>0</v>
      </c>
      <c r="G1230" s="19">
        <f>IFERROR(SUMIFS(Regiones[TMO],Regiones[Fecha],Tabla54[[#This Row],[Fecha]],Regiones[Intervalo],Tabla54[[#This Row],[Intervalo]],Regiones[Skill],'BUPA Seguros'!$L$3)/Tabla54[[#This Row],[Atendidas]],0)</f>
        <v>0</v>
      </c>
      <c r="H12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0" s="21">
        <f>IFERROR(Tabla54[[#This Row],[Atendidas]]/Tabla54[[#This Row],[Recibidas]],0)</f>
        <v>0</v>
      </c>
    </row>
    <row r="1231" spans="2:9" x14ac:dyDescent="0.3">
      <c r="B1231" s="25">
        <f t="shared" si="55"/>
        <v>46229</v>
      </c>
      <c r="C1231" s="26">
        <v>0.52083333333333304</v>
      </c>
      <c r="D1231" s="19">
        <f>+SUMIFS(Regiones[Ofrecidas],Regiones[Fecha],Tabla54[[#This Row],[Fecha]],Regiones[Intervalo],Tabla54[[#This Row],[Intervalo]],Regiones[Skill],'BUPA Seguros'!$L$3)</f>
        <v>0</v>
      </c>
      <c r="E1231" s="19">
        <f>+SUMIFS(Regiones[Contestadas],Regiones[Fecha],Tabla54[[#This Row],[Fecha]],Regiones[Intervalo],Tabla54[[#This Row],[Intervalo]],Regiones[Skill],'BUPA Seguros'!$L$3)</f>
        <v>0</v>
      </c>
      <c r="F1231" s="20">
        <v>0</v>
      </c>
      <c r="G1231" s="19">
        <f>IFERROR(SUMIFS(Regiones[TMO],Regiones[Fecha],Tabla54[[#This Row],[Fecha]],Regiones[Intervalo],Tabla54[[#This Row],[Intervalo]],Regiones[Skill],'BUPA Seguros'!$L$3)/Tabla54[[#This Row],[Atendidas]],0)</f>
        <v>0</v>
      </c>
      <c r="H12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1" s="21">
        <f>IFERROR(Tabla54[[#This Row],[Atendidas]]/Tabla54[[#This Row],[Recibidas]],0)</f>
        <v>0</v>
      </c>
    </row>
    <row r="1232" spans="2:9" x14ac:dyDescent="0.3">
      <c r="B1232" s="27">
        <f t="shared" si="55"/>
        <v>46229</v>
      </c>
      <c r="C1232" s="18">
        <v>0.54166666666666696</v>
      </c>
      <c r="D1232" s="19">
        <f>+SUMIFS(Regiones[Ofrecidas],Regiones[Fecha],Tabla54[[#This Row],[Fecha]],Regiones[Intervalo],Tabla54[[#This Row],[Intervalo]],Regiones[Skill],'BUPA Seguros'!$L$3)</f>
        <v>0</v>
      </c>
      <c r="E1232" s="19">
        <f>+SUMIFS(Regiones[Contestadas],Regiones[Fecha],Tabla54[[#This Row],[Fecha]],Regiones[Intervalo],Tabla54[[#This Row],[Intervalo]],Regiones[Skill],'BUPA Seguros'!$L$3)</f>
        <v>0</v>
      </c>
      <c r="F1232" s="20">
        <v>0</v>
      </c>
      <c r="G1232" s="19">
        <f>IFERROR(SUMIFS(Regiones[TMO],Regiones[Fecha],Tabla54[[#This Row],[Fecha]],Regiones[Intervalo],Tabla54[[#This Row],[Intervalo]],Regiones[Skill],'BUPA Seguros'!$L$3)/Tabla54[[#This Row],[Atendidas]],0)</f>
        <v>0</v>
      </c>
      <c r="H12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2" s="21">
        <f>IFERROR(Tabla54[[#This Row],[Atendidas]]/Tabla54[[#This Row],[Recibidas]],0)</f>
        <v>0</v>
      </c>
    </row>
    <row r="1233" spans="2:9" x14ac:dyDescent="0.3">
      <c r="B1233" s="25">
        <f t="shared" si="55"/>
        <v>46229</v>
      </c>
      <c r="C1233" s="26">
        <v>0.5625</v>
      </c>
      <c r="D1233" s="19">
        <f>+SUMIFS(Regiones[Ofrecidas],Regiones[Fecha],Tabla54[[#This Row],[Fecha]],Regiones[Intervalo],Tabla54[[#This Row],[Intervalo]],Regiones[Skill],'BUPA Seguros'!$L$3)</f>
        <v>0</v>
      </c>
      <c r="E1233" s="19">
        <f>+SUMIFS(Regiones[Contestadas],Regiones[Fecha],Tabla54[[#This Row],[Fecha]],Regiones[Intervalo],Tabla54[[#This Row],[Intervalo]],Regiones[Skill],'BUPA Seguros'!$L$3)</f>
        <v>0</v>
      </c>
      <c r="F1233" s="20">
        <v>0</v>
      </c>
      <c r="G1233" s="19">
        <f>IFERROR(SUMIFS(Regiones[TMO],Regiones[Fecha],Tabla54[[#This Row],[Fecha]],Regiones[Intervalo],Tabla54[[#This Row],[Intervalo]],Regiones[Skill],'BUPA Seguros'!$L$3)/Tabla54[[#This Row],[Atendidas]],0)</f>
        <v>0</v>
      </c>
      <c r="H12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3" s="21">
        <f>IFERROR(Tabla54[[#This Row],[Atendidas]]/Tabla54[[#This Row],[Recibidas]],0)</f>
        <v>0</v>
      </c>
    </row>
    <row r="1234" spans="2:9" x14ac:dyDescent="0.3">
      <c r="B1234" s="27">
        <f t="shared" si="55"/>
        <v>46229</v>
      </c>
      <c r="C1234" s="18">
        <v>0.58333333333333304</v>
      </c>
      <c r="D1234" s="19">
        <f>+SUMIFS(Regiones[Ofrecidas],Regiones[Fecha],Tabla54[[#This Row],[Fecha]],Regiones[Intervalo],Tabla54[[#This Row],[Intervalo]],Regiones[Skill],'BUPA Seguros'!$L$3)</f>
        <v>0</v>
      </c>
      <c r="E1234" s="19">
        <f>+SUMIFS(Regiones[Contestadas],Regiones[Fecha],Tabla54[[#This Row],[Fecha]],Regiones[Intervalo],Tabla54[[#This Row],[Intervalo]],Regiones[Skill],'BUPA Seguros'!$L$3)</f>
        <v>0</v>
      </c>
      <c r="F1234" s="20">
        <v>0</v>
      </c>
      <c r="G1234" s="19">
        <f>IFERROR(SUMIFS(Regiones[TMO],Regiones[Fecha],Tabla54[[#This Row],[Fecha]],Regiones[Intervalo],Tabla54[[#This Row],[Intervalo]],Regiones[Skill],'BUPA Seguros'!$L$3)/Tabla54[[#This Row],[Atendidas]],0)</f>
        <v>0</v>
      </c>
      <c r="H12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4" s="21">
        <f>IFERROR(Tabla54[[#This Row],[Atendidas]]/Tabla54[[#This Row],[Recibidas]],0)</f>
        <v>0</v>
      </c>
    </row>
    <row r="1235" spans="2:9" x14ac:dyDescent="0.3">
      <c r="B1235" s="25">
        <f t="shared" si="55"/>
        <v>46229</v>
      </c>
      <c r="C1235" s="26">
        <v>0.60416666666666696</v>
      </c>
      <c r="D1235" s="19">
        <f>+SUMIFS(Regiones[Ofrecidas],Regiones[Fecha],Tabla54[[#This Row],[Fecha]],Regiones[Intervalo],Tabla54[[#This Row],[Intervalo]],Regiones[Skill],'BUPA Seguros'!$L$3)</f>
        <v>0</v>
      </c>
      <c r="E1235" s="19">
        <f>+SUMIFS(Regiones[Contestadas],Regiones[Fecha],Tabla54[[#This Row],[Fecha]],Regiones[Intervalo],Tabla54[[#This Row],[Intervalo]],Regiones[Skill],'BUPA Seguros'!$L$3)</f>
        <v>0</v>
      </c>
      <c r="F1235" s="20">
        <v>0</v>
      </c>
      <c r="G1235" s="19">
        <f>IFERROR(SUMIFS(Regiones[TMO],Regiones[Fecha],Tabla54[[#This Row],[Fecha]],Regiones[Intervalo],Tabla54[[#This Row],[Intervalo]],Regiones[Skill],'BUPA Seguros'!$L$3)/Tabla54[[#This Row],[Atendidas]],0)</f>
        <v>0</v>
      </c>
      <c r="H12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5" s="21">
        <f>IFERROR(Tabla54[[#This Row],[Atendidas]]/Tabla54[[#This Row],[Recibidas]],0)</f>
        <v>0</v>
      </c>
    </row>
    <row r="1236" spans="2:9" x14ac:dyDescent="0.3">
      <c r="B1236" s="27">
        <f t="shared" si="55"/>
        <v>46229</v>
      </c>
      <c r="C1236" s="18">
        <v>0.625</v>
      </c>
      <c r="D1236" s="19">
        <f>+SUMIFS(Regiones[Ofrecidas],Regiones[Fecha],Tabla54[[#This Row],[Fecha]],Regiones[Intervalo],Tabla54[[#This Row],[Intervalo]],Regiones[Skill],'BUPA Seguros'!$L$3)</f>
        <v>0</v>
      </c>
      <c r="E1236" s="19">
        <f>+SUMIFS(Regiones[Contestadas],Regiones[Fecha],Tabla54[[#This Row],[Fecha]],Regiones[Intervalo],Tabla54[[#This Row],[Intervalo]],Regiones[Skill],'BUPA Seguros'!$L$3)</f>
        <v>0</v>
      </c>
      <c r="F1236" s="20">
        <v>0</v>
      </c>
      <c r="G1236" s="19">
        <f>IFERROR(SUMIFS(Regiones[TMO],Regiones[Fecha],Tabla54[[#This Row],[Fecha]],Regiones[Intervalo],Tabla54[[#This Row],[Intervalo]],Regiones[Skill],'BUPA Seguros'!$L$3)/Tabla54[[#This Row],[Atendidas]],0)</f>
        <v>0</v>
      </c>
      <c r="H12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6" s="21">
        <f>IFERROR(Tabla54[[#This Row],[Atendidas]]/Tabla54[[#This Row],[Recibidas]],0)</f>
        <v>0</v>
      </c>
    </row>
    <row r="1237" spans="2:9" x14ac:dyDescent="0.3">
      <c r="B1237" s="25">
        <f t="shared" si="55"/>
        <v>46229</v>
      </c>
      <c r="C1237" s="26">
        <v>0.64583333333333304</v>
      </c>
      <c r="D1237" s="19">
        <f>+SUMIFS(Regiones[Ofrecidas],Regiones[Fecha],Tabla54[[#This Row],[Fecha]],Regiones[Intervalo],Tabla54[[#This Row],[Intervalo]],Regiones[Skill],'BUPA Seguros'!$L$3)</f>
        <v>0</v>
      </c>
      <c r="E1237" s="19">
        <f>+SUMIFS(Regiones[Contestadas],Regiones[Fecha],Tabla54[[#This Row],[Fecha]],Regiones[Intervalo],Tabla54[[#This Row],[Intervalo]],Regiones[Skill],'BUPA Seguros'!$L$3)</f>
        <v>0</v>
      </c>
      <c r="F1237" s="20">
        <v>0</v>
      </c>
      <c r="G1237" s="19">
        <f>IFERROR(SUMIFS(Regiones[TMO],Regiones[Fecha],Tabla54[[#This Row],[Fecha]],Regiones[Intervalo],Tabla54[[#This Row],[Intervalo]],Regiones[Skill],'BUPA Seguros'!$L$3)/Tabla54[[#This Row],[Atendidas]],0)</f>
        <v>0</v>
      </c>
      <c r="H12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7" s="21">
        <f>IFERROR(Tabla54[[#This Row],[Atendidas]]/Tabla54[[#This Row],[Recibidas]],0)</f>
        <v>0</v>
      </c>
    </row>
    <row r="1238" spans="2:9" x14ac:dyDescent="0.3">
      <c r="B1238" s="27">
        <f t="shared" si="55"/>
        <v>46229</v>
      </c>
      <c r="C1238" s="18">
        <v>0.66666666666666696</v>
      </c>
      <c r="D1238" s="19">
        <f>+SUMIFS(Regiones[Ofrecidas],Regiones[Fecha],Tabla54[[#This Row],[Fecha]],Regiones[Intervalo],Tabla54[[#This Row],[Intervalo]],Regiones[Skill],'BUPA Seguros'!$L$3)</f>
        <v>0</v>
      </c>
      <c r="E1238" s="19">
        <f>+SUMIFS(Regiones[Contestadas],Regiones[Fecha],Tabla54[[#This Row],[Fecha]],Regiones[Intervalo],Tabla54[[#This Row],[Intervalo]],Regiones[Skill],'BUPA Seguros'!$L$3)</f>
        <v>0</v>
      </c>
      <c r="F1238" s="20">
        <v>0</v>
      </c>
      <c r="G1238" s="19">
        <f>IFERROR(SUMIFS(Regiones[TMO],Regiones[Fecha],Tabla54[[#This Row],[Fecha]],Regiones[Intervalo],Tabla54[[#This Row],[Intervalo]],Regiones[Skill],'BUPA Seguros'!$L$3)/Tabla54[[#This Row],[Atendidas]],0)</f>
        <v>0</v>
      </c>
      <c r="H12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8" s="21">
        <f>IFERROR(Tabla54[[#This Row],[Atendidas]]/Tabla54[[#This Row],[Recibidas]],0)</f>
        <v>0</v>
      </c>
    </row>
    <row r="1239" spans="2:9" x14ac:dyDescent="0.3">
      <c r="B1239" s="25">
        <f t="shared" si="55"/>
        <v>46229</v>
      </c>
      <c r="C1239" s="26">
        <v>0.6875</v>
      </c>
      <c r="D1239" s="19">
        <f>+SUMIFS(Regiones[Ofrecidas],Regiones[Fecha],Tabla54[[#This Row],[Fecha]],Regiones[Intervalo],Tabla54[[#This Row],[Intervalo]],Regiones[Skill],'BUPA Seguros'!$L$3)</f>
        <v>0</v>
      </c>
      <c r="E1239" s="19">
        <f>+SUMIFS(Regiones[Contestadas],Regiones[Fecha],Tabla54[[#This Row],[Fecha]],Regiones[Intervalo],Tabla54[[#This Row],[Intervalo]],Regiones[Skill],'BUPA Seguros'!$L$3)</f>
        <v>0</v>
      </c>
      <c r="F1239" s="20">
        <v>0</v>
      </c>
      <c r="G1239" s="19">
        <f>IFERROR(SUMIFS(Regiones[TMO],Regiones[Fecha],Tabla54[[#This Row],[Fecha]],Regiones[Intervalo],Tabla54[[#This Row],[Intervalo]],Regiones[Skill],'BUPA Seguros'!$L$3)/Tabla54[[#This Row],[Atendidas]],0)</f>
        <v>0</v>
      </c>
      <c r="H12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39" s="21">
        <f>IFERROR(Tabla54[[#This Row],[Atendidas]]/Tabla54[[#This Row],[Recibidas]],0)</f>
        <v>0</v>
      </c>
    </row>
    <row r="1240" spans="2:9" x14ac:dyDescent="0.3">
      <c r="B1240" s="27">
        <f t="shared" si="55"/>
        <v>46229</v>
      </c>
      <c r="C1240" s="18">
        <v>0.70833333333333304</v>
      </c>
      <c r="D1240" s="19">
        <f>+SUMIFS(Regiones[Ofrecidas],Regiones[Fecha],Tabla54[[#This Row],[Fecha]],Regiones[Intervalo],Tabla54[[#This Row],[Intervalo]],Regiones[Skill],'BUPA Seguros'!$L$3)</f>
        <v>0</v>
      </c>
      <c r="E1240" s="19">
        <f>+SUMIFS(Regiones[Contestadas],Regiones[Fecha],Tabla54[[#This Row],[Fecha]],Regiones[Intervalo],Tabla54[[#This Row],[Intervalo]],Regiones[Skill],'BUPA Seguros'!$L$3)</f>
        <v>0</v>
      </c>
      <c r="F1240" s="20">
        <v>0</v>
      </c>
      <c r="G1240" s="19">
        <f>IFERROR(SUMIFS(Regiones[TMO],Regiones[Fecha],Tabla54[[#This Row],[Fecha]],Regiones[Intervalo],Tabla54[[#This Row],[Intervalo]],Regiones[Skill],'BUPA Seguros'!$L$3)/Tabla54[[#This Row],[Atendidas]],0)</f>
        <v>0</v>
      </c>
      <c r="H12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0" s="21">
        <f>IFERROR(Tabla54[[#This Row],[Atendidas]]/Tabla54[[#This Row],[Recibidas]],0)</f>
        <v>0</v>
      </c>
    </row>
    <row r="1241" spans="2:9" x14ac:dyDescent="0.3">
      <c r="B1241" s="25">
        <f t="shared" si="55"/>
        <v>46229</v>
      </c>
      <c r="C1241" s="26">
        <v>0.72916666666666696</v>
      </c>
      <c r="D1241" s="19">
        <f>+SUMIFS(Regiones[Ofrecidas],Regiones[Fecha],Tabla54[[#This Row],[Fecha]],Regiones[Intervalo],Tabla54[[#This Row],[Intervalo]],Regiones[Skill],'BUPA Seguros'!$L$3)</f>
        <v>0</v>
      </c>
      <c r="E1241" s="19">
        <f>+SUMIFS(Regiones[Contestadas],Regiones[Fecha],Tabla54[[#This Row],[Fecha]],Regiones[Intervalo],Tabla54[[#This Row],[Intervalo]],Regiones[Skill],'BUPA Seguros'!$L$3)</f>
        <v>0</v>
      </c>
      <c r="F1241" s="20">
        <v>0</v>
      </c>
      <c r="G1241" s="19">
        <f>IFERROR(SUMIFS(Regiones[TMO],Regiones[Fecha],Tabla54[[#This Row],[Fecha]],Regiones[Intervalo],Tabla54[[#This Row],[Intervalo]],Regiones[Skill],'BUPA Seguros'!$L$3)/Tabla54[[#This Row],[Atendidas]],0)</f>
        <v>0</v>
      </c>
      <c r="H12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1" s="21">
        <f>IFERROR(Tabla54[[#This Row],[Atendidas]]/Tabla54[[#This Row],[Recibidas]],0)</f>
        <v>0</v>
      </c>
    </row>
    <row r="1242" spans="2:9" x14ac:dyDescent="0.3">
      <c r="B1242" s="27">
        <f t="shared" si="55"/>
        <v>46229</v>
      </c>
      <c r="C1242" s="18">
        <v>0.75</v>
      </c>
      <c r="D1242" s="19">
        <f>+SUMIFS(Regiones[Ofrecidas],Regiones[Fecha],Tabla54[[#This Row],[Fecha]],Regiones[Intervalo],Tabla54[[#This Row],[Intervalo]],Regiones[Skill],'BUPA Seguros'!$L$3)</f>
        <v>0</v>
      </c>
      <c r="E1242" s="19">
        <f>+SUMIFS(Regiones[Contestadas],Regiones[Fecha],Tabla54[[#This Row],[Fecha]],Regiones[Intervalo],Tabla54[[#This Row],[Intervalo]],Regiones[Skill],'BUPA Seguros'!$L$3)</f>
        <v>0</v>
      </c>
      <c r="F1242" s="20">
        <v>0</v>
      </c>
      <c r="G1242" s="19">
        <f>IFERROR(SUMIFS(Regiones[TMO],Regiones[Fecha],Tabla54[[#This Row],[Fecha]],Regiones[Intervalo],Tabla54[[#This Row],[Intervalo]],Regiones[Skill],'BUPA Seguros'!$L$3)/Tabla54[[#This Row],[Atendidas]],0)</f>
        <v>0</v>
      </c>
      <c r="H12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2" s="21">
        <f>IFERROR(Tabla54[[#This Row],[Atendidas]]/Tabla54[[#This Row],[Recibidas]],0)</f>
        <v>0</v>
      </c>
    </row>
    <row r="1243" spans="2:9" x14ac:dyDescent="0.3">
      <c r="B1243" s="25">
        <f t="shared" si="55"/>
        <v>46229</v>
      </c>
      <c r="C1243" s="26">
        <v>0.77083333333333304</v>
      </c>
      <c r="D1243" s="19">
        <f>+SUMIFS(Regiones[Ofrecidas],Regiones[Fecha],Tabla54[[#This Row],[Fecha]],Regiones[Intervalo],Tabla54[[#This Row],[Intervalo]],Regiones[Skill],'BUPA Seguros'!$L$3)</f>
        <v>0</v>
      </c>
      <c r="E1243" s="19">
        <f>+SUMIFS(Regiones[Contestadas],Regiones[Fecha],Tabla54[[#This Row],[Fecha]],Regiones[Intervalo],Tabla54[[#This Row],[Intervalo]],Regiones[Skill],'BUPA Seguros'!$L$3)</f>
        <v>0</v>
      </c>
      <c r="F1243" s="20">
        <v>0</v>
      </c>
      <c r="G1243" s="19">
        <f>IFERROR(SUMIFS(Regiones[TMO],Regiones[Fecha],Tabla54[[#This Row],[Fecha]],Regiones[Intervalo],Tabla54[[#This Row],[Intervalo]],Regiones[Skill],'BUPA Seguros'!$L$3)/Tabla54[[#This Row],[Atendidas]],0)</f>
        <v>0</v>
      </c>
      <c r="H12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3" s="21">
        <f>IFERROR(Tabla54[[#This Row],[Atendidas]]/Tabla54[[#This Row],[Recibidas]],0)</f>
        <v>0</v>
      </c>
    </row>
    <row r="1244" spans="2:9" x14ac:dyDescent="0.3">
      <c r="B1244" s="27">
        <f t="shared" si="55"/>
        <v>46229</v>
      </c>
      <c r="C1244" s="18">
        <v>0.79166666666666696</v>
      </c>
      <c r="D1244" s="19">
        <f>+SUMIFS(Regiones[Ofrecidas],Regiones[Fecha],Tabla54[[#This Row],[Fecha]],Regiones[Intervalo],Tabla54[[#This Row],[Intervalo]],Regiones[Skill],'BUPA Seguros'!$L$3)</f>
        <v>0</v>
      </c>
      <c r="E1244" s="19">
        <f>+SUMIFS(Regiones[Contestadas],Regiones[Fecha],Tabla54[[#This Row],[Fecha]],Regiones[Intervalo],Tabla54[[#This Row],[Intervalo]],Regiones[Skill],'BUPA Seguros'!$L$3)</f>
        <v>0</v>
      </c>
      <c r="F1244" s="20">
        <v>0</v>
      </c>
      <c r="G1244" s="19">
        <f>IFERROR(SUMIFS(Regiones[TMO],Regiones[Fecha],Tabla54[[#This Row],[Fecha]],Regiones[Intervalo],Tabla54[[#This Row],[Intervalo]],Regiones[Skill],'BUPA Seguros'!$L$3)/Tabla54[[#This Row],[Atendidas]],0)</f>
        <v>0</v>
      </c>
      <c r="H12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4" s="21">
        <f>IFERROR(Tabla54[[#This Row],[Atendidas]]/Tabla54[[#This Row],[Recibidas]],0)</f>
        <v>0</v>
      </c>
    </row>
    <row r="1245" spans="2:9" x14ac:dyDescent="0.3">
      <c r="B1245" s="25">
        <f t="shared" si="55"/>
        <v>46229</v>
      </c>
      <c r="C1245" s="26">
        <v>0.8125</v>
      </c>
      <c r="D1245" s="19">
        <f>+SUMIFS(Regiones[Ofrecidas],Regiones[Fecha],Tabla54[[#This Row],[Fecha]],Regiones[Intervalo],Tabla54[[#This Row],[Intervalo]],Regiones[Skill],'BUPA Seguros'!$L$3)</f>
        <v>0</v>
      </c>
      <c r="E1245" s="19">
        <f>+SUMIFS(Regiones[Contestadas],Regiones[Fecha],Tabla54[[#This Row],[Fecha]],Regiones[Intervalo],Tabla54[[#This Row],[Intervalo]],Regiones[Skill],'BUPA Seguros'!$L$3)</f>
        <v>0</v>
      </c>
      <c r="F1245" s="20">
        <v>0</v>
      </c>
      <c r="G1245" s="19">
        <f>IFERROR(SUMIFS(Regiones[TMO],Regiones[Fecha],Tabla54[[#This Row],[Fecha]],Regiones[Intervalo],Tabla54[[#This Row],[Intervalo]],Regiones[Skill],'BUPA Seguros'!$L$3)/Tabla54[[#This Row],[Atendidas]],0)</f>
        <v>0</v>
      </c>
      <c r="H12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5" s="21">
        <f>IFERROR(Tabla54[[#This Row],[Atendidas]]/Tabla54[[#This Row],[Recibidas]],0)</f>
        <v>0</v>
      </c>
    </row>
    <row r="1246" spans="2:9" x14ac:dyDescent="0.3">
      <c r="B1246" s="27">
        <f t="shared" si="55"/>
        <v>46229</v>
      </c>
      <c r="C1246" s="18">
        <v>0.83333333333333304</v>
      </c>
      <c r="D1246" s="19">
        <f>+SUMIFS(Regiones[Ofrecidas],Regiones[Fecha],Tabla54[[#This Row],[Fecha]],Regiones[Intervalo],Tabla54[[#This Row],[Intervalo]],Regiones[Skill],'BUPA Seguros'!$L$3)</f>
        <v>0</v>
      </c>
      <c r="E1246" s="19">
        <f>+SUMIFS(Regiones[Contestadas],Regiones[Fecha],Tabla54[[#This Row],[Fecha]],Regiones[Intervalo],Tabla54[[#This Row],[Intervalo]],Regiones[Skill],'BUPA Seguros'!$L$3)</f>
        <v>0</v>
      </c>
      <c r="F1246" s="20">
        <v>0</v>
      </c>
      <c r="G1246" s="19">
        <f>IFERROR(SUMIFS(Regiones[TMO],Regiones[Fecha],Tabla54[[#This Row],[Fecha]],Regiones[Intervalo],Tabla54[[#This Row],[Intervalo]],Regiones[Skill],'BUPA Seguros'!$L$3)/Tabla54[[#This Row],[Atendidas]],0)</f>
        <v>0</v>
      </c>
      <c r="H12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6" s="21">
        <f>IFERROR(Tabla54[[#This Row],[Atendidas]]/Tabla54[[#This Row],[Recibidas]],0)</f>
        <v>0</v>
      </c>
    </row>
    <row r="1247" spans="2:9" x14ac:dyDescent="0.3">
      <c r="B1247" s="25">
        <f t="shared" si="55"/>
        <v>46229</v>
      </c>
      <c r="C1247" s="26">
        <v>0.85416666666666696</v>
      </c>
      <c r="D1247" s="19">
        <f>+SUMIFS(Regiones[Ofrecidas],Regiones[Fecha],Tabla54[[#This Row],[Fecha]],Regiones[Intervalo],Tabla54[[#This Row],[Intervalo]],Regiones[Skill],'BUPA Seguros'!$L$3)</f>
        <v>0</v>
      </c>
      <c r="E1247" s="19">
        <f>+SUMIFS(Regiones[Contestadas],Regiones[Fecha],Tabla54[[#This Row],[Fecha]],Regiones[Intervalo],Tabla54[[#This Row],[Intervalo]],Regiones[Skill],'BUPA Seguros'!$L$3)</f>
        <v>0</v>
      </c>
      <c r="F1247" s="20">
        <v>0</v>
      </c>
      <c r="G1247" s="19">
        <f>IFERROR(SUMIFS(Regiones[TMO],Regiones[Fecha],Tabla54[[#This Row],[Fecha]],Regiones[Intervalo],Tabla54[[#This Row],[Intervalo]],Regiones[Skill],'BUPA Seguros'!$L$3)/Tabla54[[#This Row],[Atendidas]],0)</f>
        <v>0</v>
      </c>
      <c r="H12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7" s="21">
        <f>IFERROR(Tabla54[[#This Row],[Atendidas]]/Tabla54[[#This Row],[Recibidas]],0)</f>
        <v>0</v>
      </c>
    </row>
    <row r="1248" spans="2:9" x14ac:dyDescent="0.3">
      <c r="B1248" s="27">
        <f t="shared" si="55"/>
        <v>46229</v>
      </c>
      <c r="C1248" s="18">
        <v>0.875</v>
      </c>
      <c r="D1248" s="19">
        <f>+SUMIFS(Regiones[Ofrecidas],Regiones[Fecha],Tabla54[[#This Row],[Fecha]],Regiones[Intervalo],Tabla54[[#This Row],[Intervalo]],Regiones[Skill],'BUPA Seguros'!$L$3)</f>
        <v>0</v>
      </c>
      <c r="E1248" s="19">
        <f>+SUMIFS(Regiones[Contestadas],Regiones[Fecha],Tabla54[[#This Row],[Fecha]],Regiones[Intervalo],Tabla54[[#This Row],[Intervalo]],Regiones[Skill],'BUPA Seguros'!$L$3)</f>
        <v>0</v>
      </c>
      <c r="F1248" s="20">
        <v>0</v>
      </c>
      <c r="G1248" s="19">
        <f>IFERROR(SUMIFS(Regiones[TMO],Regiones[Fecha],Tabla54[[#This Row],[Fecha]],Regiones[Intervalo],Tabla54[[#This Row],[Intervalo]],Regiones[Skill],'BUPA Seguros'!$L$3)/Tabla54[[#This Row],[Atendidas]],0)</f>
        <v>0</v>
      </c>
      <c r="H12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8" s="21">
        <f>IFERROR(Tabla54[[#This Row],[Atendidas]]/Tabla54[[#This Row],[Recibidas]],0)</f>
        <v>0</v>
      </c>
    </row>
    <row r="1249" spans="2:9" x14ac:dyDescent="0.3">
      <c r="B1249" s="25">
        <f t="shared" si="55"/>
        <v>46229</v>
      </c>
      <c r="C1249" s="26">
        <v>0.89583333333333304</v>
      </c>
      <c r="D1249" s="19">
        <f>+SUMIFS(Regiones[Ofrecidas],Regiones[Fecha],Tabla54[[#This Row],[Fecha]],Regiones[Intervalo],Tabla54[[#This Row],[Intervalo]],Regiones[Skill],'BUPA Seguros'!$L$3)</f>
        <v>0</v>
      </c>
      <c r="E1249" s="19">
        <f>+SUMIFS(Regiones[Contestadas],Regiones[Fecha],Tabla54[[#This Row],[Fecha]],Regiones[Intervalo],Tabla54[[#This Row],[Intervalo]],Regiones[Skill],'BUPA Seguros'!$L$3)</f>
        <v>0</v>
      </c>
      <c r="F1249" s="20">
        <v>0</v>
      </c>
      <c r="G1249" s="19">
        <f>IFERROR(SUMIFS(Regiones[TMO],Regiones[Fecha],Tabla54[[#This Row],[Fecha]],Regiones[Intervalo],Tabla54[[#This Row],[Intervalo]],Regiones[Skill],'BUPA Seguros'!$L$3)/Tabla54[[#This Row],[Atendidas]],0)</f>
        <v>0</v>
      </c>
      <c r="H12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49" s="21">
        <f>IFERROR(Tabla54[[#This Row],[Atendidas]]/Tabla54[[#This Row],[Recibidas]],0)</f>
        <v>0</v>
      </c>
    </row>
    <row r="1250" spans="2:9" x14ac:dyDescent="0.3">
      <c r="B1250" s="27">
        <f t="shared" si="55"/>
        <v>46229</v>
      </c>
      <c r="C1250" s="18">
        <v>0.91666666666666696</v>
      </c>
      <c r="D1250" s="19">
        <f>+SUMIFS(Regiones[Ofrecidas],Regiones[Fecha],Tabla54[[#This Row],[Fecha]],Regiones[Intervalo],Tabla54[[#This Row],[Intervalo]],Regiones[Skill],'BUPA Seguros'!$L$3)</f>
        <v>0</v>
      </c>
      <c r="E1250" s="19">
        <f>+SUMIFS(Regiones[Contestadas],Regiones[Fecha],Tabla54[[#This Row],[Fecha]],Regiones[Intervalo],Tabla54[[#This Row],[Intervalo]],Regiones[Skill],'BUPA Seguros'!$L$3)</f>
        <v>0</v>
      </c>
      <c r="F1250" s="20">
        <v>0</v>
      </c>
      <c r="G1250" s="19">
        <f>IFERROR(SUMIFS(Regiones[TMO],Regiones[Fecha],Tabla54[[#This Row],[Fecha]],Regiones[Intervalo],Tabla54[[#This Row],[Intervalo]],Regiones[Skill],'BUPA Seguros'!$L$3)/Tabla54[[#This Row],[Atendidas]],0)</f>
        <v>0</v>
      </c>
      <c r="H12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0" s="21">
        <f>IFERROR(Tabla54[[#This Row],[Atendidas]]/Tabla54[[#This Row],[Recibidas]],0)</f>
        <v>0</v>
      </c>
    </row>
    <row r="1251" spans="2:9" x14ac:dyDescent="0.3">
      <c r="B1251" s="25">
        <f t="shared" si="55"/>
        <v>46229</v>
      </c>
      <c r="C1251" s="26">
        <v>0.9375</v>
      </c>
      <c r="D1251" s="19">
        <f>+SUMIFS(Regiones[Ofrecidas],Regiones[Fecha],Tabla54[[#This Row],[Fecha]],Regiones[Intervalo],Tabla54[[#This Row],[Intervalo]],Regiones[Skill],'BUPA Seguros'!$L$3)</f>
        <v>0</v>
      </c>
      <c r="E1251" s="19">
        <f>+SUMIFS(Regiones[Contestadas],Regiones[Fecha],Tabla54[[#This Row],[Fecha]],Regiones[Intervalo],Tabla54[[#This Row],[Intervalo]],Regiones[Skill],'BUPA Seguros'!$L$3)</f>
        <v>0</v>
      </c>
      <c r="F1251" s="20">
        <v>0</v>
      </c>
      <c r="G1251" s="19">
        <f>IFERROR(SUMIFS(Regiones[TMO],Regiones[Fecha],Tabla54[[#This Row],[Fecha]],Regiones[Intervalo],Tabla54[[#This Row],[Intervalo]],Regiones[Skill],'BUPA Seguros'!$L$3)/Tabla54[[#This Row],[Atendidas]],0)</f>
        <v>0</v>
      </c>
      <c r="H12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1" s="21">
        <f>IFERROR(Tabla54[[#This Row],[Atendidas]]/Tabla54[[#This Row],[Recibidas]],0)</f>
        <v>0</v>
      </c>
    </row>
    <row r="1252" spans="2:9" x14ac:dyDescent="0.3">
      <c r="B1252" s="27">
        <f t="shared" si="55"/>
        <v>46229</v>
      </c>
      <c r="C1252" s="18">
        <v>0.95833333333333304</v>
      </c>
      <c r="D1252" s="19">
        <f>+SUMIFS(Regiones[Ofrecidas],Regiones[Fecha],Tabla54[[#This Row],[Fecha]],Regiones[Intervalo],Tabla54[[#This Row],[Intervalo]],Regiones[Skill],'BUPA Seguros'!$L$3)</f>
        <v>0</v>
      </c>
      <c r="E1252" s="19">
        <f>+SUMIFS(Regiones[Contestadas],Regiones[Fecha],Tabla54[[#This Row],[Fecha]],Regiones[Intervalo],Tabla54[[#This Row],[Intervalo]],Regiones[Skill],'BUPA Seguros'!$L$3)</f>
        <v>0</v>
      </c>
      <c r="F1252" s="20">
        <v>0</v>
      </c>
      <c r="G1252" s="19">
        <f>IFERROR(SUMIFS(Regiones[TMO],Regiones[Fecha],Tabla54[[#This Row],[Fecha]],Regiones[Intervalo],Tabla54[[#This Row],[Intervalo]],Regiones[Skill],'BUPA Seguros'!$L$3)/Tabla54[[#This Row],[Atendidas]],0)</f>
        <v>0</v>
      </c>
      <c r="H12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2" s="21">
        <f>IFERROR(Tabla54[[#This Row],[Atendidas]]/Tabla54[[#This Row],[Recibidas]],0)</f>
        <v>0</v>
      </c>
    </row>
    <row r="1253" spans="2:9" x14ac:dyDescent="0.3">
      <c r="B1253" s="25">
        <f t="shared" si="55"/>
        <v>46229</v>
      </c>
      <c r="C1253" s="26">
        <v>0.97916666666666696</v>
      </c>
      <c r="D1253" s="19">
        <f>+SUMIFS(Regiones[Ofrecidas],Regiones[Fecha],Tabla54[[#This Row],[Fecha]],Regiones[Intervalo],Tabla54[[#This Row],[Intervalo]],Regiones[Skill],'BUPA Seguros'!$L$3)</f>
        <v>0</v>
      </c>
      <c r="E1253" s="19">
        <f>+SUMIFS(Regiones[Contestadas],Regiones[Fecha],Tabla54[[#This Row],[Fecha]],Regiones[Intervalo],Tabla54[[#This Row],[Intervalo]],Regiones[Skill],'BUPA Seguros'!$L$3)</f>
        <v>0</v>
      </c>
      <c r="F1253" s="20">
        <v>0</v>
      </c>
      <c r="G1253" s="19">
        <f>IFERROR(SUMIFS(Regiones[TMO],Regiones[Fecha],Tabla54[[#This Row],[Fecha]],Regiones[Intervalo],Tabla54[[#This Row],[Intervalo]],Regiones[Skill],'BUPA Seguros'!$L$3)/Tabla54[[#This Row],[Atendidas]],0)</f>
        <v>0</v>
      </c>
      <c r="H12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3" s="21">
        <f>IFERROR(Tabla54[[#This Row],[Atendidas]]/Tabla54[[#This Row],[Recibidas]],0)</f>
        <v>0</v>
      </c>
    </row>
    <row r="1254" spans="2:9" x14ac:dyDescent="0.3">
      <c r="B1254" s="27">
        <f t="shared" ref="B1254" si="56">+B1253+1</f>
        <v>46230</v>
      </c>
      <c r="C1254" s="18">
        <v>0</v>
      </c>
      <c r="D1254" s="19">
        <f>+SUMIFS(Regiones[Ofrecidas],Regiones[Fecha],Tabla54[[#This Row],[Fecha]],Regiones[Intervalo],Tabla54[[#This Row],[Intervalo]],Regiones[Skill],'BUPA Seguros'!$L$3)</f>
        <v>0</v>
      </c>
      <c r="E1254" s="19">
        <f>+SUMIFS(Regiones[Contestadas],Regiones[Fecha],Tabla54[[#This Row],[Fecha]],Regiones[Intervalo],Tabla54[[#This Row],[Intervalo]],Regiones[Skill],'BUPA Seguros'!$L$3)</f>
        <v>0</v>
      </c>
      <c r="F1254" s="20">
        <v>0</v>
      </c>
      <c r="G1254" s="19">
        <f>IFERROR(SUMIFS(Regiones[TMO],Regiones[Fecha],Tabla54[[#This Row],[Fecha]],Regiones[Intervalo],Tabla54[[#This Row],[Intervalo]],Regiones[Skill],'BUPA Seguros'!$L$3)/Tabla54[[#This Row],[Atendidas]],0)</f>
        <v>0</v>
      </c>
      <c r="H12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4" s="21">
        <f>IFERROR(Tabla54[[#This Row],[Atendidas]]/Tabla54[[#This Row],[Recibidas]],0)</f>
        <v>0</v>
      </c>
    </row>
    <row r="1255" spans="2:9" x14ac:dyDescent="0.3">
      <c r="B1255" s="25">
        <f t="shared" ref="B1255" si="57">+B1254</f>
        <v>46230</v>
      </c>
      <c r="C1255" s="26">
        <v>2.0833333333333332E-2</v>
      </c>
      <c r="D1255" s="19">
        <f>+SUMIFS(Regiones[Ofrecidas],Regiones[Fecha],Tabla54[[#This Row],[Fecha]],Regiones[Intervalo],Tabla54[[#This Row],[Intervalo]],Regiones[Skill],'BUPA Seguros'!$L$3)</f>
        <v>0</v>
      </c>
      <c r="E1255" s="19">
        <f>+SUMIFS(Regiones[Contestadas],Regiones[Fecha],Tabla54[[#This Row],[Fecha]],Regiones[Intervalo],Tabla54[[#This Row],[Intervalo]],Regiones[Skill],'BUPA Seguros'!$L$3)</f>
        <v>0</v>
      </c>
      <c r="F1255" s="20">
        <v>0</v>
      </c>
      <c r="G1255" s="19">
        <f>IFERROR(SUMIFS(Regiones[TMO],Regiones[Fecha],Tabla54[[#This Row],[Fecha]],Regiones[Intervalo],Tabla54[[#This Row],[Intervalo]],Regiones[Skill],'BUPA Seguros'!$L$3)/Tabla54[[#This Row],[Atendidas]],0)</f>
        <v>0</v>
      </c>
      <c r="H12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5" s="21">
        <f>IFERROR(Tabla54[[#This Row],[Atendidas]]/Tabla54[[#This Row],[Recibidas]],0)</f>
        <v>0</v>
      </c>
    </row>
    <row r="1256" spans="2:9" x14ac:dyDescent="0.3">
      <c r="B1256" s="27">
        <f t="shared" si="55"/>
        <v>46230</v>
      </c>
      <c r="C1256" s="18">
        <v>4.1666666666666699E-2</v>
      </c>
      <c r="D1256" s="19">
        <f>+SUMIFS(Regiones[Ofrecidas],Regiones[Fecha],Tabla54[[#This Row],[Fecha]],Regiones[Intervalo],Tabla54[[#This Row],[Intervalo]],Regiones[Skill],'BUPA Seguros'!$L$3)</f>
        <v>0</v>
      </c>
      <c r="E1256" s="19">
        <f>+SUMIFS(Regiones[Contestadas],Regiones[Fecha],Tabla54[[#This Row],[Fecha]],Regiones[Intervalo],Tabla54[[#This Row],[Intervalo]],Regiones[Skill],'BUPA Seguros'!$L$3)</f>
        <v>0</v>
      </c>
      <c r="F1256" s="20">
        <v>0</v>
      </c>
      <c r="G1256" s="19">
        <f>IFERROR(SUMIFS(Regiones[TMO],Regiones[Fecha],Tabla54[[#This Row],[Fecha]],Regiones[Intervalo],Tabla54[[#This Row],[Intervalo]],Regiones[Skill],'BUPA Seguros'!$L$3)/Tabla54[[#This Row],[Atendidas]],0)</f>
        <v>0</v>
      </c>
      <c r="H12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6" s="21">
        <f>IFERROR(Tabla54[[#This Row],[Atendidas]]/Tabla54[[#This Row],[Recibidas]],0)</f>
        <v>0</v>
      </c>
    </row>
    <row r="1257" spans="2:9" x14ac:dyDescent="0.3">
      <c r="B1257" s="25">
        <f t="shared" si="55"/>
        <v>46230</v>
      </c>
      <c r="C1257" s="26">
        <v>6.25E-2</v>
      </c>
      <c r="D1257" s="19">
        <f>+SUMIFS(Regiones[Ofrecidas],Regiones[Fecha],Tabla54[[#This Row],[Fecha]],Regiones[Intervalo],Tabla54[[#This Row],[Intervalo]],Regiones[Skill],'BUPA Seguros'!$L$3)</f>
        <v>0</v>
      </c>
      <c r="E1257" s="19">
        <f>+SUMIFS(Regiones[Contestadas],Regiones[Fecha],Tabla54[[#This Row],[Fecha]],Regiones[Intervalo],Tabla54[[#This Row],[Intervalo]],Regiones[Skill],'BUPA Seguros'!$L$3)</f>
        <v>0</v>
      </c>
      <c r="F1257" s="20">
        <v>0</v>
      </c>
      <c r="G1257" s="19">
        <f>IFERROR(SUMIFS(Regiones[TMO],Regiones[Fecha],Tabla54[[#This Row],[Fecha]],Regiones[Intervalo],Tabla54[[#This Row],[Intervalo]],Regiones[Skill],'BUPA Seguros'!$L$3)/Tabla54[[#This Row],[Atendidas]],0)</f>
        <v>0</v>
      </c>
      <c r="H12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7" s="21">
        <f>IFERROR(Tabla54[[#This Row],[Atendidas]]/Tabla54[[#This Row],[Recibidas]],0)</f>
        <v>0</v>
      </c>
    </row>
    <row r="1258" spans="2:9" x14ac:dyDescent="0.3">
      <c r="B1258" s="27">
        <f t="shared" si="55"/>
        <v>46230</v>
      </c>
      <c r="C1258" s="18">
        <v>8.3333333333333301E-2</v>
      </c>
      <c r="D1258" s="19">
        <f>+SUMIFS(Regiones[Ofrecidas],Regiones[Fecha],Tabla54[[#This Row],[Fecha]],Regiones[Intervalo],Tabla54[[#This Row],[Intervalo]],Regiones[Skill],'BUPA Seguros'!$L$3)</f>
        <v>0</v>
      </c>
      <c r="E1258" s="19">
        <f>+SUMIFS(Regiones[Contestadas],Regiones[Fecha],Tabla54[[#This Row],[Fecha]],Regiones[Intervalo],Tabla54[[#This Row],[Intervalo]],Regiones[Skill],'BUPA Seguros'!$L$3)</f>
        <v>0</v>
      </c>
      <c r="F1258" s="20">
        <v>0</v>
      </c>
      <c r="G1258" s="19">
        <f>IFERROR(SUMIFS(Regiones[TMO],Regiones[Fecha],Tabla54[[#This Row],[Fecha]],Regiones[Intervalo],Tabla54[[#This Row],[Intervalo]],Regiones[Skill],'BUPA Seguros'!$L$3)/Tabla54[[#This Row],[Atendidas]],0)</f>
        <v>0</v>
      </c>
      <c r="H12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8" s="21">
        <f>IFERROR(Tabla54[[#This Row],[Atendidas]]/Tabla54[[#This Row],[Recibidas]],0)</f>
        <v>0</v>
      </c>
    </row>
    <row r="1259" spans="2:9" x14ac:dyDescent="0.3">
      <c r="B1259" s="25">
        <f t="shared" si="55"/>
        <v>46230</v>
      </c>
      <c r="C1259" s="26">
        <v>0.104166666666667</v>
      </c>
      <c r="D1259" s="19">
        <f>+SUMIFS(Regiones[Ofrecidas],Regiones[Fecha],Tabla54[[#This Row],[Fecha]],Regiones[Intervalo],Tabla54[[#This Row],[Intervalo]],Regiones[Skill],'BUPA Seguros'!$L$3)</f>
        <v>0</v>
      </c>
      <c r="E1259" s="19">
        <f>+SUMIFS(Regiones[Contestadas],Regiones[Fecha],Tabla54[[#This Row],[Fecha]],Regiones[Intervalo],Tabla54[[#This Row],[Intervalo]],Regiones[Skill],'BUPA Seguros'!$L$3)</f>
        <v>0</v>
      </c>
      <c r="F1259" s="20">
        <v>0</v>
      </c>
      <c r="G1259" s="19">
        <f>IFERROR(SUMIFS(Regiones[TMO],Regiones[Fecha],Tabla54[[#This Row],[Fecha]],Regiones[Intervalo],Tabla54[[#This Row],[Intervalo]],Regiones[Skill],'BUPA Seguros'!$L$3)/Tabla54[[#This Row],[Atendidas]],0)</f>
        <v>0</v>
      </c>
      <c r="H12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59" s="21">
        <f>IFERROR(Tabla54[[#This Row],[Atendidas]]/Tabla54[[#This Row],[Recibidas]],0)</f>
        <v>0</v>
      </c>
    </row>
    <row r="1260" spans="2:9" x14ac:dyDescent="0.3">
      <c r="B1260" s="27">
        <f t="shared" si="55"/>
        <v>46230</v>
      </c>
      <c r="C1260" s="18">
        <v>0.125</v>
      </c>
      <c r="D1260" s="19">
        <f>+SUMIFS(Regiones[Ofrecidas],Regiones[Fecha],Tabla54[[#This Row],[Fecha]],Regiones[Intervalo],Tabla54[[#This Row],[Intervalo]],Regiones[Skill],'BUPA Seguros'!$L$3)</f>
        <v>0</v>
      </c>
      <c r="E1260" s="19">
        <f>+SUMIFS(Regiones[Contestadas],Regiones[Fecha],Tabla54[[#This Row],[Fecha]],Regiones[Intervalo],Tabla54[[#This Row],[Intervalo]],Regiones[Skill],'BUPA Seguros'!$L$3)</f>
        <v>0</v>
      </c>
      <c r="F1260" s="20">
        <v>0</v>
      </c>
      <c r="G1260" s="19">
        <f>IFERROR(SUMIFS(Regiones[TMO],Regiones[Fecha],Tabla54[[#This Row],[Fecha]],Regiones[Intervalo],Tabla54[[#This Row],[Intervalo]],Regiones[Skill],'BUPA Seguros'!$L$3)/Tabla54[[#This Row],[Atendidas]],0)</f>
        <v>0</v>
      </c>
      <c r="H12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0" s="21">
        <f>IFERROR(Tabla54[[#This Row],[Atendidas]]/Tabla54[[#This Row],[Recibidas]],0)</f>
        <v>0</v>
      </c>
    </row>
    <row r="1261" spans="2:9" x14ac:dyDescent="0.3">
      <c r="B1261" s="25">
        <f t="shared" si="55"/>
        <v>46230</v>
      </c>
      <c r="C1261" s="26">
        <v>0.14583333333333301</v>
      </c>
      <c r="D1261" s="19">
        <f>+SUMIFS(Regiones[Ofrecidas],Regiones[Fecha],Tabla54[[#This Row],[Fecha]],Regiones[Intervalo],Tabla54[[#This Row],[Intervalo]],Regiones[Skill],'BUPA Seguros'!$L$3)</f>
        <v>0</v>
      </c>
      <c r="E1261" s="19">
        <f>+SUMIFS(Regiones[Contestadas],Regiones[Fecha],Tabla54[[#This Row],[Fecha]],Regiones[Intervalo],Tabla54[[#This Row],[Intervalo]],Regiones[Skill],'BUPA Seguros'!$L$3)</f>
        <v>0</v>
      </c>
      <c r="F1261" s="20">
        <v>0</v>
      </c>
      <c r="G1261" s="19">
        <f>IFERROR(SUMIFS(Regiones[TMO],Regiones[Fecha],Tabla54[[#This Row],[Fecha]],Regiones[Intervalo],Tabla54[[#This Row],[Intervalo]],Regiones[Skill],'BUPA Seguros'!$L$3)/Tabla54[[#This Row],[Atendidas]],0)</f>
        <v>0</v>
      </c>
      <c r="H12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1" s="21">
        <f>IFERROR(Tabla54[[#This Row],[Atendidas]]/Tabla54[[#This Row],[Recibidas]],0)</f>
        <v>0</v>
      </c>
    </row>
    <row r="1262" spans="2:9" x14ac:dyDescent="0.3">
      <c r="B1262" s="27">
        <f t="shared" si="55"/>
        <v>46230</v>
      </c>
      <c r="C1262" s="18">
        <v>0.16666666666666699</v>
      </c>
      <c r="D1262" s="19">
        <f>+SUMIFS(Regiones[Ofrecidas],Regiones[Fecha],Tabla54[[#This Row],[Fecha]],Regiones[Intervalo],Tabla54[[#This Row],[Intervalo]],Regiones[Skill],'BUPA Seguros'!$L$3)</f>
        <v>0</v>
      </c>
      <c r="E1262" s="19">
        <f>+SUMIFS(Regiones[Contestadas],Regiones[Fecha],Tabla54[[#This Row],[Fecha]],Regiones[Intervalo],Tabla54[[#This Row],[Intervalo]],Regiones[Skill],'BUPA Seguros'!$L$3)</f>
        <v>0</v>
      </c>
      <c r="F1262" s="20">
        <v>0</v>
      </c>
      <c r="G1262" s="19">
        <f>IFERROR(SUMIFS(Regiones[TMO],Regiones[Fecha],Tabla54[[#This Row],[Fecha]],Regiones[Intervalo],Tabla54[[#This Row],[Intervalo]],Regiones[Skill],'BUPA Seguros'!$L$3)/Tabla54[[#This Row],[Atendidas]],0)</f>
        <v>0</v>
      </c>
      <c r="H12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2" s="21">
        <f>IFERROR(Tabla54[[#This Row],[Atendidas]]/Tabla54[[#This Row],[Recibidas]],0)</f>
        <v>0</v>
      </c>
    </row>
    <row r="1263" spans="2:9" x14ac:dyDescent="0.3">
      <c r="B1263" s="25">
        <f t="shared" si="55"/>
        <v>46230</v>
      </c>
      <c r="C1263" s="26">
        <v>0.1875</v>
      </c>
      <c r="D1263" s="19">
        <f>+SUMIFS(Regiones[Ofrecidas],Regiones[Fecha],Tabla54[[#This Row],[Fecha]],Regiones[Intervalo],Tabla54[[#This Row],[Intervalo]],Regiones[Skill],'BUPA Seguros'!$L$3)</f>
        <v>0</v>
      </c>
      <c r="E1263" s="19">
        <f>+SUMIFS(Regiones[Contestadas],Regiones[Fecha],Tabla54[[#This Row],[Fecha]],Regiones[Intervalo],Tabla54[[#This Row],[Intervalo]],Regiones[Skill],'BUPA Seguros'!$L$3)</f>
        <v>0</v>
      </c>
      <c r="F1263" s="20">
        <v>0</v>
      </c>
      <c r="G1263" s="19">
        <f>IFERROR(SUMIFS(Regiones[TMO],Regiones[Fecha],Tabla54[[#This Row],[Fecha]],Regiones[Intervalo],Tabla54[[#This Row],[Intervalo]],Regiones[Skill],'BUPA Seguros'!$L$3)/Tabla54[[#This Row],[Atendidas]],0)</f>
        <v>0</v>
      </c>
      <c r="H12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3" s="21">
        <f>IFERROR(Tabla54[[#This Row],[Atendidas]]/Tabla54[[#This Row],[Recibidas]],0)</f>
        <v>0</v>
      </c>
    </row>
    <row r="1264" spans="2:9" x14ac:dyDescent="0.3">
      <c r="B1264" s="27">
        <f t="shared" si="55"/>
        <v>46230</v>
      </c>
      <c r="C1264" s="18">
        <v>0.20833333333333301</v>
      </c>
      <c r="D1264" s="19">
        <f>+SUMIFS(Regiones[Ofrecidas],Regiones[Fecha],Tabla54[[#This Row],[Fecha]],Regiones[Intervalo],Tabla54[[#This Row],[Intervalo]],Regiones[Skill],'BUPA Seguros'!$L$3)</f>
        <v>0</v>
      </c>
      <c r="E1264" s="19">
        <f>+SUMIFS(Regiones[Contestadas],Regiones[Fecha],Tabla54[[#This Row],[Fecha]],Regiones[Intervalo],Tabla54[[#This Row],[Intervalo]],Regiones[Skill],'BUPA Seguros'!$L$3)</f>
        <v>0</v>
      </c>
      <c r="F1264" s="20">
        <v>0</v>
      </c>
      <c r="G1264" s="19">
        <f>IFERROR(SUMIFS(Regiones[TMO],Regiones[Fecha],Tabla54[[#This Row],[Fecha]],Regiones[Intervalo],Tabla54[[#This Row],[Intervalo]],Regiones[Skill],'BUPA Seguros'!$L$3)/Tabla54[[#This Row],[Atendidas]],0)</f>
        <v>0</v>
      </c>
      <c r="H12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4" s="21">
        <f>IFERROR(Tabla54[[#This Row],[Atendidas]]/Tabla54[[#This Row],[Recibidas]],0)</f>
        <v>0</v>
      </c>
    </row>
    <row r="1265" spans="2:9" x14ac:dyDescent="0.3">
      <c r="B1265" s="25">
        <f t="shared" si="55"/>
        <v>46230</v>
      </c>
      <c r="C1265" s="26">
        <v>0.22916666666666699</v>
      </c>
      <c r="D1265" s="19">
        <f>+SUMIFS(Regiones[Ofrecidas],Regiones[Fecha],Tabla54[[#This Row],[Fecha]],Regiones[Intervalo],Tabla54[[#This Row],[Intervalo]],Regiones[Skill],'BUPA Seguros'!$L$3)</f>
        <v>0</v>
      </c>
      <c r="E1265" s="19">
        <f>+SUMIFS(Regiones[Contestadas],Regiones[Fecha],Tabla54[[#This Row],[Fecha]],Regiones[Intervalo],Tabla54[[#This Row],[Intervalo]],Regiones[Skill],'BUPA Seguros'!$L$3)</f>
        <v>0</v>
      </c>
      <c r="F1265" s="20">
        <v>0</v>
      </c>
      <c r="G1265" s="19">
        <f>IFERROR(SUMIFS(Regiones[TMO],Regiones[Fecha],Tabla54[[#This Row],[Fecha]],Regiones[Intervalo],Tabla54[[#This Row],[Intervalo]],Regiones[Skill],'BUPA Seguros'!$L$3)/Tabla54[[#This Row],[Atendidas]],0)</f>
        <v>0</v>
      </c>
      <c r="H12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5" s="21">
        <f>IFERROR(Tabla54[[#This Row],[Atendidas]]/Tabla54[[#This Row],[Recibidas]],0)</f>
        <v>0</v>
      </c>
    </row>
    <row r="1266" spans="2:9" x14ac:dyDescent="0.3">
      <c r="B1266" s="27">
        <f t="shared" si="55"/>
        <v>46230</v>
      </c>
      <c r="C1266" s="18">
        <v>0.25</v>
      </c>
      <c r="D1266" s="19">
        <f>+SUMIFS(Regiones[Ofrecidas],Regiones[Fecha],Tabla54[[#This Row],[Fecha]],Regiones[Intervalo],Tabla54[[#This Row],[Intervalo]],Regiones[Skill],'BUPA Seguros'!$L$3)</f>
        <v>0</v>
      </c>
      <c r="E1266" s="19">
        <f>+SUMIFS(Regiones[Contestadas],Regiones[Fecha],Tabla54[[#This Row],[Fecha]],Regiones[Intervalo],Tabla54[[#This Row],[Intervalo]],Regiones[Skill],'BUPA Seguros'!$L$3)</f>
        <v>0</v>
      </c>
      <c r="F1266" s="20">
        <v>0</v>
      </c>
      <c r="G1266" s="19">
        <f>IFERROR(SUMIFS(Regiones[TMO],Regiones[Fecha],Tabla54[[#This Row],[Fecha]],Regiones[Intervalo],Tabla54[[#This Row],[Intervalo]],Regiones[Skill],'BUPA Seguros'!$L$3)/Tabla54[[#This Row],[Atendidas]],0)</f>
        <v>0</v>
      </c>
      <c r="H12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6" s="21">
        <f>IFERROR(Tabla54[[#This Row],[Atendidas]]/Tabla54[[#This Row],[Recibidas]],0)</f>
        <v>0</v>
      </c>
    </row>
    <row r="1267" spans="2:9" x14ac:dyDescent="0.3">
      <c r="B1267" s="25">
        <f t="shared" si="55"/>
        <v>46230</v>
      </c>
      <c r="C1267" s="26">
        <v>0.27083333333333298</v>
      </c>
      <c r="D1267" s="19">
        <f>+SUMIFS(Regiones[Ofrecidas],Regiones[Fecha],Tabla54[[#This Row],[Fecha]],Regiones[Intervalo],Tabla54[[#This Row],[Intervalo]],Regiones[Skill],'BUPA Seguros'!$L$3)</f>
        <v>0</v>
      </c>
      <c r="E1267" s="19">
        <f>+SUMIFS(Regiones[Contestadas],Regiones[Fecha],Tabla54[[#This Row],[Fecha]],Regiones[Intervalo],Tabla54[[#This Row],[Intervalo]],Regiones[Skill],'BUPA Seguros'!$L$3)</f>
        <v>0</v>
      </c>
      <c r="F1267" s="20">
        <v>0</v>
      </c>
      <c r="G1267" s="19">
        <f>IFERROR(SUMIFS(Regiones[TMO],Regiones[Fecha],Tabla54[[#This Row],[Fecha]],Regiones[Intervalo],Tabla54[[#This Row],[Intervalo]],Regiones[Skill],'BUPA Seguros'!$L$3)/Tabla54[[#This Row],[Atendidas]],0)</f>
        <v>0</v>
      </c>
      <c r="H12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7" s="21">
        <f>IFERROR(Tabla54[[#This Row],[Atendidas]]/Tabla54[[#This Row],[Recibidas]],0)</f>
        <v>0</v>
      </c>
    </row>
    <row r="1268" spans="2:9" x14ac:dyDescent="0.3">
      <c r="B1268" s="27">
        <f t="shared" si="55"/>
        <v>46230</v>
      </c>
      <c r="C1268" s="18">
        <v>0.29166666666666702</v>
      </c>
      <c r="D1268" s="19">
        <f>+SUMIFS(Regiones[Ofrecidas],Regiones[Fecha],Tabla54[[#This Row],[Fecha]],Regiones[Intervalo],Tabla54[[#This Row],[Intervalo]],Regiones[Skill],'BUPA Seguros'!$L$3)</f>
        <v>0</v>
      </c>
      <c r="E1268" s="19">
        <f>+SUMIFS(Regiones[Contestadas],Regiones[Fecha],Tabla54[[#This Row],[Fecha]],Regiones[Intervalo],Tabla54[[#This Row],[Intervalo]],Regiones[Skill],'BUPA Seguros'!$L$3)</f>
        <v>0</v>
      </c>
      <c r="F1268" s="20">
        <v>0</v>
      </c>
      <c r="G1268" s="19">
        <f>IFERROR(SUMIFS(Regiones[TMO],Regiones[Fecha],Tabla54[[#This Row],[Fecha]],Regiones[Intervalo],Tabla54[[#This Row],[Intervalo]],Regiones[Skill],'BUPA Seguros'!$L$3)/Tabla54[[#This Row],[Atendidas]],0)</f>
        <v>0</v>
      </c>
      <c r="H12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8" s="21">
        <f>IFERROR(Tabla54[[#This Row],[Atendidas]]/Tabla54[[#This Row],[Recibidas]],0)</f>
        <v>0</v>
      </c>
    </row>
    <row r="1269" spans="2:9" x14ac:dyDescent="0.3">
      <c r="B1269" s="25">
        <f t="shared" si="55"/>
        <v>46230</v>
      </c>
      <c r="C1269" s="26">
        <v>0.3125</v>
      </c>
      <c r="D1269" s="19">
        <f>+SUMIFS(Regiones[Ofrecidas],Regiones[Fecha],Tabla54[[#This Row],[Fecha]],Regiones[Intervalo],Tabla54[[#This Row],[Intervalo]],Regiones[Skill],'BUPA Seguros'!$L$3)</f>
        <v>0</v>
      </c>
      <c r="E1269" s="19">
        <f>+SUMIFS(Regiones[Contestadas],Regiones[Fecha],Tabla54[[#This Row],[Fecha]],Regiones[Intervalo],Tabla54[[#This Row],[Intervalo]],Regiones[Skill],'BUPA Seguros'!$L$3)</f>
        <v>0</v>
      </c>
      <c r="F1269" s="20">
        <v>0</v>
      </c>
      <c r="G1269" s="19">
        <f>IFERROR(SUMIFS(Regiones[TMO],Regiones[Fecha],Tabla54[[#This Row],[Fecha]],Regiones[Intervalo],Tabla54[[#This Row],[Intervalo]],Regiones[Skill],'BUPA Seguros'!$L$3)/Tabla54[[#This Row],[Atendidas]],0)</f>
        <v>0</v>
      </c>
      <c r="H12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69" s="21">
        <f>IFERROR(Tabla54[[#This Row],[Atendidas]]/Tabla54[[#This Row],[Recibidas]],0)</f>
        <v>0</v>
      </c>
    </row>
    <row r="1270" spans="2:9" x14ac:dyDescent="0.3">
      <c r="B1270" s="27">
        <f t="shared" si="55"/>
        <v>46230</v>
      </c>
      <c r="C1270" s="18">
        <v>0.33333333333333298</v>
      </c>
      <c r="D1270" s="19">
        <f>+SUMIFS(Regiones[Ofrecidas],Regiones[Fecha],Tabla54[[#This Row],[Fecha]],Regiones[Intervalo],Tabla54[[#This Row],[Intervalo]],Regiones[Skill],'BUPA Seguros'!$L$3)</f>
        <v>0</v>
      </c>
      <c r="E1270" s="19">
        <f>+SUMIFS(Regiones[Contestadas],Regiones[Fecha],Tabla54[[#This Row],[Fecha]],Regiones[Intervalo],Tabla54[[#This Row],[Intervalo]],Regiones[Skill],'BUPA Seguros'!$L$3)</f>
        <v>0</v>
      </c>
      <c r="F1270" s="20">
        <v>0</v>
      </c>
      <c r="G1270" s="19">
        <f>IFERROR(SUMIFS(Regiones[TMO],Regiones[Fecha],Tabla54[[#This Row],[Fecha]],Regiones[Intervalo],Tabla54[[#This Row],[Intervalo]],Regiones[Skill],'BUPA Seguros'!$L$3)/Tabla54[[#This Row],[Atendidas]],0)</f>
        <v>0</v>
      </c>
      <c r="H12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0" s="21">
        <f>IFERROR(Tabla54[[#This Row],[Atendidas]]/Tabla54[[#This Row],[Recibidas]],0)</f>
        <v>0</v>
      </c>
    </row>
    <row r="1271" spans="2:9" x14ac:dyDescent="0.3">
      <c r="B1271" s="25">
        <f t="shared" ref="B1271:B1334" si="58">+B1270</f>
        <v>46230</v>
      </c>
      <c r="C1271" s="26">
        <v>0.35416666666666702</v>
      </c>
      <c r="D1271" s="19">
        <f>+SUMIFS(Regiones[Ofrecidas],Regiones[Fecha],Tabla54[[#This Row],[Fecha]],Regiones[Intervalo],Tabla54[[#This Row],[Intervalo]],Regiones[Skill],'BUPA Seguros'!$L$3)</f>
        <v>0</v>
      </c>
      <c r="E1271" s="19">
        <f>+SUMIFS(Regiones[Contestadas],Regiones[Fecha],Tabla54[[#This Row],[Fecha]],Regiones[Intervalo],Tabla54[[#This Row],[Intervalo]],Regiones[Skill],'BUPA Seguros'!$L$3)</f>
        <v>0</v>
      </c>
      <c r="F1271" s="20">
        <v>0</v>
      </c>
      <c r="G1271" s="19">
        <f>IFERROR(SUMIFS(Regiones[TMO],Regiones[Fecha],Tabla54[[#This Row],[Fecha]],Regiones[Intervalo],Tabla54[[#This Row],[Intervalo]],Regiones[Skill],'BUPA Seguros'!$L$3)/Tabla54[[#This Row],[Atendidas]],0)</f>
        <v>0</v>
      </c>
      <c r="H12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1" s="21">
        <f>IFERROR(Tabla54[[#This Row],[Atendidas]]/Tabla54[[#This Row],[Recibidas]],0)</f>
        <v>0</v>
      </c>
    </row>
    <row r="1272" spans="2:9" x14ac:dyDescent="0.3">
      <c r="B1272" s="27">
        <f t="shared" si="58"/>
        <v>46230</v>
      </c>
      <c r="C1272" s="18">
        <v>0.375</v>
      </c>
      <c r="D1272" s="19">
        <f>+SUMIFS(Regiones[Ofrecidas],Regiones[Fecha],Tabla54[[#This Row],[Fecha]],Regiones[Intervalo],Tabla54[[#This Row],[Intervalo]],Regiones[Skill],'BUPA Seguros'!$L$3)</f>
        <v>0</v>
      </c>
      <c r="E1272" s="19">
        <f>+SUMIFS(Regiones[Contestadas],Regiones[Fecha],Tabla54[[#This Row],[Fecha]],Regiones[Intervalo],Tabla54[[#This Row],[Intervalo]],Regiones[Skill],'BUPA Seguros'!$L$3)</f>
        <v>0</v>
      </c>
      <c r="F1272" s="20">
        <v>41.518470088084108</v>
      </c>
      <c r="G1272" s="19">
        <f>IFERROR(SUMIFS(Regiones[TMO],Regiones[Fecha],Tabla54[[#This Row],[Fecha]],Regiones[Intervalo],Tabla54[[#This Row],[Intervalo]],Regiones[Skill],'BUPA Seguros'!$L$3)/Tabla54[[#This Row],[Atendidas]],0)</f>
        <v>0</v>
      </c>
      <c r="H12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2" s="21">
        <f>IFERROR(Tabla54[[#This Row],[Atendidas]]/Tabla54[[#This Row],[Recibidas]],0)</f>
        <v>0</v>
      </c>
    </row>
    <row r="1273" spans="2:9" x14ac:dyDescent="0.3">
      <c r="B1273" s="25">
        <f t="shared" si="58"/>
        <v>46230</v>
      </c>
      <c r="C1273" s="26">
        <v>0.39583333333333298</v>
      </c>
      <c r="D1273" s="19">
        <f>+SUMIFS(Regiones[Ofrecidas],Regiones[Fecha],Tabla54[[#This Row],[Fecha]],Regiones[Intervalo],Tabla54[[#This Row],[Intervalo]],Regiones[Skill],'BUPA Seguros'!$L$3)</f>
        <v>0</v>
      </c>
      <c r="E1273" s="19">
        <f>+SUMIFS(Regiones[Contestadas],Regiones[Fecha],Tabla54[[#This Row],[Fecha]],Regiones[Intervalo],Tabla54[[#This Row],[Intervalo]],Regiones[Skill],'BUPA Seguros'!$L$3)</f>
        <v>0</v>
      </c>
      <c r="F1273" s="20">
        <v>41.853972876674675</v>
      </c>
      <c r="G1273" s="19">
        <f>IFERROR(SUMIFS(Regiones[TMO],Regiones[Fecha],Tabla54[[#This Row],[Fecha]],Regiones[Intervalo],Tabla54[[#This Row],[Intervalo]],Regiones[Skill],'BUPA Seguros'!$L$3)/Tabla54[[#This Row],[Atendidas]],0)</f>
        <v>0</v>
      </c>
      <c r="H12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3" s="21">
        <f>IFERROR(Tabla54[[#This Row],[Atendidas]]/Tabla54[[#This Row],[Recibidas]],0)</f>
        <v>0</v>
      </c>
    </row>
    <row r="1274" spans="2:9" x14ac:dyDescent="0.3">
      <c r="B1274" s="27">
        <f t="shared" si="58"/>
        <v>46230</v>
      </c>
      <c r="C1274" s="18">
        <v>0.41666666666666702</v>
      </c>
      <c r="D1274" s="19">
        <f>+SUMIFS(Regiones[Ofrecidas],Regiones[Fecha],Tabla54[[#This Row],[Fecha]],Regiones[Intervalo],Tabla54[[#This Row],[Intervalo]],Regiones[Skill],'BUPA Seguros'!$L$3)</f>
        <v>0</v>
      </c>
      <c r="E1274" s="19">
        <f>+SUMIFS(Regiones[Contestadas],Regiones[Fecha],Tabla54[[#This Row],[Fecha]],Regiones[Intervalo],Tabla54[[#This Row],[Intervalo]],Regiones[Skill],'BUPA Seguros'!$L$3)</f>
        <v>0</v>
      </c>
      <c r="F1274" s="20">
        <v>42.67176092386422</v>
      </c>
      <c r="G1274" s="19">
        <f>IFERROR(SUMIFS(Regiones[TMO],Regiones[Fecha],Tabla54[[#This Row],[Fecha]],Regiones[Intervalo],Tabla54[[#This Row],[Intervalo]],Regiones[Skill],'BUPA Seguros'!$L$3)/Tabla54[[#This Row],[Atendidas]],0)</f>
        <v>0</v>
      </c>
      <c r="H12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4" s="21">
        <f>IFERROR(Tabla54[[#This Row],[Atendidas]]/Tabla54[[#This Row],[Recibidas]],0)</f>
        <v>0</v>
      </c>
    </row>
    <row r="1275" spans="2:9" x14ac:dyDescent="0.3">
      <c r="B1275" s="25">
        <f t="shared" si="58"/>
        <v>46230</v>
      </c>
      <c r="C1275" s="26">
        <v>0.4375</v>
      </c>
      <c r="D1275" s="19">
        <f>+SUMIFS(Regiones[Ofrecidas],Regiones[Fecha],Tabla54[[#This Row],[Fecha]],Regiones[Intervalo],Tabla54[[#This Row],[Intervalo]],Regiones[Skill],'BUPA Seguros'!$L$3)</f>
        <v>0</v>
      </c>
      <c r="E1275" s="19">
        <f>+SUMIFS(Regiones[Contestadas],Regiones[Fecha],Tabla54[[#This Row],[Fecha]],Regiones[Intervalo],Tabla54[[#This Row],[Intervalo]],Regiones[Skill],'BUPA Seguros'!$L$3)</f>
        <v>0</v>
      </c>
      <c r="F1275" s="20">
        <v>43.755155345354623</v>
      </c>
      <c r="G1275" s="19">
        <f>IFERROR(SUMIFS(Regiones[TMO],Regiones[Fecha],Tabla54[[#This Row],[Fecha]],Regiones[Intervalo],Tabla54[[#This Row],[Intervalo]],Regiones[Skill],'BUPA Seguros'!$L$3)/Tabla54[[#This Row],[Atendidas]],0)</f>
        <v>0</v>
      </c>
      <c r="H12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5" s="21">
        <f>IFERROR(Tabla54[[#This Row],[Atendidas]]/Tabla54[[#This Row],[Recibidas]],0)</f>
        <v>0</v>
      </c>
    </row>
    <row r="1276" spans="2:9" x14ac:dyDescent="0.3">
      <c r="B1276" s="27">
        <f t="shared" si="58"/>
        <v>46230</v>
      </c>
      <c r="C1276" s="18">
        <v>0.45833333333333298</v>
      </c>
      <c r="D1276" s="19">
        <f>+SUMIFS(Regiones[Ofrecidas],Regiones[Fecha],Tabla54[[#This Row],[Fecha]],Regiones[Intervalo],Tabla54[[#This Row],[Intervalo]],Regiones[Skill],'BUPA Seguros'!$L$3)</f>
        <v>0</v>
      </c>
      <c r="E1276" s="19">
        <f>+SUMIFS(Regiones[Contestadas],Regiones[Fecha],Tabla54[[#This Row],[Fecha]],Regiones[Intervalo],Tabla54[[#This Row],[Intervalo]],Regiones[Skill],'BUPA Seguros'!$L$3)</f>
        <v>0</v>
      </c>
      <c r="F1276" s="20">
        <v>44.943394388279586</v>
      </c>
      <c r="G1276" s="19">
        <f>IFERROR(SUMIFS(Regiones[TMO],Regiones[Fecha],Tabla54[[#This Row],[Fecha]],Regiones[Intervalo],Tabla54[[#This Row],[Intervalo]],Regiones[Skill],'BUPA Seguros'!$L$3)/Tabla54[[#This Row],[Atendidas]],0)</f>
        <v>0</v>
      </c>
      <c r="H12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6" s="21">
        <f>IFERROR(Tabla54[[#This Row],[Atendidas]]/Tabla54[[#This Row],[Recibidas]],0)</f>
        <v>0</v>
      </c>
    </row>
    <row r="1277" spans="2:9" x14ac:dyDescent="0.3">
      <c r="B1277" s="25">
        <f t="shared" si="58"/>
        <v>46230</v>
      </c>
      <c r="C1277" s="26">
        <v>0.47916666666666702</v>
      </c>
      <c r="D1277" s="19">
        <f>+SUMIFS(Regiones[Ofrecidas],Regiones[Fecha],Tabla54[[#This Row],[Fecha]],Regiones[Intervalo],Tabla54[[#This Row],[Intervalo]],Regiones[Skill],'BUPA Seguros'!$L$3)</f>
        <v>0</v>
      </c>
      <c r="E1277" s="19">
        <f>+SUMIFS(Regiones[Contestadas],Regiones[Fecha],Tabla54[[#This Row],[Fecha]],Regiones[Intervalo],Tabla54[[#This Row],[Intervalo]],Regiones[Skill],'BUPA Seguros'!$L$3)</f>
        <v>0</v>
      </c>
      <c r="F1277" s="20">
        <v>44.034741002513442</v>
      </c>
      <c r="G1277" s="19">
        <f>IFERROR(SUMIFS(Regiones[TMO],Regiones[Fecha],Tabla54[[#This Row],[Fecha]],Regiones[Intervalo],Tabla54[[#This Row],[Intervalo]],Regiones[Skill],'BUPA Seguros'!$L$3)/Tabla54[[#This Row],[Atendidas]],0)</f>
        <v>0</v>
      </c>
      <c r="H12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7" s="21">
        <f>IFERROR(Tabla54[[#This Row],[Atendidas]]/Tabla54[[#This Row],[Recibidas]],0)</f>
        <v>0</v>
      </c>
    </row>
    <row r="1278" spans="2:9" x14ac:dyDescent="0.3">
      <c r="B1278" s="27">
        <f t="shared" si="58"/>
        <v>46230</v>
      </c>
      <c r="C1278" s="18">
        <v>0.5</v>
      </c>
      <c r="D1278" s="19">
        <f>+SUMIFS(Regiones[Ofrecidas],Regiones[Fecha],Tabla54[[#This Row],[Fecha]],Regiones[Intervalo],Tabla54[[#This Row],[Intervalo]],Regiones[Skill],'BUPA Seguros'!$L$3)</f>
        <v>0</v>
      </c>
      <c r="E1278" s="19">
        <f>+SUMIFS(Regiones[Contestadas],Regiones[Fecha],Tabla54[[#This Row],[Fecha]],Regiones[Intervalo],Tabla54[[#This Row],[Intervalo]],Regiones[Skill],'BUPA Seguros'!$L$3)</f>
        <v>0</v>
      </c>
      <c r="F1278" s="20">
        <v>43.195984031037007</v>
      </c>
      <c r="G1278" s="19">
        <f>IFERROR(SUMIFS(Regiones[TMO],Regiones[Fecha],Tabla54[[#This Row],[Fecha]],Regiones[Intervalo],Tabla54[[#This Row],[Intervalo]],Regiones[Skill],'BUPA Seguros'!$L$3)/Tabla54[[#This Row],[Atendidas]],0)</f>
        <v>0</v>
      </c>
      <c r="H12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8" s="21">
        <f>IFERROR(Tabla54[[#This Row],[Atendidas]]/Tabla54[[#This Row],[Recibidas]],0)</f>
        <v>0</v>
      </c>
    </row>
    <row r="1279" spans="2:9" x14ac:dyDescent="0.3">
      <c r="B1279" s="25">
        <f t="shared" si="58"/>
        <v>46230</v>
      </c>
      <c r="C1279" s="26">
        <v>0.52083333333333304</v>
      </c>
      <c r="D1279" s="19">
        <f>+SUMIFS(Regiones[Ofrecidas],Regiones[Fecha],Tabla54[[#This Row],[Fecha]],Regiones[Intervalo],Tabla54[[#This Row],[Intervalo]],Regiones[Skill],'BUPA Seguros'!$L$3)</f>
        <v>0</v>
      </c>
      <c r="E1279" s="19">
        <f>+SUMIFS(Regiones[Contestadas],Regiones[Fecha],Tabla54[[#This Row],[Fecha]],Regiones[Intervalo],Tabla54[[#This Row],[Intervalo]],Regiones[Skill],'BUPA Seguros'!$L$3)</f>
        <v>0</v>
      </c>
      <c r="F1279" s="20">
        <v>40.050645388000312</v>
      </c>
      <c r="G1279" s="19">
        <f>IFERROR(SUMIFS(Regiones[TMO],Regiones[Fecha],Tabla54[[#This Row],[Fecha]],Regiones[Intervalo],Tabla54[[#This Row],[Intervalo]],Regiones[Skill],'BUPA Seguros'!$L$3)/Tabla54[[#This Row],[Atendidas]],0)</f>
        <v>0</v>
      </c>
      <c r="H12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79" s="21">
        <f>IFERROR(Tabla54[[#This Row],[Atendidas]]/Tabla54[[#This Row],[Recibidas]],0)</f>
        <v>0</v>
      </c>
    </row>
    <row r="1280" spans="2:9" x14ac:dyDescent="0.3">
      <c r="B1280" s="27">
        <f t="shared" si="58"/>
        <v>46230</v>
      </c>
      <c r="C1280" s="18">
        <v>0.54166666666666696</v>
      </c>
      <c r="D1280" s="19">
        <f>+SUMIFS(Regiones[Ofrecidas],Regiones[Fecha],Tabla54[[#This Row],[Fecha]],Regiones[Intervalo],Tabla54[[#This Row],[Intervalo]],Regiones[Skill],'BUPA Seguros'!$L$3)</f>
        <v>0</v>
      </c>
      <c r="E1280" s="19">
        <f>+SUMIFS(Regiones[Contestadas],Regiones[Fecha],Tabla54[[#This Row],[Fecha]],Regiones[Intervalo],Tabla54[[#This Row],[Intervalo]],Regiones[Skill],'BUPA Seguros'!$L$3)</f>
        <v>0</v>
      </c>
      <c r="F1280" s="20">
        <v>37.786001565013919</v>
      </c>
      <c r="G1280" s="19">
        <f>IFERROR(SUMIFS(Regiones[TMO],Regiones[Fecha],Tabla54[[#This Row],[Fecha]],Regiones[Intervalo],Tabla54[[#This Row],[Intervalo]],Regiones[Skill],'BUPA Seguros'!$L$3)/Tabla54[[#This Row],[Atendidas]],0)</f>
        <v>0</v>
      </c>
      <c r="H12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0" s="21">
        <f>IFERROR(Tabla54[[#This Row],[Atendidas]]/Tabla54[[#This Row],[Recibidas]],0)</f>
        <v>0</v>
      </c>
    </row>
    <row r="1281" spans="2:9" x14ac:dyDescent="0.3">
      <c r="B1281" s="25">
        <f t="shared" si="58"/>
        <v>46230</v>
      </c>
      <c r="C1281" s="26">
        <v>0.5625</v>
      </c>
      <c r="D1281" s="19">
        <f>+SUMIFS(Regiones[Ofrecidas],Regiones[Fecha],Tabla54[[#This Row],[Fecha]],Regiones[Intervalo],Tabla54[[#This Row],[Intervalo]],Regiones[Skill],'BUPA Seguros'!$L$3)</f>
        <v>0</v>
      </c>
      <c r="E1281" s="19">
        <f>+SUMIFS(Regiones[Contestadas],Regiones[Fecha],Tabla54[[#This Row],[Fecha]],Regiones[Intervalo],Tabla54[[#This Row],[Intervalo]],Regiones[Skill],'BUPA Seguros'!$L$3)</f>
        <v>0</v>
      </c>
      <c r="F1281" s="20">
        <v>35.01810355914165</v>
      </c>
      <c r="G1281" s="19">
        <f>IFERROR(SUMIFS(Regiones[TMO],Regiones[Fecha],Tabla54[[#This Row],[Fecha]],Regiones[Intervalo],Tabla54[[#This Row],[Intervalo]],Regiones[Skill],'BUPA Seguros'!$L$3)/Tabla54[[#This Row],[Atendidas]],0)</f>
        <v>0</v>
      </c>
      <c r="H12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1" s="21">
        <f>IFERROR(Tabla54[[#This Row],[Atendidas]]/Tabla54[[#This Row],[Recibidas]],0)</f>
        <v>0</v>
      </c>
    </row>
    <row r="1282" spans="2:9" x14ac:dyDescent="0.3">
      <c r="B1282" s="27">
        <f t="shared" si="58"/>
        <v>46230</v>
      </c>
      <c r="C1282" s="18">
        <v>0.58333333333333304</v>
      </c>
      <c r="D1282" s="19">
        <f>+SUMIFS(Regiones[Ofrecidas],Regiones[Fecha],Tabla54[[#This Row],[Fecha]],Regiones[Intervalo],Tabla54[[#This Row],[Intervalo]],Regiones[Skill],'BUPA Seguros'!$L$3)</f>
        <v>0</v>
      </c>
      <c r="E1282" s="19">
        <f>+SUMIFS(Regiones[Contestadas],Regiones[Fecha],Tabla54[[#This Row],[Fecha]],Regiones[Intervalo],Tabla54[[#This Row],[Intervalo]],Regiones[Skill],'BUPA Seguros'!$L$3)</f>
        <v>0</v>
      </c>
      <c r="F1282" s="20">
        <v>33.718030253353149</v>
      </c>
      <c r="G1282" s="19">
        <f>IFERROR(SUMIFS(Regiones[TMO],Regiones[Fecha],Tabla54[[#This Row],[Fecha]],Regiones[Intervalo],Tabla54[[#This Row],[Intervalo]],Regiones[Skill],'BUPA Seguros'!$L$3)/Tabla54[[#This Row],[Atendidas]],0)</f>
        <v>0</v>
      </c>
      <c r="H12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2" s="21">
        <f>IFERROR(Tabla54[[#This Row],[Atendidas]]/Tabla54[[#This Row],[Recibidas]],0)</f>
        <v>0</v>
      </c>
    </row>
    <row r="1283" spans="2:9" x14ac:dyDescent="0.3">
      <c r="B1283" s="25">
        <f t="shared" si="58"/>
        <v>46230</v>
      </c>
      <c r="C1283" s="26">
        <v>0.60416666666666696</v>
      </c>
      <c r="D1283" s="19">
        <f>+SUMIFS(Regiones[Ofrecidas],Regiones[Fecha],Tabla54[[#This Row],[Fecha]],Regiones[Intervalo],Tabla54[[#This Row],[Intervalo]],Regiones[Skill],'BUPA Seguros'!$L$3)</f>
        <v>0</v>
      </c>
      <c r="E1283" s="19">
        <f>+SUMIFS(Regiones[Contestadas],Regiones[Fecha],Tabla54[[#This Row],[Fecha]],Regiones[Intervalo],Tabla54[[#This Row],[Intervalo]],Regiones[Skill],'BUPA Seguros'!$L$3)</f>
        <v>0</v>
      </c>
      <c r="F1283" s="20">
        <v>32.92121113045053</v>
      </c>
      <c r="G1283" s="19">
        <f>IFERROR(SUMIFS(Regiones[TMO],Regiones[Fecha],Tabla54[[#This Row],[Fecha]],Regiones[Intervalo],Tabla54[[#This Row],[Intervalo]],Regiones[Skill],'BUPA Seguros'!$L$3)/Tabla54[[#This Row],[Atendidas]],0)</f>
        <v>0</v>
      </c>
      <c r="H12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3" s="21">
        <f>IFERROR(Tabla54[[#This Row],[Atendidas]]/Tabla54[[#This Row],[Recibidas]],0)</f>
        <v>0</v>
      </c>
    </row>
    <row r="1284" spans="2:9" x14ac:dyDescent="0.3">
      <c r="B1284" s="27">
        <f t="shared" si="58"/>
        <v>46230</v>
      </c>
      <c r="C1284" s="18">
        <v>0.625</v>
      </c>
      <c r="D1284" s="19">
        <f>+SUMIFS(Regiones[Ofrecidas],Regiones[Fecha],Tabla54[[#This Row],[Fecha]],Regiones[Intervalo],Tabla54[[#This Row],[Intervalo]],Regiones[Skill],'BUPA Seguros'!$L$3)</f>
        <v>0</v>
      </c>
      <c r="E1284" s="19">
        <f>+SUMIFS(Regiones[Contestadas],Regiones[Fecha],Tabla54[[#This Row],[Fecha]],Regiones[Intervalo],Tabla54[[#This Row],[Intervalo]],Regiones[Skill],'BUPA Seguros'!$L$3)</f>
        <v>0</v>
      </c>
      <c r="F1284" s="20">
        <v>32.683563321865535</v>
      </c>
      <c r="G1284" s="19">
        <f>IFERROR(SUMIFS(Regiones[TMO],Regiones[Fecha],Tabla54[[#This Row],[Fecha]],Regiones[Intervalo],Tabla54[[#This Row],[Intervalo]],Regiones[Skill],'BUPA Seguros'!$L$3)/Tabla54[[#This Row],[Atendidas]],0)</f>
        <v>0</v>
      </c>
      <c r="H12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4" s="21">
        <f>IFERROR(Tabla54[[#This Row],[Atendidas]]/Tabla54[[#This Row],[Recibidas]],0)</f>
        <v>0</v>
      </c>
    </row>
    <row r="1285" spans="2:9" x14ac:dyDescent="0.3">
      <c r="B1285" s="25">
        <f t="shared" si="58"/>
        <v>46230</v>
      </c>
      <c r="C1285" s="26">
        <v>0.64583333333333304</v>
      </c>
      <c r="D1285" s="19">
        <f>+SUMIFS(Regiones[Ofrecidas],Regiones[Fecha],Tabla54[[#This Row],[Fecha]],Regiones[Intervalo],Tabla54[[#This Row],[Intervalo]],Regiones[Skill],'BUPA Seguros'!$L$3)</f>
        <v>0</v>
      </c>
      <c r="E1285" s="19">
        <f>+SUMIFS(Regiones[Contestadas],Regiones[Fecha],Tabla54[[#This Row],[Fecha]],Regiones[Intervalo],Tabla54[[#This Row],[Intervalo]],Regiones[Skill],'BUPA Seguros'!$L$3)</f>
        <v>0</v>
      </c>
      <c r="F1285" s="20">
        <v>32.417956947564662</v>
      </c>
      <c r="G1285" s="19">
        <f>IFERROR(SUMIFS(Regiones[TMO],Regiones[Fecha],Tabla54[[#This Row],[Fecha]],Regiones[Intervalo],Tabla54[[#This Row],[Intervalo]],Regiones[Skill],'BUPA Seguros'!$L$3)/Tabla54[[#This Row],[Atendidas]],0)</f>
        <v>0</v>
      </c>
      <c r="H12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5" s="21">
        <f>IFERROR(Tabla54[[#This Row],[Atendidas]]/Tabla54[[#This Row],[Recibidas]],0)</f>
        <v>0</v>
      </c>
    </row>
    <row r="1286" spans="2:9" x14ac:dyDescent="0.3">
      <c r="B1286" s="27">
        <f t="shared" si="58"/>
        <v>46230</v>
      </c>
      <c r="C1286" s="18">
        <v>0.66666666666666696</v>
      </c>
      <c r="D1286" s="19">
        <f>+SUMIFS(Regiones[Ofrecidas],Regiones[Fecha],Tabla54[[#This Row],[Fecha]],Regiones[Intervalo],Tabla54[[#This Row],[Intervalo]],Regiones[Skill],'BUPA Seguros'!$L$3)</f>
        <v>0</v>
      </c>
      <c r="E1286" s="19">
        <f>+SUMIFS(Regiones[Contestadas],Regiones[Fecha],Tabla54[[#This Row],[Fecha]],Regiones[Intervalo],Tabla54[[#This Row],[Intervalo]],Regiones[Skill],'BUPA Seguros'!$L$3)</f>
        <v>0</v>
      </c>
      <c r="F1286" s="20">
        <v>31.642106748948947</v>
      </c>
      <c r="G1286" s="19">
        <f>IFERROR(SUMIFS(Regiones[TMO],Regiones[Fecha],Tabla54[[#This Row],[Fecha]],Regiones[Intervalo],Tabla54[[#This Row],[Intervalo]],Regiones[Skill],'BUPA Seguros'!$L$3)/Tabla54[[#This Row],[Atendidas]],0)</f>
        <v>0</v>
      </c>
      <c r="H12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6" s="21">
        <f>IFERROR(Tabla54[[#This Row],[Atendidas]]/Tabla54[[#This Row],[Recibidas]],0)</f>
        <v>0</v>
      </c>
    </row>
    <row r="1287" spans="2:9" x14ac:dyDescent="0.3">
      <c r="B1287" s="25">
        <f t="shared" si="58"/>
        <v>46230</v>
      </c>
      <c r="C1287" s="26">
        <v>0.6875</v>
      </c>
      <c r="D1287" s="19">
        <f>+SUMIFS(Regiones[Ofrecidas],Regiones[Fecha],Tabla54[[#This Row],[Fecha]],Regiones[Intervalo],Tabla54[[#This Row],[Intervalo]],Regiones[Skill],'BUPA Seguros'!$L$3)</f>
        <v>0</v>
      </c>
      <c r="E1287" s="19">
        <f>+SUMIFS(Regiones[Contestadas],Regiones[Fecha],Tabla54[[#This Row],[Fecha]],Regiones[Intervalo],Tabla54[[#This Row],[Intervalo]],Regiones[Skill],'BUPA Seguros'!$L$3)</f>
        <v>0</v>
      </c>
      <c r="F1287" s="20">
        <v>30.090406351717526</v>
      </c>
      <c r="G1287" s="19">
        <f>IFERROR(SUMIFS(Regiones[TMO],Regiones[Fecha],Tabla54[[#This Row],[Fecha]],Regiones[Intervalo],Tabla54[[#This Row],[Intervalo]],Regiones[Skill],'BUPA Seguros'!$L$3)/Tabla54[[#This Row],[Atendidas]],0)</f>
        <v>0</v>
      </c>
      <c r="H12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7" s="21">
        <f>IFERROR(Tabla54[[#This Row],[Atendidas]]/Tabla54[[#This Row],[Recibidas]],0)</f>
        <v>0</v>
      </c>
    </row>
    <row r="1288" spans="2:9" x14ac:dyDescent="0.3">
      <c r="B1288" s="27">
        <f t="shared" si="58"/>
        <v>46230</v>
      </c>
      <c r="C1288" s="18">
        <v>0.70833333333333304</v>
      </c>
      <c r="D1288" s="19">
        <f>+SUMIFS(Regiones[Ofrecidas],Regiones[Fecha],Tabla54[[#This Row],[Fecha]],Regiones[Intervalo],Tabla54[[#This Row],[Intervalo]],Regiones[Skill],'BUPA Seguros'!$L$3)</f>
        <v>0</v>
      </c>
      <c r="E1288" s="19">
        <f>+SUMIFS(Regiones[Contestadas],Regiones[Fecha],Tabla54[[#This Row],[Fecha]],Regiones[Intervalo],Tabla54[[#This Row],[Intervalo]],Regiones[Skill],'BUPA Seguros'!$L$3)</f>
        <v>0</v>
      </c>
      <c r="F1288" s="20">
        <v>28.203203165895516</v>
      </c>
      <c r="G1288" s="19">
        <f>IFERROR(SUMIFS(Regiones[TMO],Regiones[Fecha],Tabla54[[#This Row],[Fecha]],Regiones[Intervalo],Tabla54[[#This Row],[Intervalo]],Regiones[Skill],'BUPA Seguros'!$L$3)/Tabla54[[#This Row],[Atendidas]],0)</f>
        <v>0</v>
      </c>
      <c r="H12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8" s="21">
        <f>IFERROR(Tabla54[[#This Row],[Atendidas]]/Tabla54[[#This Row],[Recibidas]],0)</f>
        <v>0</v>
      </c>
    </row>
    <row r="1289" spans="2:9" x14ac:dyDescent="0.3">
      <c r="B1289" s="25">
        <f t="shared" si="58"/>
        <v>46230</v>
      </c>
      <c r="C1289" s="26">
        <v>0.72916666666666696</v>
      </c>
      <c r="D1289" s="19">
        <f>+SUMIFS(Regiones[Ofrecidas],Regiones[Fecha],Tabla54[[#This Row],[Fecha]],Regiones[Intervalo],Tabla54[[#This Row],[Intervalo]],Regiones[Skill],'BUPA Seguros'!$L$3)</f>
        <v>0</v>
      </c>
      <c r="E1289" s="19">
        <f>+SUMIFS(Regiones[Contestadas],Regiones[Fecha],Tabla54[[#This Row],[Fecha]],Regiones[Intervalo],Tabla54[[#This Row],[Intervalo]],Regiones[Skill],'BUPA Seguros'!$L$3)</f>
        <v>0</v>
      </c>
      <c r="F1289" s="20">
        <v>25.823230259331094</v>
      </c>
      <c r="G1289" s="19">
        <f>IFERROR(SUMIFS(Regiones[TMO],Regiones[Fecha],Tabla54[[#This Row],[Fecha]],Regiones[Intervalo],Tabla54[[#This Row],[Intervalo]],Regiones[Skill],'BUPA Seguros'!$L$3)/Tabla54[[#This Row],[Atendidas]],0)</f>
        <v>0</v>
      </c>
      <c r="H12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89" s="21">
        <f>IFERROR(Tabla54[[#This Row],[Atendidas]]/Tabla54[[#This Row],[Recibidas]],0)</f>
        <v>0</v>
      </c>
    </row>
    <row r="1290" spans="2:9" x14ac:dyDescent="0.3">
      <c r="B1290" s="27">
        <f t="shared" si="58"/>
        <v>46230</v>
      </c>
      <c r="C1290" s="18">
        <v>0.75</v>
      </c>
      <c r="D1290" s="19">
        <f>+SUMIFS(Regiones[Ofrecidas],Regiones[Fecha],Tabla54[[#This Row],[Fecha]],Regiones[Intervalo],Tabla54[[#This Row],[Intervalo]],Regiones[Skill],'BUPA Seguros'!$L$3)</f>
        <v>0</v>
      </c>
      <c r="E1290" s="19">
        <f>+SUMIFS(Regiones[Contestadas],Regiones[Fecha],Tabla54[[#This Row],[Fecha]],Regiones[Intervalo],Tabla54[[#This Row],[Intervalo]],Regiones[Skill],'BUPA Seguros'!$L$3)</f>
        <v>0</v>
      </c>
      <c r="F1290" s="20">
        <v>0</v>
      </c>
      <c r="G1290" s="19">
        <f>IFERROR(SUMIFS(Regiones[TMO],Regiones[Fecha],Tabla54[[#This Row],[Fecha]],Regiones[Intervalo],Tabla54[[#This Row],[Intervalo]],Regiones[Skill],'BUPA Seguros'!$L$3)/Tabla54[[#This Row],[Atendidas]],0)</f>
        <v>0</v>
      </c>
      <c r="H12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0" s="21">
        <f>IFERROR(Tabla54[[#This Row],[Atendidas]]/Tabla54[[#This Row],[Recibidas]],0)</f>
        <v>0</v>
      </c>
    </row>
    <row r="1291" spans="2:9" x14ac:dyDescent="0.3">
      <c r="B1291" s="25">
        <f t="shared" si="58"/>
        <v>46230</v>
      </c>
      <c r="C1291" s="26">
        <v>0.77083333333333304</v>
      </c>
      <c r="D1291" s="19">
        <f>+SUMIFS(Regiones[Ofrecidas],Regiones[Fecha],Tabla54[[#This Row],[Fecha]],Regiones[Intervalo],Tabla54[[#This Row],[Intervalo]],Regiones[Skill],'BUPA Seguros'!$L$3)</f>
        <v>0</v>
      </c>
      <c r="E1291" s="19">
        <f>+SUMIFS(Regiones[Contestadas],Regiones[Fecha],Tabla54[[#This Row],[Fecha]],Regiones[Intervalo],Tabla54[[#This Row],[Intervalo]],Regiones[Skill],'BUPA Seguros'!$L$3)</f>
        <v>0</v>
      </c>
      <c r="F1291" s="20">
        <v>0</v>
      </c>
      <c r="G1291" s="19">
        <f>IFERROR(SUMIFS(Regiones[TMO],Regiones[Fecha],Tabla54[[#This Row],[Fecha]],Regiones[Intervalo],Tabla54[[#This Row],[Intervalo]],Regiones[Skill],'BUPA Seguros'!$L$3)/Tabla54[[#This Row],[Atendidas]],0)</f>
        <v>0</v>
      </c>
      <c r="H12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1" s="21">
        <f>IFERROR(Tabla54[[#This Row],[Atendidas]]/Tabla54[[#This Row],[Recibidas]],0)</f>
        <v>0</v>
      </c>
    </row>
    <row r="1292" spans="2:9" x14ac:dyDescent="0.3">
      <c r="B1292" s="27">
        <f t="shared" si="58"/>
        <v>46230</v>
      </c>
      <c r="C1292" s="18">
        <v>0.79166666666666696</v>
      </c>
      <c r="D1292" s="19">
        <f>+SUMIFS(Regiones[Ofrecidas],Regiones[Fecha],Tabla54[[#This Row],[Fecha]],Regiones[Intervalo],Tabla54[[#This Row],[Intervalo]],Regiones[Skill],'BUPA Seguros'!$L$3)</f>
        <v>0</v>
      </c>
      <c r="E1292" s="19">
        <f>+SUMIFS(Regiones[Contestadas],Regiones[Fecha],Tabla54[[#This Row],[Fecha]],Regiones[Intervalo],Tabla54[[#This Row],[Intervalo]],Regiones[Skill],'BUPA Seguros'!$L$3)</f>
        <v>0</v>
      </c>
      <c r="F1292" s="20">
        <v>0</v>
      </c>
      <c r="G1292" s="19">
        <f>IFERROR(SUMIFS(Regiones[TMO],Regiones[Fecha],Tabla54[[#This Row],[Fecha]],Regiones[Intervalo],Tabla54[[#This Row],[Intervalo]],Regiones[Skill],'BUPA Seguros'!$L$3)/Tabla54[[#This Row],[Atendidas]],0)</f>
        <v>0</v>
      </c>
      <c r="H12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2" s="21">
        <f>IFERROR(Tabla54[[#This Row],[Atendidas]]/Tabla54[[#This Row],[Recibidas]],0)</f>
        <v>0</v>
      </c>
    </row>
    <row r="1293" spans="2:9" x14ac:dyDescent="0.3">
      <c r="B1293" s="25">
        <f t="shared" si="58"/>
        <v>46230</v>
      </c>
      <c r="C1293" s="26">
        <v>0.8125</v>
      </c>
      <c r="D1293" s="19">
        <f>+SUMIFS(Regiones[Ofrecidas],Regiones[Fecha],Tabla54[[#This Row],[Fecha]],Regiones[Intervalo],Tabla54[[#This Row],[Intervalo]],Regiones[Skill],'BUPA Seguros'!$L$3)</f>
        <v>0</v>
      </c>
      <c r="E1293" s="19">
        <f>+SUMIFS(Regiones[Contestadas],Regiones[Fecha],Tabla54[[#This Row],[Fecha]],Regiones[Intervalo],Tabla54[[#This Row],[Intervalo]],Regiones[Skill],'BUPA Seguros'!$L$3)</f>
        <v>0</v>
      </c>
      <c r="F1293" s="20">
        <v>0</v>
      </c>
      <c r="G1293" s="19">
        <f>IFERROR(SUMIFS(Regiones[TMO],Regiones[Fecha],Tabla54[[#This Row],[Fecha]],Regiones[Intervalo],Tabla54[[#This Row],[Intervalo]],Regiones[Skill],'BUPA Seguros'!$L$3)/Tabla54[[#This Row],[Atendidas]],0)</f>
        <v>0</v>
      </c>
      <c r="H12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3" s="21">
        <f>IFERROR(Tabla54[[#This Row],[Atendidas]]/Tabla54[[#This Row],[Recibidas]],0)</f>
        <v>0</v>
      </c>
    </row>
    <row r="1294" spans="2:9" x14ac:dyDescent="0.3">
      <c r="B1294" s="27">
        <f t="shared" si="58"/>
        <v>46230</v>
      </c>
      <c r="C1294" s="18">
        <v>0.83333333333333304</v>
      </c>
      <c r="D1294" s="19">
        <f>+SUMIFS(Regiones[Ofrecidas],Regiones[Fecha],Tabla54[[#This Row],[Fecha]],Regiones[Intervalo],Tabla54[[#This Row],[Intervalo]],Regiones[Skill],'BUPA Seguros'!$L$3)</f>
        <v>0</v>
      </c>
      <c r="E1294" s="19">
        <f>+SUMIFS(Regiones[Contestadas],Regiones[Fecha],Tabla54[[#This Row],[Fecha]],Regiones[Intervalo],Tabla54[[#This Row],[Intervalo]],Regiones[Skill],'BUPA Seguros'!$L$3)</f>
        <v>0</v>
      </c>
      <c r="F1294" s="20">
        <v>0</v>
      </c>
      <c r="G1294" s="19">
        <f>IFERROR(SUMIFS(Regiones[TMO],Regiones[Fecha],Tabla54[[#This Row],[Fecha]],Regiones[Intervalo],Tabla54[[#This Row],[Intervalo]],Regiones[Skill],'BUPA Seguros'!$L$3)/Tabla54[[#This Row],[Atendidas]],0)</f>
        <v>0</v>
      </c>
      <c r="H12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4" s="21">
        <f>IFERROR(Tabla54[[#This Row],[Atendidas]]/Tabla54[[#This Row],[Recibidas]],0)</f>
        <v>0</v>
      </c>
    </row>
    <row r="1295" spans="2:9" x14ac:dyDescent="0.3">
      <c r="B1295" s="25">
        <f t="shared" si="58"/>
        <v>46230</v>
      </c>
      <c r="C1295" s="26">
        <v>0.85416666666666696</v>
      </c>
      <c r="D1295" s="19">
        <f>+SUMIFS(Regiones[Ofrecidas],Regiones[Fecha],Tabla54[[#This Row],[Fecha]],Regiones[Intervalo],Tabla54[[#This Row],[Intervalo]],Regiones[Skill],'BUPA Seguros'!$L$3)</f>
        <v>0</v>
      </c>
      <c r="E1295" s="19">
        <f>+SUMIFS(Regiones[Contestadas],Regiones[Fecha],Tabla54[[#This Row],[Fecha]],Regiones[Intervalo],Tabla54[[#This Row],[Intervalo]],Regiones[Skill],'BUPA Seguros'!$L$3)</f>
        <v>0</v>
      </c>
      <c r="F1295" s="20">
        <v>0</v>
      </c>
      <c r="G1295" s="19">
        <f>IFERROR(SUMIFS(Regiones[TMO],Regiones[Fecha],Tabla54[[#This Row],[Fecha]],Regiones[Intervalo],Tabla54[[#This Row],[Intervalo]],Regiones[Skill],'BUPA Seguros'!$L$3)/Tabla54[[#This Row],[Atendidas]],0)</f>
        <v>0</v>
      </c>
      <c r="H12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5" s="21">
        <f>IFERROR(Tabla54[[#This Row],[Atendidas]]/Tabla54[[#This Row],[Recibidas]],0)</f>
        <v>0</v>
      </c>
    </row>
    <row r="1296" spans="2:9" x14ac:dyDescent="0.3">
      <c r="B1296" s="27">
        <f t="shared" si="58"/>
        <v>46230</v>
      </c>
      <c r="C1296" s="18">
        <v>0.875</v>
      </c>
      <c r="D1296" s="19">
        <f>+SUMIFS(Regiones[Ofrecidas],Regiones[Fecha],Tabla54[[#This Row],[Fecha]],Regiones[Intervalo],Tabla54[[#This Row],[Intervalo]],Regiones[Skill],'BUPA Seguros'!$L$3)</f>
        <v>0</v>
      </c>
      <c r="E1296" s="19">
        <f>+SUMIFS(Regiones[Contestadas],Regiones[Fecha],Tabla54[[#This Row],[Fecha]],Regiones[Intervalo],Tabla54[[#This Row],[Intervalo]],Regiones[Skill],'BUPA Seguros'!$L$3)</f>
        <v>0</v>
      </c>
      <c r="F1296" s="20">
        <v>0</v>
      </c>
      <c r="G1296" s="19">
        <f>IFERROR(SUMIFS(Regiones[TMO],Regiones[Fecha],Tabla54[[#This Row],[Fecha]],Regiones[Intervalo],Tabla54[[#This Row],[Intervalo]],Regiones[Skill],'BUPA Seguros'!$L$3)/Tabla54[[#This Row],[Atendidas]],0)</f>
        <v>0</v>
      </c>
      <c r="H12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6" s="21">
        <f>IFERROR(Tabla54[[#This Row],[Atendidas]]/Tabla54[[#This Row],[Recibidas]],0)</f>
        <v>0</v>
      </c>
    </row>
    <row r="1297" spans="2:9" x14ac:dyDescent="0.3">
      <c r="B1297" s="25">
        <f t="shared" si="58"/>
        <v>46230</v>
      </c>
      <c r="C1297" s="26">
        <v>0.89583333333333304</v>
      </c>
      <c r="D1297" s="19">
        <f>+SUMIFS(Regiones[Ofrecidas],Regiones[Fecha],Tabla54[[#This Row],[Fecha]],Regiones[Intervalo],Tabla54[[#This Row],[Intervalo]],Regiones[Skill],'BUPA Seguros'!$L$3)</f>
        <v>0</v>
      </c>
      <c r="E1297" s="19">
        <f>+SUMIFS(Regiones[Contestadas],Regiones[Fecha],Tabla54[[#This Row],[Fecha]],Regiones[Intervalo],Tabla54[[#This Row],[Intervalo]],Regiones[Skill],'BUPA Seguros'!$L$3)</f>
        <v>0</v>
      </c>
      <c r="F1297" s="20">
        <v>0</v>
      </c>
      <c r="G1297" s="19">
        <f>IFERROR(SUMIFS(Regiones[TMO],Regiones[Fecha],Tabla54[[#This Row],[Fecha]],Regiones[Intervalo],Tabla54[[#This Row],[Intervalo]],Regiones[Skill],'BUPA Seguros'!$L$3)/Tabla54[[#This Row],[Atendidas]],0)</f>
        <v>0</v>
      </c>
      <c r="H12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7" s="21">
        <f>IFERROR(Tabla54[[#This Row],[Atendidas]]/Tabla54[[#This Row],[Recibidas]],0)</f>
        <v>0</v>
      </c>
    </row>
    <row r="1298" spans="2:9" x14ac:dyDescent="0.3">
      <c r="B1298" s="27">
        <f t="shared" si="58"/>
        <v>46230</v>
      </c>
      <c r="C1298" s="18">
        <v>0.91666666666666696</v>
      </c>
      <c r="D1298" s="19">
        <f>+SUMIFS(Regiones[Ofrecidas],Regiones[Fecha],Tabla54[[#This Row],[Fecha]],Regiones[Intervalo],Tabla54[[#This Row],[Intervalo]],Regiones[Skill],'BUPA Seguros'!$L$3)</f>
        <v>0</v>
      </c>
      <c r="E1298" s="19">
        <f>+SUMIFS(Regiones[Contestadas],Regiones[Fecha],Tabla54[[#This Row],[Fecha]],Regiones[Intervalo],Tabla54[[#This Row],[Intervalo]],Regiones[Skill],'BUPA Seguros'!$L$3)</f>
        <v>0</v>
      </c>
      <c r="F1298" s="20">
        <v>0</v>
      </c>
      <c r="G1298" s="19">
        <f>IFERROR(SUMIFS(Regiones[TMO],Regiones[Fecha],Tabla54[[#This Row],[Fecha]],Regiones[Intervalo],Tabla54[[#This Row],[Intervalo]],Regiones[Skill],'BUPA Seguros'!$L$3)/Tabla54[[#This Row],[Atendidas]],0)</f>
        <v>0</v>
      </c>
      <c r="H12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8" s="21">
        <f>IFERROR(Tabla54[[#This Row],[Atendidas]]/Tabla54[[#This Row],[Recibidas]],0)</f>
        <v>0</v>
      </c>
    </row>
    <row r="1299" spans="2:9" x14ac:dyDescent="0.3">
      <c r="B1299" s="25">
        <f t="shared" si="58"/>
        <v>46230</v>
      </c>
      <c r="C1299" s="26">
        <v>0.9375</v>
      </c>
      <c r="D1299" s="19">
        <f>+SUMIFS(Regiones[Ofrecidas],Regiones[Fecha],Tabla54[[#This Row],[Fecha]],Regiones[Intervalo],Tabla54[[#This Row],[Intervalo]],Regiones[Skill],'BUPA Seguros'!$L$3)</f>
        <v>0</v>
      </c>
      <c r="E1299" s="19">
        <f>+SUMIFS(Regiones[Contestadas],Regiones[Fecha],Tabla54[[#This Row],[Fecha]],Regiones[Intervalo],Tabla54[[#This Row],[Intervalo]],Regiones[Skill],'BUPA Seguros'!$L$3)</f>
        <v>0</v>
      </c>
      <c r="F1299" s="20">
        <v>0</v>
      </c>
      <c r="G1299" s="19">
        <f>IFERROR(SUMIFS(Regiones[TMO],Regiones[Fecha],Tabla54[[#This Row],[Fecha]],Regiones[Intervalo],Tabla54[[#This Row],[Intervalo]],Regiones[Skill],'BUPA Seguros'!$L$3)/Tabla54[[#This Row],[Atendidas]],0)</f>
        <v>0</v>
      </c>
      <c r="H12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299" s="21">
        <f>IFERROR(Tabla54[[#This Row],[Atendidas]]/Tabla54[[#This Row],[Recibidas]],0)</f>
        <v>0</v>
      </c>
    </row>
    <row r="1300" spans="2:9" x14ac:dyDescent="0.3">
      <c r="B1300" s="27">
        <f t="shared" si="58"/>
        <v>46230</v>
      </c>
      <c r="C1300" s="18">
        <v>0.95833333333333304</v>
      </c>
      <c r="D1300" s="19">
        <f>+SUMIFS(Regiones[Ofrecidas],Regiones[Fecha],Tabla54[[#This Row],[Fecha]],Regiones[Intervalo],Tabla54[[#This Row],[Intervalo]],Regiones[Skill],'BUPA Seguros'!$L$3)</f>
        <v>0</v>
      </c>
      <c r="E1300" s="19">
        <f>+SUMIFS(Regiones[Contestadas],Regiones[Fecha],Tabla54[[#This Row],[Fecha]],Regiones[Intervalo],Tabla54[[#This Row],[Intervalo]],Regiones[Skill],'BUPA Seguros'!$L$3)</f>
        <v>0</v>
      </c>
      <c r="F1300" s="20">
        <v>0</v>
      </c>
      <c r="G1300" s="19">
        <f>IFERROR(SUMIFS(Regiones[TMO],Regiones[Fecha],Tabla54[[#This Row],[Fecha]],Regiones[Intervalo],Tabla54[[#This Row],[Intervalo]],Regiones[Skill],'BUPA Seguros'!$L$3)/Tabla54[[#This Row],[Atendidas]],0)</f>
        <v>0</v>
      </c>
      <c r="H13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0" s="21">
        <f>IFERROR(Tabla54[[#This Row],[Atendidas]]/Tabla54[[#This Row],[Recibidas]],0)</f>
        <v>0</v>
      </c>
    </row>
    <row r="1301" spans="2:9" x14ac:dyDescent="0.3">
      <c r="B1301" s="25">
        <f t="shared" si="58"/>
        <v>46230</v>
      </c>
      <c r="C1301" s="26">
        <v>0.97916666666666696</v>
      </c>
      <c r="D1301" s="19">
        <f>+SUMIFS(Regiones[Ofrecidas],Regiones[Fecha],Tabla54[[#This Row],[Fecha]],Regiones[Intervalo],Tabla54[[#This Row],[Intervalo]],Regiones[Skill],'BUPA Seguros'!$L$3)</f>
        <v>0</v>
      </c>
      <c r="E1301" s="19">
        <f>+SUMIFS(Regiones[Contestadas],Regiones[Fecha],Tabla54[[#This Row],[Fecha]],Regiones[Intervalo],Tabla54[[#This Row],[Intervalo]],Regiones[Skill],'BUPA Seguros'!$L$3)</f>
        <v>0</v>
      </c>
      <c r="F1301" s="20">
        <v>0</v>
      </c>
      <c r="G1301" s="19">
        <f>IFERROR(SUMIFS(Regiones[TMO],Regiones[Fecha],Tabla54[[#This Row],[Fecha]],Regiones[Intervalo],Tabla54[[#This Row],[Intervalo]],Regiones[Skill],'BUPA Seguros'!$L$3)/Tabla54[[#This Row],[Atendidas]],0)</f>
        <v>0</v>
      </c>
      <c r="H13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1" s="21">
        <f>IFERROR(Tabla54[[#This Row],[Atendidas]]/Tabla54[[#This Row],[Recibidas]],0)</f>
        <v>0</v>
      </c>
    </row>
    <row r="1302" spans="2:9" x14ac:dyDescent="0.3">
      <c r="B1302" s="27">
        <f t="shared" ref="B1302" si="59">+B1301+1</f>
        <v>46231</v>
      </c>
      <c r="C1302" s="18">
        <v>0</v>
      </c>
      <c r="D1302" s="19">
        <f>+SUMIFS(Regiones[Ofrecidas],Regiones[Fecha],Tabla54[[#This Row],[Fecha]],Regiones[Intervalo],Tabla54[[#This Row],[Intervalo]],Regiones[Skill],'BUPA Seguros'!$L$3)</f>
        <v>0</v>
      </c>
      <c r="E1302" s="19">
        <f>+SUMIFS(Regiones[Contestadas],Regiones[Fecha],Tabla54[[#This Row],[Fecha]],Regiones[Intervalo],Tabla54[[#This Row],[Intervalo]],Regiones[Skill],'BUPA Seguros'!$L$3)</f>
        <v>0</v>
      </c>
      <c r="F1302" s="20">
        <v>0</v>
      </c>
      <c r="G1302" s="19">
        <f>IFERROR(SUMIFS(Regiones[TMO],Regiones[Fecha],Tabla54[[#This Row],[Fecha]],Regiones[Intervalo],Tabla54[[#This Row],[Intervalo]],Regiones[Skill],'BUPA Seguros'!$L$3)/Tabla54[[#This Row],[Atendidas]],0)</f>
        <v>0</v>
      </c>
      <c r="H13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2" s="21">
        <f>IFERROR(Tabla54[[#This Row],[Atendidas]]/Tabla54[[#This Row],[Recibidas]],0)</f>
        <v>0</v>
      </c>
    </row>
    <row r="1303" spans="2:9" x14ac:dyDescent="0.3">
      <c r="B1303" s="25">
        <f t="shared" ref="B1303" si="60">+B1302</f>
        <v>46231</v>
      </c>
      <c r="C1303" s="26">
        <v>2.0833333333333332E-2</v>
      </c>
      <c r="D1303" s="19">
        <f>+SUMIFS(Regiones[Ofrecidas],Regiones[Fecha],Tabla54[[#This Row],[Fecha]],Regiones[Intervalo],Tabla54[[#This Row],[Intervalo]],Regiones[Skill],'BUPA Seguros'!$L$3)</f>
        <v>0</v>
      </c>
      <c r="E1303" s="19">
        <f>+SUMIFS(Regiones[Contestadas],Regiones[Fecha],Tabla54[[#This Row],[Fecha]],Regiones[Intervalo],Tabla54[[#This Row],[Intervalo]],Regiones[Skill],'BUPA Seguros'!$L$3)</f>
        <v>0</v>
      </c>
      <c r="F1303" s="20">
        <v>0</v>
      </c>
      <c r="G1303" s="19">
        <f>IFERROR(SUMIFS(Regiones[TMO],Regiones[Fecha],Tabla54[[#This Row],[Fecha]],Regiones[Intervalo],Tabla54[[#This Row],[Intervalo]],Regiones[Skill],'BUPA Seguros'!$L$3)/Tabla54[[#This Row],[Atendidas]],0)</f>
        <v>0</v>
      </c>
      <c r="H13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3" s="21">
        <f>IFERROR(Tabla54[[#This Row],[Atendidas]]/Tabla54[[#This Row],[Recibidas]],0)</f>
        <v>0</v>
      </c>
    </row>
    <row r="1304" spans="2:9" x14ac:dyDescent="0.3">
      <c r="B1304" s="27">
        <f t="shared" si="58"/>
        <v>46231</v>
      </c>
      <c r="C1304" s="18">
        <v>4.1666666666666699E-2</v>
      </c>
      <c r="D1304" s="19">
        <f>+SUMIFS(Regiones[Ofrecidas],Regiones[Fecha],Tabla54[[#This Row],[Fecha]],Regiones[Intervalo],Tabla54[[#This Row],[Intervalo]],Regiones[Skill],'BUPA Seguros'!$L$3)</f>
        <v>0</v>
      </c>
      <c r="E1304" s="19">
        <f>+SUMIFS(Regiones[Contestadas],Regiones[Fecha],Tabla54[[#This Row],[Fecha]],Regiones[Intervalo],Tabla54[[#This Row],[Intervalo]],Regiones[Skill],'BUPA Seguros'!$L$3)</f>
        <v>0</v>
      </c>
      <c r="F1304" s="20">
        <v>0</v>
      </c>
      <c r="G1304" s="19">
        <f>IFERROR(SUMIFS(Regiones[TMO],Regiones[Fecha],Tabla54[[#This Row],[Fecha]],Regiones[Intervalo],Tabla54[[#This Row],[Intervalo]],Regiones[Skill],'BUPA Seguros'!$L$3)/Tabla54[[#This Row],[Atendidas]],0)</f>
        <v>0</v>
      </c>
      <c r="H13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4" s="21">
        <f>IFERROR(Tabla54[[#This Row],[Atendidas]]/Tabla54[[#This Row],[Recibidas]],0)</f>
        <v>0</v>
      </c>
    </row>
    <row r="1305" spans="2:9" x14ac:dyDescent="0.3">
      <c r="B1305" s="25">
        <f t="shared" si="58"/>
        <v>46231</v>
      </c>
      <c r="C1305" s="26">
        <v>6.25E-2</v>
      </c>
      <c r="D1305" s="19">
        <f>+SUMIFS(Regiones[Ofrecidas],Regiones[Fecha],Tabla54[[#This Row],[Fecha]],Regiones[Intervalo],Tabla54[[#This Row],[Intervalo]],Regiones[Skill],'BUPA Seguros'!$L$3)</f>
        <v>0</v>
      </c>
      <c r="E1305" s="19">
        <f>+SUMIFS(Regiones[Contestadas],Regiones[Fecha],Tabla54[[#This Row],[Fecha]],Regiones[Intervalo],Tabla54[[#This Row],[Intervalo]],Regiones[Skill],'BUPA Seguros'!$L$3)</f>
        <v>0</v>
      </c>
      <c r="F1305" s="20">
        <v>0</v>
      </c>
      <c r="G1305" s="19">
        <f>IFERROR(SUMIFS(Regiones[TMO],Regiones[Fecha],Tabla54[[#This Row],[Fecha]],Regiones[Intervalo],Tabla54[[#This Row],[Intervalo]],Regiones[Skill],'BUPA Seguros'!$L$3)/Tabla54[[#This Row],[Atendidas]],0)</f>
        <v>0</v>
      </c>
      <c r="H13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5" s="21">
        <f>IFERROR(Tabla54[[#This Row],[Atendidas]]/Tabla54[[#This Row],[Recibidas]],0)</f>
        <v>0</v>
      </c>
    </row>
    <row r="1306" spans="2:9" x14ac:dyDescent="0.3">
      <c r="B1306" s="27">
        <f t="shared" si="58"/>
        <v>46231</v>
      </c>
      <c r="C1306" s="18">
        <v>8.3333333333333301E-2</v>
      </c>
      <c r="D1306" s="19">
        <f>+SUMIFS(Regiones[Ofrecidas],Regiones[Fecha],Tabla54[[#This Row],[Fecha]],Regiones[Intervalo],Tabla54[[#This Row],[Intervalo]],Regiones[Skill],'BUPA Seguros'!$L$3)</f>
        <v>0</v>
      </c>
      <c r="E1306" s="19">
        <f>+SUMIFS(Regiones[Contestadas],Regiones[Fecha],Tabla54[[#This Row],[Fecha]],Regiones[Intervalo],Tabla54[[#This Row],[Intervalo]],Regiones[Skill],'BUPA Seguros'!$L$3)</f>
        <v>0</v>
      </c>
      <c r="F1306" s="20">
        <v>0</v>
      </c>
      <c r="G1306" s="19">
        <f>IFERROR(SUMIFS(Regiones[TMO],Regiones[Fecha],Tabla54[[#This Row],[Fecha]],Regiones[Intervalo],Tabla54[[#This Row],[Intervalo]],Regiones[Skill],'BUPA Seguros'!$L$3)/Tabla54[[#This Row],[Atendidas]],0)</f>
        <v>0</v>
      </c>
      <c r="H13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6" s="21">
        <f>IFERROR(Tabla54[[#This Row],[Atendidas]]/Tabla54[[#This Row],[Recibidas]],0)</f>
        <v>0</v>
      </c>
    </row>
    <row r="1307" spans="2:9" x14ac:dyDescent="0.3">
      <c r="B1307" s="25">
        <f t="shared" si="58"/>
        <v>46231</v>
      </c>
      <c r="C1307" s="26">
        <v>0.104166666666667</v>
      </c>
      <c r="D1307" s="19">
        <f>+SUMIFS(Regiones[Ofrecidas],Regiones[Fecha],Tabla54[[#This Row],[Fecha]],Regiones[Intervalo],Tabla54[[#This Row],[Intervalo]],Regiones[Skill],'BUPA Seguros'!$L$3)</f>
        <v>0</v>
      </c>
      <c r="E1307" s="19">
        <f>+SUMIFS(Regiones[Contestadas],Regiones[Fecha],Tabla54[[#This Row],[Fecha]],Regiones[Intervalo],Tabla54[[#This Row],[Intervalo]],Regiones[Skill],'BUPA Seguros'!$L$3)</f>
        <v>0</v>
      </c>
      <c r="F1307" s="20">
        <v>0</v>
      </c>
      <c r="G1307" s="19">
        <f>IFERROR(SUMIFS(Regiones[TMO],Regiones[Fecha],Tabla54[[#This Row],[Fecha]],Regiones[Intervalo],Tabla54[[#This Row],[Intervalo]],Regiones[Skill],'BUPA Seguros'!$L$3)/Tabla54[[#This Row],[Atendidas]],0)</f>
        <v>0</v>
      </c>
      <c r="H13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7" s="21">
        <f>IFERROR(Tabla54[[#This Row],[Atendidas]]/Tabla54[[#This Row],[Recibidas]],0)</f>
        <v>0</v>
      </c>
    </row>
    <row r="1308" spans="2:9" x14ac:dyDescent="0.3">
      <c r="B1308" s="27">
        <f t="shared" si="58"/>
        <v>46231</v>
      </c>
      <c r="C1308" s="18">
        <v>0.125</v>
      </c>
      <c r="D1308" s="19">
        <f>+SUMIFS(Regiones[Ofrecidas],Regiones[Fecha],Tabla54[[#This Row],[Fecha]],Regiones[Intervalo],Tabla54[[#This Row],[Intervalo]],Regiones[Skill],'BUPA Seguros'!$L$3)</f>
        <v>0</v>
      </c>
      <c r="E1308" s="19">
        <f>+SUMIFS(Regiones[Contestadas],Regiones[Fecha],Tabla54[[#This Row],[Fecha]],Regiones[Intervalo],Tabla54[[#This Row],[Intervalo]],Regiones[Skill],'BUPA Seguros'!$L$3)</f>
        <v>0</v>
      </c>
      <c r="F1308" s="20">
        <v>0</v>
      </c>
      <c r="G1308" s="19">
        <f>IFERROR(SUMIFS(Regiones[TMO],Regiones[Fecha],Tabla54[[#This Row],[Fecha]],Regiones[Intervalo],Tabla54[[#This Row],[Intervalo]],Regiones[Skill],'BUPA Seguros'!$L$3)/Tabla54[[#This Row],[Atendidas]],0)</f>
        <v>0</v>
      </c>
      <c r="H13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8" s="21">
        <f>IFERROR(Tabla54[[#This Row],[Atendidas]]/Tabla54[[#This Row],[Recibidas]],0)</f>
        <v>0</v>
      </c>
    </row>
    <row r="1309" spans="2:9" x14ac:dyDescent="0.3">
      <c r="B1309" s="25">
        <f t="shared" si="58"/>
        <v>46231</v>
      </c>
      <c r="C1309" s="26">
        <v>0.14583333333333301</v>
      </c>
      <c r="D1309" s="19">
        <f>+SUMIFS(Regiones[Ofrecidas],Regiones[Fecha],Tabla54[[#This Row],[Fecha]],Regiones[Intervalo],Tabla54[[#This Row],[Intervalo]],Regiones[Skill],'BUPA Seguros'!$L$3)</f>
        <v>0</v>
      </c>
      <c r="E1309" s="19">
        <f>+SUMIFS(Regiones[Contestadas],Regiones[Fecha],Tabla54[[#This Row],[Fecha]],Regiones[Intervalo],Tabla54[[#This Row],[Intervalo]],Regiones[Skill],'BUPA Seguros'!$L$3)</f>
        <v>0</v>
      </c>
      <c r="F1309" s="20">
        <v>0</v>
      </c>
      <c r="G1309" s="19">
        <f>IFERROR(SUMIFS(Regiones[TMO],Regiones[Fecha],Tabla54[[#This Row],[Fecha]],Regiones[Intervalo],Tabla54[[#This Row],[Intervalo]],Regiones[Skill],'BUPA Seguros'!$L$3)/Tabla54[[#This Row],[Atendidas]],0)</f>
        <v>0</v>
      </c>
      <c r="H13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09" s="21">
        <f>IFERROR(Tabla54[[#This Row],[Atendidas]]/Tabla54[[#This Row],[Recibidas]],0)</f>
        <v>0</v>
      </c>
    </row>
    <row r="1310" spans="2:9" x14ac:dyDescent="0.3">
      <c r="B1310" s="27">
        <f t="shared" si="58"/>
        <v>46231</v>
      </c>
      <c r="C1310" s="18">
        <v>0.16666666666666699</v>
      </c>
      <c r="D1310" s="19">
        <f>+SUMIFS(Regiones[Ofrecidas],Regiones[Fecha],Tabla54[[#This Row],[Fecha]],Regiones[Intervalo],Tabla54[[#This Row],[Intervalo]],Regiones[Skill],'BUPA Seguros'!$L$3)</f>
        <v>0</v>
      </c>
      <c r="E1310" s="19">
        <f>+SUMIFS(Regiones[Contestadas],Regiones[Fecha],Tabla54[[#This Row],[Fecha]],Regiones[Intervalo],Tabla54[[#This Row],[Intervalo]],Regiones[Skill],'BUPA Seguros'!$L$3)</f>
        <v>0</v>
      </c>
      <c r="F1310" s="20">
        <v>0</v>
      </c>
      <c r="G1310" s="19">
        <f>IFERROR(SUMIFS(Regiones[TMO],Regiones[Fecha],Tabla54[[#This Row],[Fecha]],Regiones[Intervalo],Tabla54[[#This Row],[Intervalo]],Regiones[Skill],'BUPA Seguros'!$L$3)/Tabla54[[#This Row],[Atendidas]],0)</f>
        <v>0</v>
      </c>
      <c r="H13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0" s="21">
        <f>IFERROR(Tabla54[[#This Row],[Atendidas]]/Tabla54[[#This Row],[Recibidas]],0)</f>
        <v>0</v>
      </c>
    </row>
    <row r="1311" spans="2:9" x14ac:dyDescent="0.3">
      <c r="B1311" s="25">
        <f t="shared" si="58"/>
        <v>46231</v>
      </c>
      <c r="C1311" s="26">
        <v>0.1875</v>
      </c>
      <c r="D1311" s="19">
        <f>+SUMIFS(Regiones[Ofrecidas],Regiones[Fecha],Tabla54[[#This Row],[Fecha]],Regiones[Intervalo],Tabla54[[#This Row],[Intervalo]],Regiones[Skill],'BUPA Seguros'!$L$3)</f>
        <v>0</v>
      </c>
      <c r="E1311" s="19">
        <f>+SUMIFS(Regiones[Contestadas],Regiones[Fecha],Tabla54[[#This Row],[Fecha]],Regiones[Intervalo],Tabla54[[#This Row],[Intervalo]],Regiones[Skill],'BUPA Seguros'!$L$3)</f>
        <v>0</v>
      </c>
      <c r="F1311" s="20">
        <v>0</v>
      </c>
      <c r="G1311" s="19">
        <f>IFERROR(SUMIFS(Regiones[TMO],Regiones[Fecha],Tabla54[[#This Row],[Fecha]],Regiones[Intervalo],Tabla54[[#This Row],[Intervalo]],Regiones[Skill],'BUPA Seguros'!$L$3)/Tabla54[[#This Row],[Atendidas]],0)</f>
        <v>0</v>
      </c>
      <c r="H13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1" s="21">
        <f>IFERROR(Tabla54[[#This Row],[Atendidas]]/Tabla54[[#This Row],[Recibidas]],0)</f>
        <v>0</v>
      </c>
    </row>
    <row r="1312" spans="2:9" x14ac:dyDescent="0.3">
      <c r="B1312" s="27">
        <f t="shared" si="58"/>
        <v>46231</v>
      </c>
      <c r="C1312" s="18">
        <v>0.20833333333333301</v>
      </c>
      <c r="D1312" s="19">
        <f>+SUMIFS(Regiones[Ofrecidas],Regiones[Fecha],Tabla54[[#This Row],[Fecha]],Regiones[Intervalo],Tabla54[[#This Row],[Intervalo]],Regiones[Skill],'BUPA Seguros'!$L$3)</f>
        <v>0</v>
      </c>
      <c r="E1312" s="19">
        <f>+SUMIFS(Regiones[Contestadas],Regiones[Fecha],Tabla54[[#This Row],[Fecha]],Regiones[Intervalo],Tabla54[[#This Row],[Intervalo]],Regiones[Skill],'BUPA Seguros'!$L$3)</f>
        <v>0</v>
      </c>
      <c r="F1312" s="20">
        <v>0</v>
      </c>
      <c r="G1312" s="19">
        <f>IFERROR(SUMIFS(Regiones[TMO],Regiones[Fecha],Tabla54[[#This Row],[Fecha]],Regiones[Intervalo],Tabla54[[#This Row],[Intervalo]],Regiones[Skill],'BUPA Seguros'!$L$3)/Tabla54[[#This Row],[Atendidas]],0)</f>
        <v>0</v>
      </c>
      <c r="H13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2" s="21">
        <f>IFERROR(Tabla54[[#This Row],[Atendidas]]/Tabla54[[#This Row],[Recibidas]],0)</f>
        <v>0</v>
      </c>
    </row>
    <row r="1313" spans="2:9" x14ac:dyDescent="0.3">
      <c r="B1313" s="25">
        <f t="shared" si="58"/>
        <v>46231</v>
      </c>
      <c r="C1313" s="26">
        <v>0.22916666666666699</v>
      </c>
      <c r="D1313" s="19">
        <f>+SUMIFS(Regiones[Ofrecidas],Regiones[Fecha],Tabla54[[#This Row],[Fecha]],Regiones[Intervalo],Tabla54[[#This Row],[Intervalo]],Regiones[Skill],'BUPA Seguros'!$L$3)</f>
        <v>0</v>
      </c>
      <c r="E1313" s="19">
        <f>+SUMIFS(Regiones[Contestadas],Regiones[Fecha],Tabla54[[#This Row],[Fecha]],Regiones[Intervalo],Tabla54[[#This Row],[Intervalo]],Regiones[Skill],'BUPA Seguros'!$L$3)</f>
        <v>0</v>
      </c>
      <c r="F1313" s="20">
        <v>0</v>
      </c>
      <c r="G1313" s="19">
        <f>IFERROR(SUMIFS(Regiones[TMO],Regiones[Fecha],Tabla54[[#This Row],[Fecha]],Regiones[Intervalo],Tabla54[[#This Row],[Intervalo]],Regiones[Skill],'BUPA Seguros'!$L$3)/Tabla54[[#This Row],[Atendidas]],0)</f>
        <v>0</v>
      </c>
      <c r="H13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3" s="21">
        <f>IFERROR(Tabla54[[#This Row],[Atendidas]]/Tabla54[[#This Row],[Recibidas]],0)</f>
        <v>0</v>
      </c>
    </row>
    <row r="1314" spans="2:9" x14ac:dyDescent="0.3">
      <c r="B1314" s="27">
        <f t="shared" si="58"/>
        <v>46231</v>
      </c>
      <c r="C1314" s="18">
        <v>0.25</v>
      </c>
      <c r="D1314" s="19">
        <f>+SUMIFS(Regiones[Ofrecidas],Regiones[Fecha],Tabla54[[#This Row],[Fecha]],Regiones[Intervalo],Tabla54[[#This Row],[Intervalo]],Regiones[Skill],'BUPA Seguros'!$L$3)</f>
        <v>0</v>
      </c>
      <c r="E1314" s="19">
        <f>+SUMIFS(Regiones[Contestadas],Regiones[Fecha],Tabla54[[#This Row],[Fecha]],Regiones[Intervalo],Tabla54[[#This Row],[Intervalo]],Regiones[Skill],'BUPA Seguros'!$L$3)</f>
        <v>0</v>
      </c>
      <c r="F1314" s="20">
        <v>0</v>
      </c>
      <c r="G1314" s="19">
        <f>IFERROR(SUMIFS(Regiones[TMO],Regiones[Fecha],Tabla54[[#This Row],[Fecha]],Regiones[Intervalo],Tabla54[[#This Row],[Intervalo]],Regiones[Skill],'BUPA Seguros'!$L$3)/Tabla54[[#This Row],[Atendidas]],0)</f>
        <v>0</v>
      </c>
      <c r="H13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4" s="21">
        <f>IFERROR(Tabla54[[#This Row],[Atendidas]]/Tabla54[[#This Row],[Recibidas]],0)</f>
        <v>0</v>
      </c>
    </row>
    <row r="1315" spans="2:9" x14ac:dyDescent="0.3">
      <c r="B1315" s="25">
        <f t="shared" si="58"/>
        <v>46231</v>
      </c>
      <c r="C1315" s="26">
        <v>0.27083333333333298</v>
      </c>
      <c r="D1315" s="19">
        <f>+SUMIFS(Regiones[Ofrecidas],Regiones[Fecha],Tabla54[[#This Row],[Fecha]],Regiones[Intervalo],Tabla54[[#This Row],[Intervalo]],Regiones[Skill],'BUPA Seguros'!$L$3)</f>
        <v>0</v>
      </c>
      <c r="E1315" s="19">
        <f>+SUMIFS(Regiones[Contestadas],Regiones[Fecha],Tabla54[[#This Row],[Fecha]],Regiones[Intervalo],Tabla54[[#This Row],[Intervalo]],Regiones[Skill],'BUPA Seguros'!$L$3)</f>
        <v>0</v>
      </c>
      <c r="F1315" s="20">
        <v>0</v>
      </c>
      <c r="G1315" s="19">
        <f>IFERROR(SUMIFS(Regiones[TMO],Regiones[Fecha],Tabla54[[#This Row],[Fecha]],Regiones[Intervalo],Tabla54[[#This Row],[Intervalo]],Regiones[Skill],'BUPA Seguros'!$L$3)/Tabla54[[#This Row],[Atendidas]],0)</f>
        <v>0</v>
      </c>
      <c r="H13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5" s="21">
        <f>IFERROR(Tabla54[[#This Row],[Atendidas]]/Tabla54[[#This Row],[Recibidas]],0)</f>
        <v>0</v>
      </c>
    </row>
    <row r="1316" spans="2:9" x14ac:dyDescent="0.3">
      <c r="B1316" s="27">
        <f t="shared" si="58"/>
        <v>46231</v>
      </c>
      <c r="C1316" s="18">
        <v>0.29166666666666702</v>
      </c>
      <c r="D1316" s="19">
        <f>+SUMIFS(Regiones[Ofrecidas],Regiones[Fecha],Tabla54[[#This Row],[Fecha]],Regiones[Intervalo],Tabla54[[#This Row],[Intervalo]],Regiones[Skill],'BUPA Seguros'!$L$3)</f>
        <v>0</v>
      </c>
      <c r="E1316" s="19">
        <f>+SUMIFS(Regiones[Contestadas],Regiones[Fecha],Tabla54[[#This Row],[Fecha]],Regiones[Intervalo],Tabla54[[#This Row],[Intervalo]],Regiones[Skill],'BUPA Seguros'!$L$3)</f>
        <v>0</v>
      </c>
      <c r="F1316" s="20">
        <v>0</v>
      </c>
      <c r="G1316" s="19">
        <f>IFERROR(SUMIFS(Regiones[TMO],Regiones[Fecha],Tabla54[[#This Row],[Fecha]],Regiones[Intervalo],Tabla54[[#This Row],[Intervalo]],Regiones[Skill],'BUPA Seguros'!$L$3)/Tabla54[[#This Row],[Atendidas]],0)</f>
        <v>0</v>
      </c>
      <c r="H13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6" s="21">
        <f>IFERROR(Tabla54[[#This Row],[Atendidas]]/Tabla54[[#This Row],[Recibidas]],0)</f>
        <v>0</v>
      </c>
    </row>
    <row r="1317" spans="2:9" x14ac:dyDescent="0.3">
      <c r="B1317" s="25">
        <f t="shared" si="58"/>
        <v>46231</v>
      </c>
      <c r="C1317" s="26">
        <v>0.3125</v>
      </c>
      <c r="D1317" s="19">
        <f>+SUMIFS(Regiones[Ofrecidas],Regiones[Fecha],Tabla54[[#This Row],[Fecha]],Regiones[Intervalo],Tabla54[[#This Row],[Intervalo]],Regiones[Skill],'BUPA Seguros'!$L$3)</f>
        <v>0</v>
      </c>
      <c r="E1317" s="19">
        <f>+SUMIFS(Regiones[Contestadas],Regiones[Fecha],Tabla54[[#This Row],[Fecha]],Regiones[Intervalo],Tabla54[[#This Row],[Intervalo]],Regiones[Skill],'BUPA Seguros'!$L$3)</f>
        <v>0</v>
      </c>
      <c r="F1317" s="20">
        <v>0</v>
      </c>
      <c r="G1317" s="19">
        <f>IFERROR(SUMIFS(Regiones[TMO],Regiones[Fecha],Tabla54[[#This Row],[Fecha]],Regiones[Intervalo],Tabla54[[#This Row],[Intervalo]],Regiones[Skill],'BUPA Seguros'!$L$3)/Tabla54[[#This Row],[Atendidas]],0)</f>
        <v>0</v>
      </c>
      <c r="H13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7" s="21">
        <f>IFERROR(Tabla54[[#This Row],[Atendidas]]/Tabla54[[#This Row],[Recibidas]],0)</f>
        <v>0</v>
      </c>
    </row>
    <row r="1318" spans="2:9" x14ac:dyDescent="0.3">
      <c r="B1318" s="27">
        <f t="shared" si="58"/>
        <v>46231</v>
      </c>
      <c r="C1318" s="18">
        <v>0.33333333333333298</v>
      </c>
      <c r="D1318" s="19">
        <f>+SUMIFS(Regiones[Ofrecidas],Regiones[Fecha],Tabla54[[#This Row],[Fecha]],Regiones[Intervalo],Tabla54[[#This Row],[Intervalo]],Regiones[Skill],'BUPA Seguros'!$L$3)</f>
        <v>0</v>
      </c>
      <c r="E1318" s="19">
        <f>+SUMIFS(Regiones[Contestadas],Regiones[Fecha],Tabla54[[#This Row],[Fecha]],Regiones[Intervalo],Tabla54[[#This Row],[Intervalo]],Regiones[Skill],'BUPA Seguros'!$L$3)</f>
        <v>0</v>
      </c>
      <c r="F1318" s="20">
        <v>0</v>
      </c>
      <c r="G1318" s="19">
        <f>IFERROR(SUMIFS(Regiones[TMO],Regiones[Fecha],Tabla54[[#This Row],[Fecha]],Regiones[Intervalo],Tabla54[[#This Row],[Intervalo]],Regiones[Skill],'BUPA Seguros'!$L$3)/Tabla54[[#This Row],[Atendidas]],0)</f>
        <v>0</v>
      </c>
      <c r="H13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8" s="21">
        <f>IFERROR(Tabla54[[#This Row],[Atendidas]]/Tabla54[[#This Row],[Recibidas]],0)</f>
        <v>0</v>
      </c>
    </row>
    <row r="1319" spans="2:9" x14ac:dyDescent="0.3">
      <c r="B1319" s="25">
        <f t="shared" si="58"/>
        <v>46231</v>
      </c>
      <c r="C1319" s="26">
        <v>0.35416666666666702</v>
      </c>
      <c r="D1319" s="19">
        <f>+SUMIFS(Regiones[Ofrecidas],Regiones[Fecha],Tabla54[[#This Row],[Fecha]],Regiones[Intervalo],Tabla54[[#This Row],[Intervalo]],Regiones[Skill],'BUPA Seguros'!$L$3)</f>
        <v>0</v>
      </c>
      <c r="E1319" s="19">
        <f>+SUMIFS(Regiones[Contestadas],Regiones[Fecha],Tabla54[[#This Row],[Fecha]],Regiones[Intervalo],Tabla54[[#This Row],[Intervalo]],Regiones[Skill],'BUPA Seguros'!$L$3)</f>
        <v>0</v>
      </c>
      <c r="F1319" s="20">
        <v>0</v>
      </c>
      <c r="G1319" s="19">
        <f>IFERROR(SUMIFS(Regiones[TMO],Regiones[Fecha],Tabla54[[#This Row],[Fecha]],Regiones[Intervalo],Tabla54[[#This Row],[Intervalo]],Regiones[Skill],'BUPA Seguros'!$L$3)/Tabla54[[#This Row],[Atendidas]],0)</f>
        <v>0</v>
      </c>
      <c r="H13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19" s="21">
        <f>IFERROR(Tabla54[[#This Row],[Atendidas]]/Tabla54[[#This Row],[Recibidas]],0)</f>
        <v>0</v>
      </c>
    </row>
    <row r="1320" spans="2:9" x14ac:dyDescent="0.3">
      <c r="B1320" s="27">
        <f t="shared" si="58"/>
        <v>46231</v>
      </c>
      <c r="C1320" s="18">
        <v>0.375</v>
      </c>
      <c r="D1320" s="19">
        <f>+SUMIFS(Regiones[Ofrecidas],Regiones[Fecha],Tabla54[[#This Row],[Fecha]],Regiones[Intervalo],Tabla54[[#This Row],[Intervalo]],Regiones[Skill],'BUPA Seguros'!$L$3)</f>
        <v>0</v>
      </c>
      <c r="E1320" s="19">
        <f>+SUMIFS(Regiones[Contestadas],Regiones[Fecha],Tabla54[[#This Row],[Fecha]],Regiones[Intervalo],Tabla54[[#This Row],[Intervalo]],Regiones[Skill],'BUPA Seguros'!$L$3)</f>
        <v>0</v>
      </c>
      <c r="F1320" s="20">
        <v>33.693491163964374</v>
      </c>
      <c r="G1320" s="19">
        <f>IFERROR(SUMIFS(Regiones[TMO],Regiones[Fecha],Tabla54[[#This Row],[Fecha]],Regiones[Intervalo],Tabla54[[#This Row],[Intervalo]],Regiones[Skill],'BUPA Seguros'!$L$3)/Tabla54[[#This Row],[Atendidas]],0)</f>
        <v>0</v>
      </c>
      <c r="H13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0" s="21">
        <f>IFERROR(Tabla54[[#This Row],[Atendidas]]/Tabla54[[#This Row],[Recibidas]],0)</f>
        <v>0</v>
      </c>
    </row>
    <row r="1321" spans="2:9" x14ac:dyDescent="0.3">
      <c r="B1321" s="25">
        <f t="shared" si="58"/>
        <v>46231</v>
      </c>
      <c r="C1321" s="26">
        <v>0.39583333333333298</v>
      </c>
      <c r="D1321" s="19">
        <f>+SUMIFS(Regiones[Ofrecidas],Regiones[Fecha],Tabla54[[#This Row],[Fecha]],Regiones[Intervalo],Tabla54[[#This Row],[Intervalo]],Regiones[Skill],'BUPA Seguros'!$L$3)</f>
        <v>0</v>
      </c>
      <c r="E1321" s="19">
        <f>+SUMIFS(Regiones[Contestadas],Regiones[Fecha],Tabla54[[#This Row],[Fecha]],Regiones[Intervalo],Tabla54[[#This Row],[Intervalo]],Regiones[Skill],'BUPA Seguros'!$L$3)</f>
        <v>0</v>
      </c>
      <c r="F1321" s="20">
        <v>32.388247812567563</v>
      </c>
      <c r="G1321" s="19">
        <f>IFERROR(SUMIFS(Regiones[TMO],Regiones[Fecha],Tabla54[[#This Row],[Fecha]],Regiones[Intervalo],Tabla54[[#This Row],[Intervalo]],Regiones[Skill],'BUPA Seguros'!$L$3)/Tabla54[[#This Row],[Atendidas]],0)</f>
        <v>0</v>
      </c>
      <c r="H13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1" s="21">
        <f>IFERROR(Tabla54[[#This Row],[Atendidas]]/Tabla54[[#This Row],[Recibidas]],0)</f>
        <v>0</v>
      </c>
    </row>
    <row r="1322" spans="2:9" x14ac:dyDescent="0.3">
      <c r="B1322" s="27">
        <f t="shared" si="58"/>
        <v>46231</v>
      </c>
      <c r="C1322" s="18">
        <v>0.41666666666666702</v>
      </c>
      <c r="D1322" s="19">
        <f>+SUMIFS(Regiones[Ofrecidas],Regiones[Fecha],Tabla54[[#This Row],[Fecha]],Regiones[Intervalo],Tabla54[[#This Row],[Intervalo]],Regiones[Skill],'BUPA Seguros'!$L$3)</f>
        <v>0</v>
      </c>
      <c r="E1322" s="19">
        <f>+SUMIFS(Regiones[Contestadas],Regiones[Fecha],Tabla54[[#This Row],[Fecha]],Regiones[Intervalo],Tabla54[[#This Row],[Intervalo]],Regiones[Skill],'BUPA Seguros'!$L$3)</f>
        <v>0</v>
      </c>
      <c r="F1322" s="20">
        <v>32.651320115949858</v>
      </c>
      <c r="G1322" s="19">
        <f>IFERROR(SUMIFS(Regiones[TMO],Regiones[Fecha],Tabla54[[#This Row],[Fecha]],Regiones[Intervalo],Tabla54[[#This Row],[Intervalo]],Regiones[Skill],'BUPA Seguros'!$L$3)/Tabla54[[#This Row],[Atendidas]],0)</f>
        <v>0</v>
      </c>
      <c r="H13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2" s="21">
        <f>IFERROR(Tabla54[[#This Row],[Atendidas]]/Tabla54[[#This Row],[Recibidas]],0)</f>
        <v>0</v>
      </c>
    </row>
    <row r="1323" spans="2:9" x14ac:dyDescent="0.3">
      <c r="B1323" s="25">
        <f t="shared" si="58"/>
        <v>46231</v>
      </c>
      <c r="C1323" s="26">
        <v>0.4375</v>
      </c>
      <c r="D1323" s="19">
        <f>+SUMIFS(Regiones[Ofrecidas],Regiones[Fecha],Tabla54[[#This Row],[Fecha]],Regiones[Intervalo],Tabla54[[#This Row],[Intervalo]],Regiones[Skill],'BUPA Seguros'!$L$3)</f>
        <v>0</v>
      </c>
      <c r="E1323" s="19">
        <f>+SUMIFS(Regiones[Contestadas],Regiones[Fecha],Tabla54[[#This Row],[Fecha]],Regiones[Intervalo],Tabla54[[#This Row],[Intervalo]],Regiones[Skill],'BUPA Seguros'!$L$3)</f>
        <v>0</v>
      </c>
      <c r="F1323" s="20">
        <v>33.747454713376129</v>
      </c>
      <c r="G1323" s="19">
        <f>IFERROR(SUMIFS(Regiones[TMO],Regiones[Fecha],Tabla54[[#This Row],[Fecha]],Regiones[Intervalo],Tabla54[[#This Row],[Intervalo]],Regiones[Skill],'BUPA Seguros'!$L$3)/Tabla54[[#This Row],[Atendidas]],0)</f>
        <v>0</v>
      </c>
      <c r="H13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3" s="21">
        <f>IFERROR(Tabla54[[#This Row],[Atendidas]]/Tabla54[[#This Row],[Recibidas]],0)</f>
        <v>0</v>
      </c>
    </row>
    <row r="1324" spans="2:9" x14ac:dyDescent="0.3">
      <c r="B1324" s="27">
        <f t="shared" si="58"/>
        <v>46231</v>
      </c>
      <c r="C1324" s="18">
        <v>0.45833333333333298</v>
      </c>
      <c r="D1324" s="19">
        <f>+SUMIFS(Regiones[Ofrecidas],Regiones[Fecha],Tabla54[[#This Row],[Fecha]],Regiones[Intervalo],Tabla54[[#This Row],[Intervalo]],Regiones[Skill],'BUPA Seguros'!$L$3)</f>
        <v>0</v>
      </c>
      <c r="E1324" s="19">
        <f>+SUMIFS(Regiones[Contestadas],Regiones[Fecha],Tabla54[[#This Row],[Fecha]],Regiones[Intervalo],Tabla54[[#This Row],[Intervalo]],Regiones[Skill],'BUPA Seguros'!$L$3)</f>
        <v>0</v>
      </c>
      <c r="F1324" s="20">
        <v>34.914416469405325</v>
      </c>
      <c r="G1324" s="19">
        <f>IFERROR(SUMIFS(Regiones[TMO],Regiones[Fecha],Tabla54[[#This Row],[Fecha]],Regiones[Intervalo],Tabla54[[#This Row],[Intervalo]],Regiones[Skill],'BUPA Seguros'!$L$3)/Tabla54[[#This Row],[Atendidas]],0)</f>
        <v>0</v>
      </c>
      <c r="H13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4" s="21">
        <f>IFERROR(Tabla54[[#This Row],[Atendidas]]/Tabla54[[#This Row],[Recibidas]],0)</f>
        <v>0</v>
      </c>
    </row>
    <row r="1325" spans="2:9" x14ac:dyDescent="0.3">
      <c r="B1325" s="25">
        <f t="shared" si="58"/>
        <v>46231</v>
      </c>
      <c r="C1325" s="26">
        <v>0.47916666666666702</v>
      </c>
      <c r="D1325" s="19">
        <f>+SUMIFS(Regiones[Ofrecidas],Regiones[Fecha],Tabla54[[#This Row],[Fecha]],Regiones[Intervalo],Tabla54[[#This Row],[Intervalo]],Regiones[Skill],'BUPA Seguros'!$L$3)</f>
        <v>0</v>
      </c>
      <c r="E1325" s="19">
        <f>+SUMIFS(Regiones[Contestadas],Regiones[Fecha],Tabla54[[#This Row],[Fecha]],Regiones[Intervalo],Tabla54[[#This Row],[Intervalo]],Regiones[Skill],'BUPA Seguros'!$L$3)</f>
        <v>0</v>
      </c>
      <c r="F1325" s="20">
        <v>35.575469949699318</v>
      </c>
      <c r="G1325" s="19">
        <f>IFERROR(SUMIFS(Regiones[TMO],Regiones[Fecha],Tabla54[[#This Row],[Fecha]],Regiones[Intervalo],Tabla54[[#This Row],[Intervalo]],Regiones[Skill],'BUPA Seguros'!$L$3)/Tabla54[[#This Row],[Atendidas]],0)</f>
        <v>0</v>
      </c>
      <c r="H13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5" s="21">
        <f>IFERROR(Tabla54[[#This Row],[Atendidas]]/Tabla54[[#This Row],[Recibidas]],0)</f>
        <v>0</v>
      </c>
    </row>
    <row r="1326" spans="2:9" x14ac:dyDescent="0.3">
      <c r="B1326" s="27">
        <f t="shared" si="58"/>
        <v>46231</v>
      </c>
      <c r="C1326" s="18">
        <v>0.5</v>
      </c>
      <c r="D1326" s="19">
        <f>+SUMIFS(Regiones[Ofrecidas],Regiones[Fecha],Tabla54[[#This Row],[Fecha]],Regiones[Intervalo],Tabla54[[#This Row],[Intervalo]],Regiones[Skill],'BUPA Seguros'!$L$3)</f>
        <v>0</v>
      </c>
      <c r="E1326" s="19">
        <f>+SUMIFS(Regiones[Contestadas],Regiones[Fecha],Tabla54[[#This Row],[Fecha]],Regiones[Intervalo],Tabla54[[#This Row],[Intervalo]],Regiones[Skill],'BUPA Seguros'!$L$3)</f>
        <v>0</v>
      </c>
      <c r="F1326" s="20">
        <v>35.669906161169891</v>
      </c>
      <c r="G1326" s="19">
        <f>IFERROR(SUMIFS(Regiones[TMO],Regiones[Fecha],Tabla54[[#This Row],[Fecha]],Regiones[Intervalo],Tabla54[[#This Row],[Intervalo]],Regiones[Skill],'BUPA Seguros'!$L$3)/Tabla54[[#This Row],[Atendidas]],0)</f>
        <v>0</v>
      </c>
      <c r="H13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6" s="21">
        <f>IFERROR(Tabla54[[#This Row],[Atendidas]]/Tabla54[[#This Row],[Recibidas]],0)</f>
        <v>0</v>
      </c>
    </row>
    <row r="1327" spans="2:9" x14ac:dyDescent="0.3">
      <c r="B1327" s="25">
        <f t="shared" si="58"/>
        <v>46231</v>
      </c>
      <c r="C1327" s="26">
        <v>0.52083333333333304</v>
      </c>
      <c r="D1327" s="19">
        <f>+SUMIFS(Regiones[Ofrecidas],Regiones[Fecha],Tabla54[[#This Row],[Fecha]],Regiones[Intervalo],Tabla54[[#This Row],[Intervalo]],Regiones[Skill],'BUPA Seguros'!$L$3)</f>
        <v>0</v>
      </c>
      <c r="E1327" s="19">
        <f>+SUMIFS(Regiones[Contestadas],Regiones[Fecha],Tabla54[[#This Row],[Fecha]],Regiones[Intervalo],Tabla54[[#This Row],[Intervalo]],Regiones[Skill],'BUPA Seguros'!$L$3)</f>
        <v>0</v>
      </c>
      <c r="F1327" s="20">
        <v>34.846962032640633</v>
      </c>
      <c r="G1327" s="19">
        <f>IFERROR(SUMIFS(Regiones[TMO],Regiones[Fecha],Tabla54[[#This Row],[Fecha]],Regiones[Intervalo],Tabla54[[#This Row],[Intervalo]],Regiones[Skill],'BUPA Seguros'!$L$3)/Tabla54[[#This Row],[Atendidas]],0)</f>
        <v>0</v>
      </c>
      <c r="H13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7" s="21">
        <f>IFERROR(Tabla54[[#This Row],[Atendidas]]/Tabla54[[#This Row],[Recibidas]],0)</f>
        <v>0</v>
      </c>
    </row>
    <row r="1328" spans="2:9" x14ac:dyDescent="0.3">
      <c r="B1328" s="27">
        <f t="shared" si="58"/>
        <v>46231</v>
      </c>
      <c r="C1328" s="18">
        <v>0.54166666666666696</v>
      </c>
      <c r="D1328" s="19">
        <f>+SUMIFS(Regiones[Ofrecidas],Regiones[Fecha],Tabla54[[#This Row],[Fecha]],Regiones[Intervalo],Tabla54[[#This Row],[Intervalo]],Regiones[Skill],'BUPA Seguros'!$L$3)</f>
        <v>0</v>
      </c>
      <c r="E1328" s="19">
        <f>+SUMIFS(Regiones[Contestadas],Regiones[Fecha],Tabla54[[#This Row],[Fecha]],Regiones[Intervalo],Tabla54[[#This Row],[Intervalo]],Regiones[Skill],'BUPA Seguros'!$L$3)</f>
        <v>0</v>
      </c>
      <c r="F1328" s="20">
        <v>33.228055550287984</v>
      </c>
      <c r="G1328" s="19">
        <f>IFERROR(SUMIFS(Regiones[TMO],Regiones[Fecha],Tabla54[[#This Row],[Fecha]],Regiones[Intervalo],Tabla54[[#This Row],[Intervalo]],Regiones[Skill],'BUPA Seguros'!$L$3)/Tabla54[[#This Row],[Atendidas]],0)</f>
        <v>0</v>
      </c>
      <c r="H13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8" s="21">
        <f>IFERROR(Tabla54[[#This Row],[Atendidas]]/Tabla54[[#This Row],[Recibidas]],0)</f>
        <v>0</v>
      </c>
    </row>
    <row r="1329" spans="2:9" x14ac:dyDescent="0.3">
      <c r="B1329" s="25">
        <f t="shared" si="58"/>
        <v>46231</v>
      </c>
      <c r="C1329" s="26">
        <v>0.5625</v>
      </c>
      <c r="D1329" s="19">
        <f>+SUMIFS(Regiones[Ofrecidas],Regiones[Fecha],Tabla54[[#This Row],[Fecha]],Regiones[Intervalo],Tabla54[[#This Row],[Intervalo]],Regiones[Skill],'BUPA Seguros'!$L$3)</f>
        <v>0</v>
      </c>
      <c r="E1329" s="19">
        <f>+SUMIFS(Regiones[Contestadas],Regiones[Fecha],Tabla54[[#This Row],[Fecha]],Regiones[Intervalo],Tabla54[[#This Row],[Intervalo]],Regiones[Skill],'BUPA Seguros'!$L$3)</f>
        <v>0</v>
      </c>
      <c r="F1329" s="20">
        <v>31.002059137053106</v>
      </c>
      <c r="G1329" s="19">
        <f>IFERROR(SUMIFS(Regiones[TMO],Regiones[Fecha],Tabla54[[#This Row],[Fecha]],Regiones[Intervalo],Tabla54[[#This Row],[Intervalo]],Regiones[Skill],'BUPA Seguros'!$L$3)/Tabla54[[#This Row],[Atendidas]],0)</f>
        <v>0</v>
      </c>
      <c r="H13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29" s="21">
        <f>IFERROR(Tabla54[[#This Row],[Atendidas]]/Tabla54[[#This Row],[Recibidas]],0)</f>
        <v>0</v>
      </c>
    </row>
    <row r="1330" spans="2:9" x14ac:dyDescent="0.3">
      <c r="B1330" s="27">
        <f t="shared" si="58"/>
        <v>46231</v>
      </c>
      <c r="C1330" s="18">
        <v>0.58333333333333304</v>
      </c>
      <c r="D1330" s="19">
        <f>+SUMIFS(Regiones[Ofrecidas],Regiones[Fecha],Tabla54[[#This Row],[Fecha]],Regiones[Intervalo],Tabla54[[#This Row],[Intervalo]],Regiones[Skill],'BUPA Seguros'!$L$3)</f>
        <v>0</v>
      </c>
      <c r="E1330" s="19">
        <f>+SUMIFS(Regiones[Contestadas],Regiones[Fecha],Tabla54[[#This Row],[Fecha]],Regiones[Intervalo],Tabla54[[#This Row],[Intervalo]],Regiones[Skill],'BUPA Seguros'!$L$3)</f>
        <v>0</v>
      </c>
      <c r="F1330" s="20">
        <v>28.857008047935857</v>
      </c>
      <c r="G1330" s="19">
        <f>IFERROR(SUMIFS(Regiones[TMO],Regiones[Fecha],Tabla54[[#This Row],[Fecha]],Regiones[Intervalo],Tabla54[[#This Row],[Intervalo]],Regiones[Skill],'BUPA Seguros'!$L$3)/Tabla54[[#This Row],[Atendidas]],0)</f>
        <v>0</v>
      </c>
      <c r="H13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0" s="21">
        <f>IFERROR(Tabla54[[#This Row],[Atendidas]]/Tabla54[[#This Row],[Recibidas]],0)</f>
        <v>0</v>
      </c>
    </row>
    <row r="1331" spans="2:9" x14ac:dyDescent="0.3">
      <c r="B1331" s="25">
        <f t="shared" si="58"/>
        <v>46231</v>
      </c>
      <c r="C1331" s="26">
        <v>0.60416666666666696</v>
      </c>
      <c r="D1331" s="19">
        <f>+SUMIFS(Regiones[Ofrecidas],Regiones[Fecha],Tabla54[[#This Row],[Fecha]],Regiones[Intervalo],Tabla54[[#This Row],[Intervalo]],Regiones[Skill],'BUPA Seguros'!$L$3)</f>
        <v>0</v>
      </c>
      <c r="E1331" s="19">
        <f>+SUMIFS(Regiones[Contestadas],Regiones[Fecha],Tabla54[[#This Row],[Fecha]],Regiones[Intervalo],Tabla54[[#This Row],[Intervalo]],Regiones[Skill],'BUPA Seguros'!$L$3)</f>
        <v>0</v>
      </c>
      <c r="F1331" s="20">
        <v>26.887338494406812</v>
      </c>
      <c r="G1331" s="19">
        <f>IFERROR(SUMIFS(Regiones[TMO],Regiones[Fecha],Tabla54[[#This Row],[Fecha]],Regiones[Intervalo],Tabla54[[#This Row],[Intervalo]],Regiones[Skill],'BUPA Seguros'!$L$3)/Tabla54[[#This Row],[Atendidas]],0)</f>
        <v>0</v>
      </c>
      <c r="H13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1" s="21">
        <f>IFERROR(Tabla54[[#This Row],[Atendidas]]/Tabla54[[#This Row],[Recibidas]],0)</f>
        <v>0</v>
      </c>
    </row>
    <row r="1332" spans="2:9" x14ac:dyDescent="0.3">
      <c r="B1332" s="27">
        <f t="shared" si="58"/>
        <v>46231</v>
      </c>
      <c r="C1332" s="18">
        <v>0.625</v>
      </c>
      <c r="D1332" s="19">
        <f>+SUMIFS(Regiones[Ofrecidas],Regiones[Fecha],Tabla54[[#This Row],[Fecha]],Regiones[Intervalo],Tabla54[[#This Row],[Intervalo]],Regiones[Skill],'BUPA Seguros'!$L$3)</f>
        <v>0</v>
      </c>
      <c r="E1332" s="19">
        <f>+SUMIFS(Regiones[Contestadas],Regiones[Fecha],Tabla54[[#This Row],[Fecha]],Regiones[Intervalo],Tabla54[[#This Row],[Intervalo]],Regiones[Skill],'BUPA Seguros'!$L$3)</f>
        <v>0</v>
      </c>
      <c r="F1332" s="20">
        <v>25.592213308524695</v>
      </c>
      <c r="G1332" s="19">
        <f>IFERROR(SUMIFS(Regiones[TMO],Regiones[Fecha],Tabla54[[#This Row],[Fecha]],Regiones[Intervalo],Tabla54[[#This Row],[Intervalo]],Regiones[Skill],'BUPA Seguros'!$L$3)/Tabla54[[#This Row],[Atendidas]],0)</f>
        <v>0</v>
      </c>
      <c r="H13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2" s="21">
        <f>IFERROR(Tabla54[[#This Row],[Atendidas]]/Tabla54[[#This Row],[Recibidas]],0)</f>
        <v>0</v>
      </c>
    </row>
    <row r="1333" spans="2:9" x14ac:dyDescent="0.3">
      <c r="B1333" s="25">
        <f t="shared" si="58"/>
        <v>46231</v>
      </c>
      <c r="C1333" s="26">
        <v>0.64583333333333304</v>
      </c>
      <c r="D1333" s="19">
        <f>+SUMIFS(Regiones[Ofrecidas],Regiones[Fecha],Tabla54[[#This Row],[Fecha]],Regiones[Intervalo],Tabla54[[#This Row],[Intervalo]],Regiones[Skill],'BUPA Seguros'!$L$3)</f>
        <v>0</v>
      </c>
      <c r="E1333" s="19">
        <f>+SUMIFS(Regiones[Contestadas],Regiones[Fecha],Tabla54[[#This Row],[Fecha]],Regiones[Intervalo],Tabla54[[#This Row],[Intervalo]],Regiones[Skill],'BUPA Seguros'!$L$3)</f>
        <v>0</v>
      </c>
      <c r="F1333" s="20">
        <v>24.647851193818983</v>
      </c>
      <c r="G1333" s="19">
        <f>IFERROR(SUMIFS(Regiones[TMO],Regiones[Fecha],Tabla54[[#This Row],[Fecha]],Regiones[Intervalo],Tabla54[[#This Row],[Intervalo]],Regiones[Skill],'BUPA Seguros'!$L$3)/Tabla54[[#This Row],[Atendidas]],0)</f>
        <v>0</v>
      </c>
      <c r="H13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3" s="21">
        <f>IFERROR(Tabla54[[#This Row],[Atendidas]]/Tabla54[[#This Row],[Recibidas]],0)</f>
        <v>0</v>
      </c>
    </row>
    <row r="1334" spans="2:9" x14ac:dyDescent="0.3">
      <c r="B1334" s="27">
        <f t="shared" si="58"/>
        <v>46231</v>
      </c>
      <c r="C1334" s="18">
        <v>0.66666666666666696</v>
      </c>
      <c r="D1334" s="19">
        <f>+SUMIFS(Regiones[Ofrecidas],Regiones[Fecha],Tabla54[[#This Row],[Fecha]],Regiones[Intervalo],Tabla54[[#This Row],[Intervalo]],Regiones[Skill],'BUPA Seguros'!$L$3)</f>
        <v>0</v>
      </c>
      <c r="E1334" s="19">
        <f>+SUMIFS(Regiones[Contestadas],Regiones[Fecha],Tabla54[[#This Row],[Fecha]],Regiones[Intervalo],Tabla54[[#This Row],[Intervalo]],Regiones[Skill],'BUPA Seguros'!$L$3)</f>
        <v>0</v>
      </c>
      <c r="F1334" s="20">
        <v>24.310579009995521</v>
      </c>
      <c r="G1334" s="19">
        <f>IFERROR(SUMIFS(Regiones[TMO],Regiones[Fecha],Tabla54[[#This Row],[Fecha]],Regiones[Intervalo],Tabla54[[#This Row],[Intervalo]],Regiones[Skill],'BUPA Seguros'!$L$3)/Tabla54[[#This Row],[Atendidas]],0)</f>
        <v>0</v>
      </c>
      <c r="H13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4" s="21">
        <f>IFERROR(Tabla54[[#This Row],[Atendidas]]/Tabla54[[#This Row],[Recibidas]],0)</f>
        <v>0</v>
      </c>
    </row>
    <row r="1335" spans="2:9" x14ac:dyDescent="0.3">
      <c r="B1335" s="25">
        <f t="shared" ref="B1335:B1397" si="61">+B1334</f>
        <v>46231</v>
      </c>
      <c r="C1335" s="26">
        <v>0.6875</v>
      </c>
      <c r="D1335" s="19">
        <f>+SUMIFS(Regiones[Ofrecidas],Regiones[Fecha],Tabla54[[#This Row],[Fecha]],Regiones[Intervalo],Tabla54[[#This Row],[Intervalo]],Regiones[Skill],'BUPA Seguros'!$L$3)</f>
        <v>0</v>
      </c>
      <c r="E1335" s="19">
        <f>+SUMIFS(Regiones[Contestadas],Regiones[Fecha],Tabla54[[#This Row],[Fecha]],Regiones[Intervalo],Tabla54[[#This Row],[Intervalo]],Regiones[Skill],'BUPA Seguros'!$L$3)</f>
        <v>0</v>
      </c>
      <c r="F1335" s="20">
        <v>24.431996996171964</v>
      </c>
      <c r="G1335" s="19">
        <f>IFERROR(SUMIFS(Regiones[TMO],Regiones[Fecha],Tabla54[[#This Row],[Fecha]],Regiones[Intervalo],Tabla54[[#This Row],[Intervalo]],Regiones[Skill],'BUPA Seguros'!$L$3)/Tabla54[[#This Row],[Atendidas]],0)</f>
        <v>0</v>
      </c>
      <c r="H13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5" s="21">
        <f>IFERROR(Tabla54[[#This Row],[Atendidas]]/Tabla54[[#This Row],[Recibidas]],0)</f>
        <v>0</v>
      </c>
    </row>
    <row r="1336" spans="2:9" x14ac:dyDescent="0.3">
      <c r="B1336" s="27">
        <f t="shared" si="61"/>
        <v>46231</v>
      </c>
      <c r="C1336" s="18">
        <v>0.70833333333333304</v>
      </c>
      <c r="D1336" s="19">
        <f>+SUMIFS(Regiones[Ofrecidas],Regiones[Fecha],Tabla54[[#This Row],[Fecha]],Regiones[Intervalo],Tabla54[[#This Row],[Intervalo]],Regiones[Skill],'BUPA Seguros'!$L$3)</f>
        <v>0</v>
      </c>
      <c r="E1336" s="19">
        <f>+SUMIFS(Regiones[Contestadas],Regiones[Fecha],Tabla54[[#This Row],[Fecha]],Regiones[Intervalo],Tabla54[[#This Row],[Intervalo]],Regiones[Skill],'BUPA Seguros'!$L$3)</f>
        <v>0</v>
      </c>
      <c r="F1336" s="20">
        <v>24.769269179995433</v>
      </c>
      <c r="G1336" s="19">
        <f>IFERROR(SUMIFS(Regiones[TMO],Regiones[Fecha],Tabla54[[#This Row],[Fecha]],Regiones[Intervalo],Tabla54[[#This Row],[Intervalo]],Regiones[Skill],'BUPA Seguros'!$L$3)/Tabla54[[#This Row],[Atendidas]],0)</f>
        <v>0</v>
      </c>
      <c r="H13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6" s="21">
        <f>IFERROR(Tabla54[[#This Row],[Atendidas]]/Tabla54[[#This Row],[Recibidas]],0)</f>
        <v>0</v>
      </c>
    </row>
    <row r="1337" spans="2:9" x14ac:dyDescent="0.3">
      <c r="B1337" s="25">
        <f t="shared" si="61"/>
        <v>46231</v>
      </c>
      <c r="C1337" s="26">
        <v>0.72916666666666696</v>
      </c>
      <c r="D1337" s="19">
        <f>+SUMIFS(Regiones[Ofrecidas],Regiones[Fecha],Tabla54[[#This Row],[Fecha]],Regiones[Intervalo],Tabla54[[#This Row],[Intervalo]],Regiones[Skill],'BUPA Seguros'!$L$3)</f>
        <v>0</v>
      </c>
      <c r="E1337" s="19">
        <f>+SUMIFS(Regiones[Contestadas],Regiones[Fecha],Tabla54[[#This Row],[Fecha]],Regiones[Intervalo],Tabla54[[#This Row],[Intervalo]],Regiones[Skill],'BUPA Seguros'!$L$3)</f>
        <v>0</v>
      </c>
      <c r="F1337" s="20">
        <v>25.801322062495245</v>
      </c>
      <c r="G1337" s="19">
        <f>IFERROR(SUMIFS(Regiones[TMO],Regiones[Fecha],Tabla54[[#This Row],[Fecha]],Regiones[Intervalo],Tabla54[[#This Row],[Intervalo]],Regiones[Skill],'BUPA Seguros'!$L$3)/Tabla54[[#This Row],[Atendidas]],0)</f>
        <v>0</v>
      </c>
      <c r="H13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7" s="21">
        <f>IFERROR(Tabla54[[#This Row],[Atendidas]]/Tabla54[[#This Row],[Recibidas]],0)</f>
        <v>0</v>
      </c>
    </row>
    <row r="1338" spans="2:9" x14ac:dyDescent="0.3">
      <c r="B1338" s="27">
        <f t="shared" si="61"/>
        <v>46231</v>
      </c>
      <c r="C1338" s="18">
        <v>0.75</v>
      </c>
      <c r="D1338" s="19">
        <f>+SUMIFS(Regiones[Ofrecidas],Regiones[Fecha],Tabla54[[#This Row],[Fecha]],Regiones[Intervalo],Tabla54[[#This Row],[Intervalo]],Regiones[Skill],'BUPA Seguros'!$L$3)</f>
        <v>0</v>
      </c>
      <c r="E1338" s="19">
        <f>+SUMIFS(Regiones[Contestadas],Regiones[Fecha],Tabla54[[#This Row],[Fecha]],Regiones[Intervalo],Tabla54[[#This Row],[Intervalo]],Regiones[Skill],'BUPA Seguros'!$L$3)</f>
        <v>0</v>
      </c>
      <c r="F1338" s="20">
        <v>0</v>
      </c>
      <c r="G1338" s="19">
        <f>IFERROR(SUMIFS(Regiones[TMO],Regiones[Fecha],Tabla54[[#This Row],[Fecha]],Regiones[Intervalo],Tabla54[[#This Row],[Intervalo]],Regiones[Skill],'BUPA Seguros'!$L$3)/Tabla54[[#This Row],[Atendidas]],0)</f>
        <v>0</v>
      </c>
      <c r="H13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8" s="21">
        <f>IFERROR(Tabla54[[#This Row],[Atendidas]]/Tabla54[[#This Row],[Recibidas]],0)</f>
        <v>0</v>
      </c>
    </row>
    <row r="1339" spans="2:9" x14ac:dyDescent="0.3">
      <c r="B1339" s="25">
        <f t="shared" si="61"/>
        <v>46231</v>
      </c>
      <c r="C1339" s="26">
        <v>0.77083333333333304</v>
      </c>
      <c r="D1339" s="19">
        <f>+SUMIFS(Regiones[Ofrecidas],Regiones[Fecha],Tabla54[[#This Row],[Fecha]],Regiones[Intervalo],Tabla54[[#This Row],[Intervalo]],Regiones[Skill],'BUPA Seguros'!$L$3)</f>
        <v>0</v>
      </c>
      <c r="E1339" s="19">
        <f>+SUMIFS(Regiones[Contestadas],Regiones[Fecha],Tabla54[[#This Row],[Fecha]],Regiones[Intervalo],Tabla54[[#This Row],[Intervalo]],Regiones[Skill],'BUPA Seguros'!$L$3)</f>
        <v>0</v>
      </c>
      <c r="F1339" s="20">
        <v>0</v>
      </c>
      <c r="G1339" s="19">
        <f>IFERROR(SUMIFS(Regiones[TMO],Regiones[Fecha],Tabla54[[#This Row],[Fecha]],Regiones[Intervalo],Tabla54[[#This Row],[Intervalo]],Regiones[Skill],'BUPA Seguros'!$L$3)/Tabla54[[#This Row],[Atendidas]],0)</f>
        <v>0</v>
      </c>
      <c r="H13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39" s="21">
        <f>IFERROR(Tabla54[[#This Row],[Atendidas]]/Tabla54[[#This Row],[Recibidas]],0)</f>
        <v>0</v>
      </c>
    </row>
    <row r="1340" spans="2:9" x14ac:dyDescent="0.3">
      <c r="B1340" s="27">
        <f t="shared" si="61"/>
        <v>46231</v>
      </c>
      <c r="C1340" s="18">
        <v>0.79166666666666696</v>
      </c>
      <c r="D1340" s="19">
        <f>+SUMIFS(Regiones[Ofrecidas],Regiones[Fecha],Tabla54[[#This Row],[Fecha]],Regiones[Intervalo],Tabla54[[#This Row],[Intervalo]],Regiones[Skill],'BUPA Seguros'!$L$3)</f>
        <v>0</v>
      </c>
      <c r="E1340" s="19">
        <f>+SUMIFS(Regiones[Contestadas],Regiones[Fecha],Tabla54[[#This Row],[Fecha]],Regiones[Intervalo],Tabla54[[#This Row],[Intervalo]],Regiones[Skill],'BUPA Seguros'!$L$3)</f>
        <v>0</v>
      </c>
      <c r="F1340" s="20">
        <v>0</v>
      </c>
      <c r="G1340" s="19">
        <f>IFERROR(SUMIFS(Regiones[TMO],Regiones[Fecha],Tabla54[[#This Row],[Fecha]],Regiones[Intervalo],Tabla54[[#This Row],[Intervalo]],Regiones[Skill],'BUPA Seguros'!$L$3)/Tabla54[[#This Row],[Atendidas]],0)</f>
        <v>0</v>
      </c>
      <c r="H13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0" s="21">
        <f>IFERROR(Tabla54[[#This Row],[Atendidas]]/Tabla54[[#This Row],[Recibidas]],0)</f>
        <v>0</v>
      </c>
    </row>
    <row r="1341" spans="2:9" x14ac:dyDescent="0.3">
      <c r="B1341" s="25">
        <f t="shared" si="61"/>
        <v>46231</v>
      </c>
      <c r="C1341" s="26">
        <v>0.8125</v>
      </c>
      <c r="D1341" s="19">
        <f>+SUMIFS(Regiones[Ofrecidas],Regiones[Fecha],Tabla54[[#This Row],[Fecha]],Regiones[Intervalo],Tabla54[[#This Row],[Intervalo]],Regiones[Skill],'BUPA Seguros'!$L$3)</f>
        <v>0</v>
      </c>
      <c r="E1341" s="19">
        <f>+SUMIFS(Regiones[Contestadas],Regiones[Fecha],Tabla54[[#This Row],[Fecha]],Regiones[Intervalo],Tabla54[[#This Row],[Intervalo]],Regiones[Skill],'BUPA Seguros'!$L$3)</f>
        <v>0</v>
      </c>
      <c r="F1341" s="20">
        <v>0</v>
      </c>
      <c r="G1341" s="19">
        <f>IFERROR(SUMIFS(Regiones[TMO],Regiones[Fecha],Tabla54[[#This Row],[Fecha]],Regiones[Intervalo],Tabla54[[#This Row],[Intervalo]],Regiones[Skill],'BUPA Seguros'!$L$3)/Tabla54[[#This Row],[Atendidas]],0)</f>
        <v>0</v>
      </c>
      <c r="H13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1" s="21">
        <f>IFERROR(Tabla54[[#This Row],[Atendidas]]/Tabla54[[#This Row],[Recibidas]],0)</f>
        <v>0</v>
      </c>
    </row>
    <row r="1342" spans="2:9" x14ac:dyDescent="0.3">
      <c r="B1342" s="27">
        <f t="shared" si="61"/>
        <v>46231</v>
      </c>
      <c r="C1342" s="18">
        <v>0.83333333333333304</v>
      </c>
      <c r="D1342" s="19">
        <f>+SUMIFS(Regiones[Ofrecidas],Regiones[Fecha],Tabla54[[#This Row],[Fecha]],Regiones[Intervalo],Tabla54[[#This Row],[Intervalo]],Regiones[Skill],'BUPA Seguros'!$L$3)</f>
        <v>0</v>
      </c>
      <c r="E1342" s="19">
        <f>+SUMIFS(Regiones[Contestadas],Regiones[Fecha],Tabla54[[#This Row],[Fecha]],Regiones[Intervalo],Tabla54[[#This Row],[Intervalo]],Regiones[Skill],'BUPA Seguros'!$L$3)</f>
        <v>0</v>
      </c>
      <c r="F1342" s="20">
        <v>0</v>
      </c>
      <c r="G1342" s="19">
        <f>IFERROR(SUMIFS(Regiones[TMO],Regiones[Fecha],Tabla54[[#This Row],[Fecha]],Regiones[Intervalo],Tabla54[[#This Row],[Intervalo]],Regiones[Skill],'BUPA Seguros'!$L$3)/Tabla54[[#This Row],[Atendidas]],0)</f>
        <v>0</v>
      </c>
      <c r="H13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2" s="21">
        <f>IFERROR(Tabla54[[#This Row],[Atendidas]]/Tabla54[[#This Row],[Recibidas]],0)</f>
        <v>0</v>
      </c>
    </row>
    <row r="1343" spans="2:9" x14ac:dyDescent="0.3">
      <c r="B1343" s="25">
        <f t="shared" si="61"/>
        <v>46231</v>
      </c>
      <c r="C1343" s="26">
        <v>0.85416666666666696</v>
      </c>
      <c r="D1343" s="19">
        <f>+SUMIFS(Regiones[Ofrecidas],Regiones[Fecha],Tabla54[[#This Row],[Fecha]],Regiones[Intervalo],Tabla54[[#This Row],[Intervalo]],Regiones[Skill],'BUPA Seguros'!$L$3)</f>
        <v>0</v>
      </c>
      <c r="E1343" s="19">
        <f>+SUMIFS(Regiones[Contestadas],Regiones[Fecha],Tabla54[[#This Row],[Fecha]],Regiones[Intervalo],Tabla54[[#This Row],[Intervalo]],Regiones[Skill],'BUPA Seguros'!$L$3)</f>
        <v>0</v>
      </c>
      <c r="F1343" s="20">
        <v>0</v>
      </c>
      <c r="G1343" s="19">
        <f>IFERROR(SUMIFS(Regiones[TMO],Regiones[Fecha],Tabla54[[#This Row],[Fecha]],Regiones[Intervalo],Tabla54[[#This Row],[Intervalo]],Regiones[Skill],'BUPA Seguros'!$L$3)/Tabla54[[#This Row],[Atendidas]],0)</f>
        <v>0</v>
      </c>
      <c r="H13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3" s="21">
        <f>IFERROR(Tabla54[[#This Row],[Atendidas]]/Tabla54[[#This Row],[Recibidas]],0)</f>
        <v>0</v>
      </c>
    </row>
    <row r="1344" spans="2:9" x14ac:dyDescent="0.3">
      <c r="B1344" s="27">
        <f t="shared" si="61"/>
        <v>46231</v>
      </c>
      <c r="C1344" s="18">
        <v>0.875</v>
      </c>
      <c r="D1344" s="19">
        <f>+SUMIFS(Regiones[Ofrecidas],Regiones[Fecha],Tabla54[[#This Row],[Fecha]],Regiones[Intervalo],Tabla54[[#This Row],[Intervalo]],Regiones[Skill],'BUPA Seguros'!$L$3)</f>
        <v>0</v>
      </c>
      <c r="E1344" s="19">
        <f>+SUMIFS(Regiones[Contestadas],Regiones[Fecha],Tabla54[[#This Row],[Fecha]],Regiones[Intervalo],Tabla54[[#This Row],[Intervalo]],Regiones[Skill],'BUPA Seguros'!$L$3)</f>
        <v>0</v>
      </c>
      <c r="F1344" s="20">
        <v>0</v>
      </c>
      <c r="G1344" s="19">
        <f>IFERROR(SUMIFS(Regiones[TMO],Regiones[Fecha],Tabla54[[#This Row],[Fecha]],Regiones[Intervalo],Tabla54[[#This Row],[Intervalo]],Regiones[Skill],'BUPA Seguros'!$L$3)/Tabla54[[#This Row],[Atendidas]],0)</f>
        <v>0</v>
      </c>
      <c r="H13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4" s="21">
        <f>IFERROR(Tabla54[[#This Row],[Atendidas]]/Tabla54[[#This Row],[Recibidas]],0)</f>
        <v>0</v>
      </c>
    </row>
    <row r="1345" spans="2:9" x14ac:dyDescent="0.3">
      <c r="B1345" s="25">
        <f t="shared" si="61"/>
        <v>46231</v>
      </c>
      <c r="C1345" s="26">
        <v>0.89583333333333304</v>
      </c>
      <c r="D1345" s="19">
        <f>+SUMIFS(Regiones[Ofrecidas],Regiones[Fecha],Tabla54[[#This Row],[Fecha]],Regiones[Intervalo],Tabla54[[#This Row],[Intervalo]],Regiones[Skill],'BUPA Seguros'!$L$3)</f>
        <v>0</v>
      </c>
      <c r="E1345" s="19">
        <f>+SUMIFS(Regiones[Contestadas],Regiones[Fecha],Tabla54[[#This Row],[Fecha]],Regiones[Intervalo],Tabla54[[#This Row],[Intervalo]],Regiones[Skill],'BUPA Seguros'!$L$3)</f>
        <v>0</v>
      </c>
      <c r="F1345" s="20">
        <v>0</v>
      </c>
      <c r="G1345" s="19">
        <f>IFERROR(SUMIFS(Regiones[TMO],Regiones[Fecha],Tabla54[[#This Row],[Fecha]],Regiones[Intervalo],Tabla54[[#This Row],[Intervalo]],Regiones[Skill],'BUPA Seguros'!$L$3)/Tabla54[[#This Row],[Atendidas]],0)</f>
        <v>0</v>
      </c>
      <c r="H13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5" s="21">
        <f>IFERROR(Tabla54[[#This Row],[Atendidas]]/Tabla54[[#This Row],[Recibidas]],0)</f>
        <v>0</v>
      </c>
    </row>
    <row r="1346" spans="2:9" x14ac:dyDescent="0.3">
      <c r="B1346" s="27">
        <f t="shared" si="61"/>
        <v>46231</v>
      </c>
      <c r="C1346" s="18">
        <v>0.91666666666666696</v>
      </c>
      <c r="D1346" s="19">
        <f>+SUMIFS(Regiones[Ofrecidas],Regiones[Fecha],Tabla54[[#This Row],[Fecha]],Regiones[Intervalo],Tabla54[[#This Row],[Intervalo]],Regiones[Skill],'BUPA Seguros'!$L$3)</f>
        <v>0</v>
      </c>
      <c r="E1346" s="19">
        <f>+SUMIFS(Regiones[Contestadas],Regiones[Fecha],Tabla54[[#This Row],[Fecha]],Regiones[Intervalo],Tabla54[[#This Row],[Intervalo]],Regiones[Skill],'BUPA Seguros'!$L$3)</f>
        <v>0</v>
      </c>
      <c r="F1346" s="20">
        <v>0</v>
      </c>
      <c r="G1346" s="19">
        <f>IFERROR(SUMIFS(Regiones[TMO],Regiones[Fecha],Tabla54[[#This Row],[Fecha]],Regiones[Intervalo],Tabla54[[#This Row],[Intervalo]],Regiones[Skill],'BUPA Seguros'!$L$3)/Tabla54[[#This Row],[Atendidas]],0)</f>
        <v>0</v>
      </c>
      <c r="H13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6" s="21">
        <f>IFERROR(Tabla54[[#This Row],[Atendidas]]/Tabla54[[#This Row],[Recibidas]],0)</f>
        <v>0</v>
      </c>
    </row>
    <row r="1347" spans="2:9" x14ac:dyDescent="0.3">
      <c r="B1347" s="25">
        <f t="shared" si="61"/>
        <v>46231</v>
      </c>
      <c r="C1347" s="26">
        <v>0.9375</v>
      </c>
      <c r="D1347" s="19">
        <f>+SUMIFS(Regiones[Ofrecidas],Regiones[Fecha],Tabla54[[#This Row],[Fecha]],Regiones[Intervalo],Tabla54[[#This Row],[Intervalo]],Regiones[Skill],'BUPA Seguros'!$L$3)</f>
        <v>0</v>
      </c>
      <c r="E1347" s="19">
        <f>+SUMIFS(Regiones[Contestadas],Regiones[Fecha],Tabla54[[#This Row],[Fecha]],Regiones[Intervalo],Tabla54[[#This Row],[Intervalo]],Regiones[Skill],'BUPA Seguros'!$L$3)</f>
        <v>0</v>
      </c>
      <c r="F1347" s="20">
        <v>0</v>
      </c>
      <c r="G1347" s="19">
        <f>IFERROR(SUMIFS(Regiones[TMO],Regiones[Fecha],Tabla54[[#This Row],[Fecha]],Regiones[Intervalo],Tabla54[[#This Row],[Intervalo]],Regiones[Skill],'BUPA Seguros'!$L$3)/Tabla54[[#This Row],[Atendidas]],0)</f>
        <v>0</v>
      </c>
      <c r="H13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7" s="21">
        <f>IFERROR(Tabla54[[#This Row],[Atendidas]]/Tabla54[[#This Row],[Recibidas]],0)</f>
        <v>0</v>
      </c>
    </row>
    <row r="1348" spans="2:9" x14ac:dyDescent="0.3">
      <c r="B1348" s="27">
        <f t="shared" si="61"/>
        <v>46231</v>
      </c>
      <c r="C1348" s="18">
        <v>0.95833333333333304</v>
      </c>
      <c r="D1348" s="19">
        <f>+SUMIFS(Regiones[Ofrecidas],Regiones[Fecha],Tabla54[[#This Row],[Fecha]],Regiones[Intervalo],Tabla54[[#This Row],[Intervalo]],Regiones[Skill],'BUPA Seguros'!$L$3)</f>
        <v>0</v>
      </c>
      <c r="E1348" s="19">
        <f>+SUMIFS(Regiones[Contestadas],Regiones[Fecha],Tabla54[[#This Row],[Fecha]],Regiones[Intervalo],Tabla54[[#This Row],[Intervalo]],Regiones[Skill],'BUPA Seguros'!$L$3)</f>
        <v>0</v>
      </c>
      <c r="F1348" s="20">
        <v>0</v>
      </c>
      <c r="G1348" s="19">
        <f>IFERROR(SUMIFS(Regiones[TMO],Regiones[Fecha],Tabla54[[#This Row],[Fecha]],Regiones[Intervalo],Tabla54[[#This Row],[Intervalo]],Regiones[Skill],'BUPA Seguros'!$L$3)/Tabla54[[#This Row],[Atendidas]],0)</f>
        <v>0</v>
      </c>
      <c r="H13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8" s="21">
        <f>IFERROR(Tabla54[[#This Row],[Atendidas]]/Tabla54[[#This Row],[Recibidas]],0)</f>
        <v>0</v>
      </c>
    </row>
    <row r="1349" spans="2:9" x14ac:dyDescent="0.3">
      <c r="B1349" s="25">
        <f t="shared" si="61"/>
        <v>46231</v>
      </c>
      <c r="C1349" s="26">
        <v>0.97916666666666696</v>
      </c>
      <c r="D1349" s="19">
        <f>+SUMIFS(Regiones[Ofrecidas],Regiones[Fecha],Tabla54[[#This Row],[Fecha]],Regiones[Intervalo],Tabla54[[#This Row],[Intervalo]],Regiones[Skill],'BUPA Seguros'!$L$3)</f>
        <v>0</v>
      </c>
      <c r="E1349" s="19">
        <f>+SUMIFS(Regiones[Contestadas],Regiones[Fecha],Tabla54[[#This Row],[Fecha]],Regiones[Intervalo],Tabla54[[#This Row],[Intervalo]],Regiones[Skill],'BUPA Seguros'!$L$3)</f>
        <v>0</v>
      </c>
      <c r="F1349" s="20">
        <v>0</v>
      </c>
      <c r="G1349" s="19">
        <f>IFERROR(SUMIFS(Regiones[TMO],Regiones[Fecha],Tabla54[[#This Row],[Fecha]],Regiones[Intervalo],Tabla54[[#This Row],[Intervalo]],Regiones[Skill],'BUPA Seguros'!$L$3)/Tabla54[[#This Row],[Atendidas]],0)</f>
        <v>0</v>
      </c>
      <c r="H13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49" s="21">
        <f>IFERROR(Tabla54[[#This Row],[Atendidas]]/Tabla54[[#This Row],[Recibidas]],0)</f>
        <v>0</v>
      </c>
    </row>
    <row r="1350" spans="2:9" x14ac:dyDescent="0.3">
      <c r="B1350" s="27">
        <f t="shared" ref="B1350:B1398" si="62">+B1349+1</f>
        <v>46232</v>
      </c>
      <c r="C1350" s="18">
        <v>0</v>
      </c>
      <c r="D1350" s="19">
        <f>+SUMIFS(Regiones[Ofrecidas],Regiones[Fecha],Tabla54[[#This Row],[Fecha]],Regiones[Intervalo],Tabla54[[#This Row],[Intervalo]],Regiones[Skill],'BUPA Seguros'!$L$3)</f>
        <v>0</v>
      </c>
      <c r="E1350" s="19">
        <f>+SUMIFS(Regiones[Contestadas],Regiones[Fecha],Tabla54[[#This Row],[Fecha]],Regiones[Intervalo],Tabla54[[#This Row],[Intervalo]],Regiones[Skill],'BUPA Seguros'!$L$3)</f>
        <v>0</v>
      </c>
      <c r="F1350" s="20">
        <v>0</v>
      </c>
      <c r="G1350" s="19">
        <f>IFERROR(SUMIFS(Regiones[TMO],Regiones[Fecha],Tabla54[[#This Row],[Fecha]],Regiones[Intervalo],Tabla54[[#This Row],[Intervalo]],Regiones[Skill],'BUPA Seguros'!$L$3)/Tabla54[[#This Row],[Atendidas]],0)</f>
        <v>0</v>
      </c>
      <c r="H13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0" s="21">
        <f>IFERROR(Tabla54[[#This Row],[Atendidas]]/Tabla54[[#This Row],[Recibidas]],0)</f>
        <v>0</v>
      </c>
    </row>
    <row r="1351" spans="2:9" x14ac:dyDescent="0.3">
      <c r="B1351" s="25">
        <f t="shared" ref="B1351:B1414" si="63">+B1350</f>
        <v>46232</v>
      </c>
      <c r="C1351" s="26">
        <v>2.0833333333333332E-2</v>
      </c>
      <c r="D1351" s="19">
        <f>+SUMIFS(Regiones[Ofrecidas],Regiones[Fecha],Tabla54[[#This Row],[Fecha]],Regiones[Intervalo],Tabla54[[#This Row],[Intervalo]],Regiones[Skill],'BUPA Seguros'!$L$3)</f>
        <v>0</v>
      </c>
      <c r="E1351" s="19">
        <f>+SUMIFS(Regiones[Contestadas],Regiones[Fecha],Tabla54[[#This Row],[Fecha]],Regiones[Intervalo],Tabla54[[#This Row],[Intervalo]],Regiones[Skill],'BUPA Seguros'!$L$3)</f>
        <v>0</v>
      </c>
      <c r="F1351" s="20">
        <v>0</v>
      </c>
      <c r="G1351" s="19">
        <f>IFERROR(SUMIFS(Regiones[TMO],Regiones[Fecha],Tabla54[[#This Row],[Fecha]],Regiones[Intervalo],Tabla54[[#This Row],[Intervalo]],Regiones[Skill],'BUPA Seguros'!$L$3)/Tabla54[[#This Row],[Atendidas]],0)</f>
        <v>0</v>
      </c>
      <c r="H13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1" s="21">
        <f>IFERROR(Tabla54[[#This Row],[Atendidas]]/Tabla54[[#This Row],[Recibidas]],0)</f>
        <v>0</v>
      </c>
    </row>
    <row r="1352" spans="2:9" x14ac:dyDescent="0.3">
      <c r="B1352" s="27">
        <f t="shared" si="61"/>
        <v>46232</v>
      </c>
      <c r="C1352" s="18">
        <v>4.1666666666666699E-2</v>
      </c>
      <c r="D1352" s="19">
        <f>+SUMIFS(Regiones[Ofrecidas],Regiones[Fecha],Tabla54[[#This Row],[Fecha]],Regiones[Intervalo],Tabla54[[#This Row],[Intervalo]],Regiones[Skill],'BUPA Seguros'!$L$3)</f>
        <v>0</v>
      </c>
      <c r="E1352" s="19">
        <f>+SUMIFS(Regiones[Contestadas],Regiones[Fecha],Tabla54[[#This Row],[Fecha]],Regiones[Intervalo],Tabla54[[#This Row],[Intervalo]],Regiones[Skill],'BUPA Seguros'!$L$3)</f>
        <v>0</v>
      </c>
      <c r="F1352" s="20">
        <v>0</v>
      </c>
      <c r="G1352" s="19">
        <f>IFERROR(SUMIFS(Regiones[TMO],Regiones[Fecha],Tabla54[[#This Row],[Fecha]],Regiones[Intervalo],Tabla54[[#This Row],[Intervalo]],Regiones[Skill],'BUPA Seguros'!$L$3)/Tabla54[[#This Row],[Atendidas]],0)</f>
        <v>0</v>
      </c>
      <c r="H13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2" s="21">
        <f>IFERROR(Tabla54[[#This Row],[Atendidas]]/Tabla54[[#This Row],[Recibidas]],0)</f>
        <v>0</v>
      </c>
    </row>
    <row r="1353" spans="2:9" x14ac:dyDescent="0.3">
      <c r="B1353" s="25">
        <f t="shared" si="61"/>
        <v>46232</v>
      </c>
      <c r="C1353" s="26">
        <v>6.25E-2</v>
      </c>
      <c r="D1353" s="19">
        <f>+SUMIFS(Regiones[Ofrecidas],Regiones[Fecha],Tabla54[[#This Row],[Fecha]],Regiones[Intervalo],Tabla54[[#This Row],[Intervalo]],Regiones[Skill],'BUPA Seguros'!$L$3)</f>
        <v>0</v>
      </c>
      <c r="E1353" s="19">
        <f>+SUMIFS(Regiones[Contestadas],Regiones[Fecha],Tabla54[[#This Row],[Fecha]],Regiones[Intervalo],Tabla54[[#This Row],[Intervalo]],Regiones[Skill],'BUPA Seguros'!$L$3)</f>
        <v>0</v>
      </c>
      <c r="F1353" s="20">
        <v>0</v>
      </c>
      <c r="G1353" s="19">
        <f>IFERROR(SUMIFS(Regiones[TMO],Regiones[Fecha],Tabla54[[#This Row],[Fecha]],Regiones[Intervalo],Tabla54[[#This Row],[Intervalo]],Regiones[Skill],'BUPA Seguros'!$L$3)/Tabla54[[#This Row],[Atendidas]],0)</f>
        <v>0</v>
      </c>
      <c r="H13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3" s="21">
        <f>IFERROR(Tabla54[[#This Row],[Atendidas]]/Tabla54[[#This Row],[Recibidas]],0)</f>
        <v>0</v>
      </c>
    </row>
    <row r="1354" spans="2:9" x14ac:dyDescent="0.3">
      <c r="B1354" s="27">
        <f t="shared" si="61"/>
        <v>46232</v>
      </c>
      <c r="C1354" s="18">
        <v>8.3333333333333301E-2</v>
      </c>
      <c r="D1354" s="19">
        <f>+SUMIFS(Regiones[Ofrecidas],Regiones[Fecha],Tabla54[[#This Row],[Fecha]],Regiones[Intervalo],Tabla54[[#This Row],[Intervalo]],Regiones[Skill],'BUPA Seguros'!$L$3)</f>
        <v>0</v>
      </c>
      <c r="E1354" s="19">
        <f>+SUMIFS(Regiones[Contestadas],Regiones[Fecha],Tabla54[[#This Row],[Fecha]],Regiones[Intervalo],Tabla54[[#This Row],[Intervalo]],Regiones[Skill],'BUPA Seguros'!$L$3)</f>
        <v>0</v>
      </c>
      <c r="F1354" s="20">
        <v>0</v>
      </c>
      <c r="G1354" s="19">
        <f>IFERROR(SUMIFS(Regiones[TMO],Regiones[Fecha],Tabla54[[#This Row],[Fecha]],Regiones[Intervalo],Tabla54[[#This Row],[Intervalo]],Regiones[Skill],'BUPA Seguros'!$L$3)/Tabla54[[#This Row],[Atendidas]],0)</f>
        <v>0</v>
      </c>
      <c r="H13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4" s="21">
        <f>IFERROR(Tabla54[[#This Row],[Atendidas]]/Tabla54[[#This Row],[Recibidas]],0)</f>
        <v>0</v>
      </c>
    </row>
    <row r="1355" spans="2:9" x14ac:dyDescent="0.3">
      <c r="B1355" s="25">
        <f t="shared" si="61"/>
        <v>46232</v>
      </c>
      <c r="C1355" s="26">
        <v>0.104166666666667</v>
      </c>
      <c r="D1355" s="19">
        <f>+SUMIFS(Regiones[Ofrecidas],Regiones[Fecha],Tabla54[[#This Row],[Fecha]],Regiones[Intervalo],Tabla54[[#This Row],[Intervalo]],Regiones[Skill],'BUPA Seguros'!$L$3)</f>
        <v>0</v>
      </c>
      <c r="E1355" s="19">
        <f>+SUMIFS(Regiones[Contestadas],Regiones[Fecha],Tabla54[[#This Row],[Fecha]],Regiones[Intervalo],Tabla54[[#This Row],[Intervalo]],Regiones[Skill],'BUPA Seguros'!$L$3)</f>
        <v>0</v>
      </c>
      <c r="F1355" s="20">
        <v>0</v>
      </c>
      <c r="G1355" s="19">
        <f>IFERROR(SUMIFS(Regiones[TMO],Regiones[Fecha],Tabla54[[#This Row],[Fecha]],Regiones[Intervalo],Tabla54[[#This Row],[Intervalo]],Regiones[Skill],'BUPA Seguros'!$L$3)/Tabla54[[#This Row],[Atendidas]],0)</f>
        <v>0</v>
      </c>
      <c r="H13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5" s="21">
        <f>IFERROR(Tabla54[[#This Row],[Atendidas]]/Tabla54[[#This Row],[Recibidas]],0)</f>
        <v>0</v>
      </c>
    </row>
    <row r="1356" spans="2:9" x14ac:dyDescent="0.3">
      <c r="B1356" s="27">
        <f t="shared" si="61"/>
        <v>46232</v>
      </c>
      <c r="C1356" s="18">
        <v>0.125</v>
      </c>
      <c r="D1356" s="19">
        <f>+SUMIFS(Regiones[Ofrecidas],Regiones[Fecha],Tabla54[[#This Row],[Fecha]],Regiones[Intervalo],Tabla54[[#This Row],[Intervalo]],Regiones[Skill],'BUPA Seguros'!$L$3)</f>
        <v>0</v>
      </c>
      <c r="E1356" s="19">
        <f>+SUMIFS(Regiones[Contestadas],Regiones[Fecha],Tabla54[[#This Row],[Fecha]],Regiones[Intervalo],Tabla54[[#This Row],[Intervalo]],Regiones[Skill],'BUPA Seguros'!$L$3)</f>
        <v>0</v>
      </c>
      <c r="F1356" s="20">
        <v>0</v>
      </c>
      <c r="G1356" s="19">
        <f>IFERROR(SUMIFS(Regiones[TMO],Regiones[Fecha],Tabla54[[#This Row],[Fecha]],Regiones[Intervalo],Tabla54[[#This Row],[Intervalo]],Regiones[Skill],'BUPA Seguros'!$L$3)/Tabla54[[#This Row],[Atendidas]],0)</f>
        <v>0</v>
      </c>
      <c r="H13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6" s="21">
        <f>IFERROR(Tabla54[[#This Row],[Atendidas]]/Tabla54[[#This Row],[Recibidas]],0)</f>
        <v>0</v>
      </c>
    </row>
    <row r="1357" spans="2:9" x14ac:dyDescent="0.3">
      <c r="B1357" s="25">
        <f t="shared" si="61"/>
        <v>46232</v>
      </c>
      <c r="C1357" s="26">
        <v>0.14583333333333301</v>
      </c>
      <c r="D1357" s="19">
        <f>+SUMIFS(Regiones[Ofrecidas],Regiones[Fecha],Tabla54[[#This Row],[Fecha]],Regiones[Intervalo],Tabla54[[#This Row],[Intervalo]],Regiones[Skill],'BUPA Seguros'!$L$3)</f>
        <v>0</v>
      </c>
      <c r="E1357" s="19">
        <f>+SUMIFS(Regiones[Contestadas],Regiones[Fecha],Tabla54[[#This Row],[Fecha]],Regiones[Intervalo],Tabla54[[#This Row],[Intervalo]],Regiones[Skill],'BUPA Seguros'!$L$3)</f>
        <v>0</v>
      </c>
      <c r="F1357" s="20">
        <v>0</v>
      </c>
      <c r="G1357" s="19">
        <f>IFERROR(SUMIFS(Regiones[TMO],Regiones[Fecha],Tabla54[[#This Row],[Fecha]],Regiones[Intervalo],Tabla54[[#This Row],[Intervalo]],Regiones[Skill],'BUPA Seguros'!$L$3)/Tabla54[[#This Row],[Atendidas]],0)</f>
        <v>0</v>
      </c>
      <c r="H13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7" s="21">
        <f>IFERROR(Tabla54[[#This Row],[Atendidas]]/Tabla54[[#This Row],[Recibidas]],0)</f>
        <v>0</v>
      </c>
    </row>
    <row r="1358" spans="2:9" x14ac:dyDescent="0.3">
      <c r="B1358" s="27">
        <f t="shared" si="61"/>
        <v>46232</v>
      </c>
      <c r="C1358" s="18">
        <v>0.16666666666666699</v>
      </c>
      <c r="D1358" s="19">
        <f>+SUMIFS(Regiones[Ofrecidas],Regiones[Fecha],Tabla54[[#This Row],[Fecha]],Regiones[Intervalo],Tabla54[[#This Row],[Intervalo]],Regiones[Skill],'BUPA Seguros'!$L$3)</f>
        <v>0</v>
      </c>
      <c r="E1358" s="19">
        <f>+SUMIFS(Regiones[Contestadas],Regiones[Fecha],Tabla54[[#This Row],[Fecha]],Regiones[Intervalo],Tabla54[[#This Row],[Intervalo]],Regiones[Skill],'BUPA Seguros'!$L$3)</f>
        <v>0</v>
      </c>
      <c r="F1358" s="20">
        <v>0</v>
      </c>
      <c r="G1358" s="19">
        <f>IFERROR(SUMIFS(Regiones[TMO],Regiones[Fecha],Tabla54[[#This Row],[Fecha]],Regiones[Intervalo],Tabla54[[#This Row],[Intervalo]],Regiones[Skill],'BUPA Seguros'!$L$3)/Tabla54[[#This Row],[Atendidas]],0)</f>
        <v>0</v>
      </c>
      <c r="H13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8" s="21">
        <f>IFERROR(Tabla54[[#This Row],[Atendidas]]/Tabla54[[#This Row],[Recibidas]],0)</f>
        <v>0</v>
      </c>
    </row>
    <row r="1359" spans="2:9" x14ac:dyDescent="0.3">
      <c r="B1359" s="25">
        <f t="shared" si="61"/>
        <v>46232</v>
      </c>
      <c r="C1359" s="26">
        <v>0.1875</v>
      </c>
      <c r="D1359" s="19">
        <f>+SUMIFS(Regiones[Ofrecidas],Regiones[Fecha],Tabla54[[#This Row],[Fecha]],Regiones[Intervalo],Tabla54[[#This Row],[Intervalo]],Regiones[Skill],'BUPA Seguros'!$L$3)</f>
        <v>0</v>
      </c>
      <c r="E1359" s="19">
        <f>+SUMIFS(Regiones[Contestadas],Regiones[Fecha],Tabla54[[#This Row],[Fecha]],Regiones[Intervalo],Tabla54[[#This Row],[Intervalo]],Regiones[Skill],'BUPA Seguros'!$L$3)</f>
        <v>0</v>
      </c>
      <c r="F1359" s="20">
        <v>0</v>
      </c>
      <c r="G1359" s="19">
        <f>IFERROR(SUMIFS(Regiones[TMO],Regiones[Fecha],Tabla54[[#This Row],[Fecha]],Regiones[Intervalo],Tabla54[[#This Row],[Intervalo]],Regiones[Skill],'BUPA Seguros'!$L$3)/Tabla54[[#This Row],[Atendidas]],0)</f>
        <v>0</v>
      </c>
      <c r="H13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59" s="21">
        <f>IFERROR(Tabla54[[#This Row],[Atendidas]]/Tabla54[[#This Row],[Recibidas]],0)</f>
        <v>0</v>
      </c>
    </row>
    <row r="1360" spans="2:9" x14ac:dyDescent="0.3">
      <c r="B1360" s="27">
        <f t="shared" si="61"/>
        <v>46232</v>
      </c>
      <c r="C1360" s="18">
        <v>0.20833333333333301</v>
      </c>
      <c r="D1360" s="19">
        <f>+SUMIFS(Regiones[Ofrecidas],Regiones[Fecha],Tabla54[[#This Row],[Fecha]],Regiones[Intervalo],Tabla54[[#This Row],[Intervalo]],Regiones[Skill],'BUPA Seguros'!$L$3)</f>
        <v>0</v>
      </c>
      <c r="E1360" s="19">
        <f>+SUMIFS(Regiones[Contestadas],Regiones[Fecha],Tabla54[[#This Row],[Fecha]],Regiones[Intervalo],Tabla54[[#This Row],[Intervalo]],Regiones[Skill],'BUPA Seguros'!$L$3)</f>
        <v>0</v>
      </c>
      <c r="F1360" s="20">
        <v>0</v>
      </c>
      <c r="G1360" s="19">
        <f>IFERROR(SUMIFS(Regiones[TMO],Regiones[Fecha],Tabla54[[#This Row],[Fecha]],Regiones[Intervalo],Tabla54[[#This Row],[Intervalo]],Regiones[Skill],'BUPA Seguros'!$L$3)/Tabla54[[#This Row],[Atendidas]],0)</f>
        <v>0</v>
      </c>
      <c r="H13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0" s="21">
        <f>IFERROR(Tabla54[[#This Row],[Atendidas]]/Tabla54[[#This Row],[Recibidas]],0)</f>
        <v>0</v>
      </c>
    </row>
    <row r="1361" spans="2:9" x14ac:dyDescent="0.3">
      <c r="B1361" s="25">
        <f t="shared" si="61"/>
        <v>46232</v>
      </c>
      <c r="C1361" s="26">
        <v>0.22916666666666699</v>
      </c>
      <c r="D1361" s="19">
        <f>+SUMIFS(Regiones[Ofrecidas],Regiones[Fecha],Tabla54[[#This Row],[Fecha]],Regiones[Intervalo],Tabla54[[#This Row],[Intervalo]],Regiones[Skill],'BUPA Seguros'!$L$3)</f>
        <v>0</v>
      </c>
      <c r="E1361" s="19">
        <f>+SUMIFS(Regiones[Contestadas],Regiones[Fecha],Tabla54[[#This Row],[Fecha]],Regiones[Intervalo],Tabla54[[#This Row],[Intervalo]],Regiones[Skill],'BUPA Seguros'!$L$3)</f>
        <v>0</v>
      </c>
      <c r="F1361" s="20">
        <v>0</v>
      </c>
      <c r="G1361" s="19">
        <f>IFERROR(SUMIFS(Regiones[TMO],Regiones[Fecha],Tabla54[[#This Row],[Fecha]],Regiones[Intervalo],Tabla54[[#This Row],[Intervalo]],Regiones[Skill],'BUPA Seguros'!$L$3)/Tabla54[[#This Row],[Atendidas]],0)</f>
        <v>0</v>
      </c>
      <c r="H13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1" s="21">
        <f>IFERROR(Tabla54[[#This Row],[Atendidas]]/Tabla54[[#This Row],[Recibidas]],0)</f>
        <v>0</v>
      </c>
    </row>
    <row r="1362" spans="2:9" x14ac:dyDescent="0.3">
      <c r="B1362" s="27">
        <f t="shared" si="61"/>
        <v>46232</v>
      </c>
      <c r="C1362" s="18">
        <v>0.25</v>
      </c>
      <c r="D1362" s="19">
        <f>+SUMIFS(Regiones[Ofrecidas],Regiones[Fecha],Tabla54[[#This Row],[Fecha]],Regiones[Intervalo],Tabla54[[#This Row],[Intervalo]],Regiones[Skill],'BUPA Seguros'!$L$3)</f>
        <v>0</v>
      </c>
      <c r="E1362" s="19">
        <f>+SUMIFS(Regiones[Contestadas],Regiones[Fecha],Tabla54[[#This Row],[Fecha]],Regiones[Intervalo],Tabla54[[#This Row],[Intervalo]],Regiones[Skill],'BUPA Seguros'!$L$3)</f>
        <v>0</v>
      </c>
      <c r="F1362" s="20">
        <v>0</v>
      </c>
      <c r="G1362" s="19">
        <f>IFERROR(SUMIFS(Regiones[TMO],Regiones[Fecha],Tabla54[[#This Row],[Fecha]],Regiones[Intervalo],Tabla54[[#This Row],[Intervalo]],Regiones[Skill],'BUPA Seguros'!$L$3)/Tabla54[[#This Row],[Atendidas]],0)</f>
        <v>0</v>
      </c>
      <c r="H13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2" s="21">
        <f>IFERROR(Tabla54[[#This Row],[Atendidas]]/Tabla54[[#This Row],[Recibidas]],0)</f>
        <v>0</v>
      </c>
    </row>
    <row r="1363" spans="2:9" x14ac:dyDescent="0.3">
      <c r="B1363" s="25">
        <f t="shared" si="61"/>
        <v>46232</v>
      </c>
      <c r="C1363" s="26">
        <v>0.27083333333333298</v>
      </c>
      <c r="D1363" s="19">
        <f>+SUMIFS(Regiones[Ofrecidas],Regiones[Fecha],Tabla54[[#This Row],[Fecha]],Regiones[Intervalo],Tabla54[[#This Row],[Intervalo]],Regiones[Skill],'BUPA Seguros'!$L$3)</f>
        <v>0</v>
      </c>
      <c r="E1363" s="19">
        <f>+SUMIFS(Regiones[Contestadas],Regiones[Fecha],Tabla54[[#This Row],[Fecha]],Regiones[Intervalo],Tabla54[[#This Row],[Intervalo]],Regiones[Skill],'BUPA Seguros'!$L$3)</f>
        <v>0</v>
      </c>
      <c r="F1363" s="20">
        <v>0</v>
      </c>
      <c r="G1363" s="19">
        <f>IFERROR(SUMIFS(Regiones[TMO],Regiones[Fecha],Tabla54[[#This Row],[Fecha]],Regiones[Intervalo],Tabla54[[#This Row],[Intervalo]],Regiones[Skill],'BUPA Seguros'!$L$3)/Tabla54[[#This Row],[Atendidas]],0)</f>
        <v>0</v>
      </c>
      <c r="H13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3" s="21">
        <f>IFERROR(Tabla54[[#This Row],[Atendidas]]/Tabla54[[#This Row],[Recibidas]],0)</f>
        <v>0</v>
      </c>
    </row>
    <row r="1364" spans="2:9" x14ac:dyDescent="0.3">
      <c r="B1364" s="27">
        <f t="shared" si="61"/>
        <v>46232</v>
      </c>
      <c r="C1364" s="18">
        <v>0.29166666666666702</v>
      </c>
      <c r="D1364" s="19">
        <f>+SUMIFS(Regiones[Ofrecidas],Regiones[Fecha],Tabla54[[#This Row],[Fecha]],Regiones[Intervalo],Tabla54[[#This Row],[Intervalo]],Regiones[Skill],'BUPA Seguros'!$L$3)</f>
        <v>0</v>
      </c>
      <c r="E1364" s="19">
        <f>+SUMIFS(Regiones[Contestadas],Regiones[Fecha],Tabla54[[#This Row],[Fecha]],Regiones[Intervalo],Tabla54[[#This Row],[Intervalo]],Regiones[Skill],'BUPA Seguros'!$L$3)</f>
        <v>0</v>
      </c>
      <c r="F1364" s="20">
        <v>0</v>
      </c>
      <c r="G1364" s="19">
        <f>IFERROR(SUMIFS(Regiones[TMO],Regiones[Fecha],Tabla54[[#This Row],[Fecha]],Regiones[Intervalo],Tabla54[[#This Row],[Intervalo]],Regiones[Skill],'BUPA Seguros'!$L$3)/Tabla54[[#This Row],[Atendidas]],0)</f>
        <v>0</v>
      </c>
      <c r="H13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4" s="21">
        <f>IFERROR(Tabla54[[#This Row],[Atendidas]]/Tabla54[[#This Row],[Recibidas]],0)</f>
        <v>0</v>
      </c>
    </row>
    <row r="1365" spans="2:9" x14ac:dyDescent="0.3">
      <c r="B1365" s="25">
        <f t="shared" si="61"/>
        <v>46232</v>
      </c>
      <c r="C1365" s="26">
        <v>0.3125</v>
      </c>
      <c r="D1365" s="19">
        <f>+SUMIFS(Regiones[Ofrecidas],Regiones[Fecha],Tabla54[[#This Row],[Fecha]],Regiones[Intervalo],Tabla54[[#This Row],[Intervalo]],Regiones[Skill],'BUPA Seguros'!$L$3)</f>
        <v>0</v>
      </c>
      <c r="E1365" s="19">
        <f>+SUMIFS(Regiones[Contestadas],Regiones[Fecha],Tabla54[[#This Row],[Fecha]],Regiones[Intervalo],Tabla54[[#This Row],[Intervalo]],Regiones[Skill],'BUPA Seguros'!$L$3)</f>
        <v>0</v>
      </c>
      <c r="F1365" s="20">
        <v>0</v>
      </c>
      <c r="G1365" s="19">
        <f>IFERROR(SUMIFS(Regiones[TMO],Regiones[Fecha],Tabla54[[#This Row],[Fecha]],Regiones[Intervalo],Tabla54[[#This Row],[Intervalo]],Regiones[Skill],'BUPA Seguros'!$L$3)/Tabla54[[#This Row],[Atendidas]],0)</f>
        <v>0</v>
      </c>
      <c r="H13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5" s="21">
        <f>IFERROR(Tabla54[[#This Row],[Atendidas]]/Tabla54[[#This Row],[Recibidas]],0)</f>
        <v>0</v>
      </c>
    </row>
    <row r="1366" spans="2:9" x14ac:dyDescent="0.3">
      <c r="B1366" s="27">
        <f t="shared" si="61"/>
        <v>46232</v>
      </c>
      <c r="C1366" s="18">
        <v>0.33333333333333298</v>
      </c>
      <c r="D1366" s="19">
        <f>+SUMIFS(Regiones[Ofrecidas],Regiones[Fecha],Tabla54[[#This Row],[Fecha]],Regiones[Intervalo],Tabla54[[#This Row],[Intervalo]],Regiones[Skill],'BUPA Seguros'!$L$3)</f>
        <v>0</v>
      </c>
      <c r="E1366" s="19">
        <f>+SUMIFS(Regiones[Contestadas],Regiones[Fecha],Tabla54[[#This Row],[Fecha]],Regiones[Intervalo],Tabla54[[#This Row],[Intervalo]],Regiones[Skill],'BUPA Seguros'!$L$3)</f>
        <v>0</v>
      </c>
      <c r="F1366" s="20">
        <v>0</v>
      </c>
      <c r="G1366" s="19">
        <f>IFERROR(SUMIFS(Regiones[TMO],Regiones[Fecha],Tabla54[[#This Row],[Fecha]],Regiones[Intervalo],Tabla54[[#This Row],[Intervalo]],Regiones[Skill],'BUPA Seguros'!$L$3)/Tabla54[[#This Row],[Atendidas]],0)</f>
        <v>0</v>
      </c>
      <c r="H13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6" s="21">
        <f>IFERROR(Tabla54[[#This Row],[Atendidas]]/Tabla54[[#This Row],[Recibidas]],0)</f>
        <v>0</v>
      </c>
    </row>
    <row r="1367" spans="2:9" x14ac:dyDescent="0.3">
      <c r="B1367" s="25">
        <f t="shared" si="61"/>
        <v>46232</v>
      </c>
      <c r="C1367" s="26">
        <v>0.35416666666666702</v>
      </c>
      <c r="D1367" s="19">
        <f>+SUMIFS(Regiones[Ofrecidas],Regiones[Fecha],Tabla54[[#This Row],[Fecha]],Regiones[Intervalo],Tabla54[[#This Row],[Intervalo]],Regiones[Skill],'BUPA Seguros'!$L$3)</f>
        <v>0</v>
      </c>
      <c r="E1367" s="19">
        <f>+SUMIFS(Regiones[Contestadas],Regiones[Fecha],Tabla54[[#This Row],[Fecha]],Regiones[Intervalo],Tabla54[[#This Row],[Intervalo]],Regiones[Skill],'BUPA Seguros'!$L$3)</f>
        <v>0</v>
      </c>
      <c r="F1367" s="20">
        <v>0</v>
      </c>
      <c r="G1367" s="19">
        <f>IFERROR(SUMIFS(Regiones[TMO],Regiones[Fecha],Tabla54[[#This Row],[Fecha]],Regiones[Intervalo],Tabla54[[#This Row],[Intervalo]],Regiones[Skill],'BUPA Seguros'!$L$3)/Tabla54[[#This Row],[Atendidas]],0)</f>
        <v>0</v>
      </c>
      <c r="H13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7" s="21">
        <f>IFERROR(Tabla54[[#This Row],[Atendidas]]/Tabla54[[#This Row],[Recibidas]],0)</f>
        <v>0</v>
      </c>
    </row>
    <row r="1368" spans="2:9" x14ac:dyDescent="0.3">
      <c r="B1368" s="27">
        <f t="shared" si="61"/>
        <v>46232</v>
      </c>
      <c r="C1368" s="18">
        <v>0.375</v>
      </c>
      <c r="D1368" s="19">
        <f>+SUMIFS(Regiones[Ofrecidas],Regiones[Fecha],Tabla54[[#This Row],[Fecha]],Regiones[Intervalo],Tabla54[[#This Row],[Intervalo]],Regiones[Skill],'BUPA Seguros'!$L$3)</f>
        <v>0</v>
      </c>
      <c r="E1368" s="19">
        <f>+SUMIFS(Regiones[Contestadas],Regiones[Fecha],Tabla54[[#This Row],[Fecha]],Regiones[Intervalo],Tabla54[[#This Row],[Intervalo]],Regiones[Skill],'BUPA Seguros'!$L$3)</f>
        <v>0</v>
      </c>
      <c r="F1368" s="20">
        <v>29.829437064426759</v>
      </c>
      <c r="G1368" s="19">
        <f>IFERROR(SUMIFS(Regiones[TMO],Regiones[Fecha],Tabla54[[#This Row],[Fecha]],Regiones[Intervalo],Tabla54[[#This Row],[Intervalo]],Regiones[Skill],'BUPA Seguros'!$L$3)/Tabla54[[#This Row],[Atendidas]],0)</f>
        <v>0</v>
      </c>
      <c r="H13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8" s="21">
        <f>IFERROR(Tabla54[[#This Row],[Atendidas]]/Tabla54[[#This Row],[Recibidas]],0)</f>
        <v>0</v>
      </c>
    </row>
    <row r="1369" spans="2:9" x14ac:dyDescent="0.3">
      <c r="B1369" s="25">
        <f t="shared" si="61"/>
        <v>46232</v>
      </c>
      <c r="C1369" s="26">
        <v>0.39583333333333298</v>
      </c>
      <c r="D1369" s="19">
        <f>+SUMIFS(Regiones[Ofrecidas],Regiones[Fecha],Tabla54[[#This Row],[Fecha]],Regiones[Intervalo],Tabla54[[#This Row],[Intervalo]],Regiones[Skill],'BUPA Seguros'!$L$3)</f>
        <v>0</v>
      </c>
      <c r="E1369" s="19">
        <f>+SUMIFS(Regiones[Contestadas],Regiones[Fecha],Tabla54[[#This Row],[Fecha]],Regiones[Intervalo],Tabla54[[#This Row],[Intervalo]],Regiones[Skill],'BUPA Seguros'!$L$3)</f>
        <v>0</v>
      </c>
      <c r="F1369" s="20">
        <v>29.61904851720756</v>
      </c>
      <c r="G1369" s="19">
        <f>IFERROR(SUMIFS(Regiones[TMO],Regiones[Fecha],Tabla54[[#This Row],[Fecha]],Regiones[Intervalo],Tabla54[[#This Row],[Intervalo]],Regiones[Skill],'BUPA Seguros'!$L$3)/Tabla54[[#This Row],[Atendidas]],0)</f>
        <v>0</v>
      </c>
      <c r="H13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69" s="21">
        <f>IFERROR(Tabla54[[#This Row],[Atendidas]]/Tabla54[[#This Row],[Recibidas]],0)</f>
        <v>0</v>
      </c>
    </row>
    <row r="1370" spans="2:9" x14ac:dyDescent="0.3">
      <c r="B1370" s="27">
        <f t="shared" si="61"/>
        <v>46232</v>
      </c>
      <c r="C1370" s="18">
        <v>0.41666666666666702</v>
      </c>
      <c r="D1370" s="19">
        <f>+SUMIFS(Regiones[Ofrecidas],Regiones[Fecha],Tabla54[[#This Row],[Fecha]],Regiones[Intervalo],Tabla54[[#This Row],[Intervalo]],Regiones[Skill],'BUPA Seguros'!$L$3)</f>
        <v>0</v>
      </c>
      <c r="E1370" s="19">
        <f>+SUMIFS(Regiones[Contestadas],Regiones[Fecha],Tabla54[[#This Row],[Fecha]],Regiones[Intervalo],Tabla54[[#This Row],[Intervalo]],Regiones[Skill],'BUPA Seguros'!$L$3)</f>
        <v>0</v>
      </c>
      <c r="F1370" s="20">
        <v>29.792847751866901</v>
      </c>
      <c r="G1370" s="19">
        <f>IFERROR(SUMIFS(Regiones[TMO],Regiones[Fecha],Tabla54[[#This Row],[Fecha]],Regiones[Intervalo],Tabla54[[#This Row],[Intervalo]],Regiones[Skill],'BUPA Seguros'!$L$3)/Tabla54[[#This Row],[Atendidas]],0)</f>
        <v>0</v>
      </c>
      <c r="H13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0" s="21">
        <f>IFERROR(Tabla54[[#This Row],[Atendidas]]/Tabla54[[#This Row],[Recibidas]],0)</f>
        <v>0</v>
      </c>
    </row>
    <row r="1371" spans="2:9" x14ac:dyDescent="0.3">
      <c r="B1371" s="25">
        <f t="shared" si="61"/>
        <v>46232</v>
      </c>
      <c r="C1371" s="26">
        <v>0.4375</v>
      </c>
      <c r="D1371" s="19">
        <f>+SUMIFS(Regiones[Ofrecidas],Regiones[Fecha],Tabla54[[#This Row],[Fecha]],Regiones[Intervalo],Tabla54[[#This Row],[Intervalo]],Regiones[Skill],'BUPA Seguros'!$L$3)</f>
        <v>0</v>
      </c>
      <c r="E1371" s="19">
        <f>+SUMIFS(Regiones[Contestadas],Regiones[Fecha],Tabla54[[#This Row],[Fecha]],Regiones[Intervalo],Tabla54[[#This Row],[Intervalo]],Regiones[Skill],'BUPA Seguros'!$L$3)</f>
        <v>0</v>
      </c>
      <c r="F1371" s="20">
        <v>31.302156894961165</v>
      </c>
      <c r="G1371" s="19">
        <f>IFERROR(SUMIFS(Regiones[TMO],Regiones[Fecha],Tabla54[[#This Row],[Fecha]],Regiones[Intervalo],Tabla54[[#This Row],[Intervalo]],Regiones[Skill],'BUPA Seguros'!$L$3)/Tabla54[[#This Row],[Atendidas]],0)</f>
        <v>0</v>
      </c>
      <c r="H13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1" s="21">
        <f>IFERROR(Tabla54[[#This Row],[Atendidas]]/Tabla54[[#This Row],[Recibidas]],0)</f>
        <v>0</v>
      </c>
    </row>
    <row r="1372" spans="2:9" x14ac:dyDescent="0.3">
      <c r="B1372" s="27">
        <f t="shared" si="61"/>
        <v>46232</v>
      </c>
      <c r="C1372" s="18">
        <v>0.45833333333333298</v>
      </c>
      <c r="D1372" s="19">
        <f>+SUMIFS(Regiones[Ofrecidas],Regiones[Fecha],Tabla54[[#This Row],[Fecha]],Regiones[Intervalo],Tabla54[[#This Row],[Intervalo]],Regiones[Skill],'BUPA Seguros'!$L$3)</f>
        <v>0</v>
      </c>
      <c r="E1372" s="19">
        <f>+SUMIFS(Regiones[Contestadas],Regiones[Fecha],Tabla54[[#This Row],[Fecha]],Regiones[Intervalo],Tabla54[[#This Row],[Intervalo]],Regiones[Skill],'BUPA Seguros'!$L$3)</f>
        <v>0</v>
      </c>
      <c r="F1372" s="20">
        <v>32.015648489878458</v>
      </c>
      <c r="G1372" s="19">
        <f>IFERROR(SUMIFS(Regiones[TMO],Regiones[Fecha],Tabla54[[#This Row],[Fecha]],Regiones[Intervalo],Tabla54[[#This Row],[Intervalo]],Regiones[Skill],'BUPA Seguros'!$L$3)/Tabla54[[#This Row],[Atendidas]],0)</f>
        <v>0</v>
      </c>
      <c r="H13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2" s="21">
        <f>IFERROR(Tabla54[[#This Row],[Atendidas]]/Tabla54[[#This Row],[Recibidas]],0)</f>
        <v>0</v>
      </c>
    </row>
    <row r="1373" spans="2:9" x14ac:dyDescent="0.3">
      <c r="B1373" s="25">
        <f t="shared" si="61"/>
        <v>46232</v>
      </c>
      <c r="C1373" s="26">
        <v>0.47916666666666702</v>
      </c>
      <c r="D1373" s="19">
        <f>+SUMIFS(Regiones[Ofrecidas],Regiones[Fecha],Tabla54[[#This Row],[Fecha]],Regiones[Intervalo],Tabla54[[#This Row],[Intervalo]],Regiones[Skill],'BUPA Seguros'!$L$3)</f>
        <v>0</v>
      </c>
      <c r="E1373" s="19">
        <f>+SUMIFS(Regiones[Contestadas],Regiones[Fecha],Tabla54[[#This Row],[Fecha]],Regiones[Intervalo],Tabla54[[#This Row],[Intervalo]],Regiones[Skill],'BUPA Seguros'!$L$3)</f>
        <v>0</v>
      </c>
      <c r="F1373" s="20">
        <v>32.601077490836239</v>
      </c>
      <c r="G1373" s="19">
        <f>IFERROR(SUMIFS(Regiones[TMO],Regiones[Fecha],Tabla54[[#This Row],[Fecha]],Regiones[Intervalo],Tabla54[[#This Row],[Intervalo]],Regiones[Skill],'BUPA Seguros'!$L$3)/Tabla54[[#This Row],[Atendidas]],0)</f>
        <v>0</v>
      </c>
      <c r="H13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3" s="21">
        <f>IFERROR(Tabla54[[#This Row],[Atendidas]]/Tabla54[[#This Row],[Recibidas]],0)</f>
        <v>0</v>
      </c>
    </row>
    <row r="1374" spans="2:9" x14ac:dyDescent="0.3">
      <c r="B1374" s="27">
        <f t="shared" si="61"/>
        <v>46232</v>
      </c>
      <c r="C1374" s="18">
        <v>0.5</v>
      </c>
      <c r="D1374" s="19">
        <f>+SUMIFS(Regiones[Ofrecidas],Regiones[Fecha],Tabla54[[#This Row],[Fecha]],Regiones[Intervalo],Tabla54[[#This Row],[Intervalo]],Regiones[Skill],'BUPA Seguros'!$L$3)</f>
        <v>0</v>
      </c>
      <c r="E1374" s="19">
        <f>+SUMIFS(Regiones[Contestadas],Regiones[Fecha],Tabla54[[#This Row],[Fecha]],Regiones[Intervalo],Tabla54[[#This Row],[Intervalo]],Regiones[Skill],'BUPA Seguros'!$L$3)</f>
        <v>0</v>
      </c>
      <c r="F1374" s="20">
        <v>31.857094802119068</v>
      </c>
      <c r="G1374" s="19">
        <f>IFERROR(SUMIFS(Regiones[TMO],Regiones[Fecha],Tabla54[[#This Row],[Fecha]],Regiones[Intervalo],Tabla54[[#This Row],[Intervalo]],Regiones[Skill],'BUPA Seguros'!$L$3)/Tabla54[[#This Row],[Atendidas]],0)</f>
        <v>0</v>
      </c>
      <c r="H13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4" s="21">
        <f>IFERROR(Tabla54[[#This Row],[Atendidas]]/Tabla54[[#This Row],[Recibidas]],0)</f>
        <v>0</v>
      </c>
    </row>
    <row r="1375" spans="2:9" x14ac:dyDescent="0.3">
      <c r="B1375" s="25">
        <f t="shared" si="61"/>
        <v>46232</v>
      </c>
      <c r="C1375" s="26">
        <v>0.52083333333333304</v>
      </c>
      <c r="D1375" s="19">
        <f>+SUMIFS(Regiones[Ofrecidas],Regiones[Fecha],Tabla54[[#This Row],[Fecha]],Regiones[Intervalo],Tabla54[[#This Row],[Intervalo]],Regiones[Skill],'BUPA Seguros'!$L$3)</f>
        <v>0</v>
      </c>
      <c r="E1375" s="19">
        <f>+SUMIFS(Regiones[Contestadas],Regiones[Fecha],Tabla54[[#This Row],[Fecha]],Regiones[Intervalo],Tabla54[[#This Row],[Intervalo]],Regiones[Skill],'BUPA Seguros'!$L$3)</f>
        <v>0</v>
      </c>
      <c r="F1375" s="20">
        <v>30.649647487643652</v>
      </c>
      <c r="G1375" s="19">
        <f>IFERROR(SUMIFS(Regiones[TMO],Regiones[Fecha],Tabla54[[#This Row],[Fecha]],Regiones[Intervalo],Tabla54[[#This Row],[Intervalo]],Regiones[Skill],'BUPA Seguros'!$L$3)/Tabla54[[#This Row],[Atendidas]],0)</f>
        <v>0</v>
      </c>
      <c r="H13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5" s="21">
        <f>IFERROR(Tabla54[[#This Row],[Atendidas]]/Tabla54[[#This Row],[Recibidas]],0)</f>
        <v>0</v>
      </c>
    </row>
    <row r="1376" spans="2:9" x14ac:dyDescent="0.3">
      <c r="B1376" s="27">
        <f t="shared" si="61"/>
        <v>46232</v>
      </c>
      <c r="C1376" s="18">
        <v>0.54166666666666696</v>
      </c>
      <c r="D1376" s="19">
        <f>+SUMIFS(Regiones[Ofrecidas],Regiones[Fecha],Tabla54[[#This Row],[Fecha]],Regiones[Intervalo],Tabla54[[#This Row],[Intervalo]],Regiones[Skill],'BUPA Seguros'!$L$3)</f>
        <v>0</v>
      </c>
      <c r="E1376" s="19">
        <f>+SUMIFS(Regiones[Contestadas],Regiones[Fecha],Tabla54[[#This Row],[Fecha]],Regiones[Intervalo],Tabla54[[#This Row],[Intervalo]],Regiones[Skill],'BUPA Seguros'!$L$3)</f>
        <v>0</v>
      </c>
      <c r="F1376" s="20">
        <v>28.795788984610681</v>
      </c>
      <c r="G1376" s="19">
        <f>IFERROR(SUMIFS(Regiones[TMO],Regiones[Fecha],Tabla54[[#This Row],[Fecha]],Regiones[Intervalo],Tabla54[[#This Row],[Intervalo]],Regiones[Skill],'BUPA Seguros'!$L$3)/Tabla54[[#This Row],[Atendidas]],0)</f>
        <v>0</v>
      </c>
      <c r="H13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6" s="21">
        <f>IFERROR(Tabla54[[#This Row],[Atendidas]]/Tabla54[[#This Row],[Recibidas]],0)</f>
        <v>0</v>
      </c>
    </row>
    <row r="1377" spans="2:9" x14ac:dyDescent="0.3">
      <c r="B1377" s="25">
        <f t="shared" si="61"/>
        <v>46232</v>
      </c>
      <c r="C1377" s="26">
        <v>0.5625</v>
      </c>
      <c r="D1377" s="19">
        <f>+SUMIFS(Regiones[Ofrecidas],Regiones[Fecha],Tabla54[[#This Row],[Fecha]],Regiones[Intervalo],Tabla54[[#This Row],[Intervalo]],Regiones[Skill],'BUPA Seguros'!$L$3)</f>
        <v>0</v>
      </c>
      <c r="E1377" s="19">
        <f>+SUMIFS(Regiones[Contestadas],Regiones[Fecha],Tabla54[[#This Row],[Fecha]],Regiones[Intervalo],Tabla54[[#This Row],[Intervalo]],Regiones[Skill],'BUPA Seguros'!$L$3)</f>
        <v>0</v>
      </c>
      <c r="F1377" s="20">
        <v>27.429787982375863</v>
      </c>
      <c r="G1377" s="19">
        <f>IFERROR(SUMIFS(Regiones[TMO],Regiones[Fecha],Tabla54[[#This Row],[Fecha]],Regiones[Intervalo],Tabla54[[#This Row],[Intervalo]],Regiones[Skill],'BUPA Seguros'!$L$3)/Tabla54[[#This Row],[Atendidas]],0)</f>
        <v>0</v>
      </c>
      <c r="H13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7" s="21">
        <f>IFERROR(Tabla54[[#This Row],[Atendidas]]/Tabla54[[#This Row],[Recibidas]],0)</f>
        <v>0</v>
      </c>
    </row>
    <row r="1378" spans="2:9" x14ac:dyDescent="0.3">
      <c r="B1378" s="27">
        <f t="shared" si="61"/>
        <v>46232</v>
      </c>
      <c r="C1378" s="18">
        <v>0.58333333333333304</v>
      </c>
      <c r="D1378" s="19">
        <f>+SUMIFS(Regiones[Ofrecidas],Regiones[Fecha],Tabla54[[#This Row],[Fecha]],Regiones[Intervalo],Tabla54[[#This Row],[Intervalo]],Regiones[Skill],'BUPA Seguros'!$L$3)</f>
        <v>0</v>
      </c>
      <c r="E1378" s="19">
        <f>+SUMIFS(Regiones[Contestadas],Regiones[Fecha],Tabla54[[#This Row],[Fecha]],Regiones[Intervalo],Tabla54[[#This Row],[Intervalo]],Regiones[Skill],'BUPA Seguros'!$L$3)</f>
        <v>0</v>
      </c>
      <c r="F1378" s="20">
        <v>26.22234066790045</v>
      </c>
      <c r="G1378" s="19">
        <f>IFERROR(SUMIFS(Regiones[TMO],Regiones[Fecha],Tabla54[[#This Row],[Fecha]],Regiones[Intervalo],Tabla54[[#This Row],[Intervalo]],Regiones[Skill],'BUPA Seguros'!$L$3)/Tabla54[[#This Row],[Atendidas]],0)</f>
        <v>0</v>
      </c>
      <c r="H13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8" s="21">
        <f>IFERROR(Tabla54[[#This Row],[Atendidas]]/Tabla54[[#This Row],[Recibidas]],0)</f>
        <v>0</v>
      </c>
    </row>
    <row r="1379" spans="2:9" x14ac:dyDescent="0.3">
      <c r="B1379" s="25">
        <f t="shared" si="61"/>
        <v>46232</v>
      </c>
      <c r="C1379" s="26">
        <v>0.60416666666666696</v>
      </c>
      <c r="D1379" s="19">
        <f>+SUMIFS(Regiones[Ofrecidas],Regiones[Fecha],Tabla54[[#This Row],[Fecha]],Regiones[Intervalo],Tabla54[[#This Row],[Intervalo]],Regiones[Skill],'BUPA Seguros'!$L$3)</f>
        <v>0</v>
      </c>
      <c r="E1379" s="19">
        <f>+SUMIFS(Regiones[Contestadas],Regiones[Fecha],Tabla54[[#This Row],[Fecha]],Regiones[Intervalo],Tabla54[[#This Row],[Intervalo]],Regiones[Skill],'BUPA Seguros'!$L$3)</f>
        <v>0</v>
      </c>
      <c r="F1379" s="20">
        <v>25.478357979183272</v>
      </c>
      <c r="G1379" s="19">
        <f>IFERROR(SUMIFS(Regiones[TMO],Regiones[Fecha],Tabla54[[#This Row],[Fecha]],Regiones[Intervalo],Tabla54[[#This Row],[Intervalo]],Regiones[Skill],'BUPA Seguros'!$L$3)/Tabla54[[#This Row],[Atendidas]],0)</f>
        <v>0</v>
      </c>
      <c r="H13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79" s="21">
        <f>IFERROR(Tabla54[[#This Row],[Atendidas]]/Tabla54[[#This Row],[Recibidas]],0)</f>
        <v>0</v>
      </c>
    </row>
    <row r="1380" spans="2:9" x14ac:dyDescent="0.3">
      <c r="B1380" s="27">
        <f t="shared" si="61"/>
        <v>46232</v>
      </c>
      <c r="C1380" s="18">
        <v>0.625</v>
      </c>
      <c r="D1380" s="19">
        <f>+SUMIFS(Regiones[Ofrecidas],Regiones[Fecha],Tabla54[[#This Row],[Fecha]],Regiones[Intervalo],Tabla54[[#This Row],[Intervalo]],Regiones[Skill],'BUPA Seguros'!$L$3)</f>
        <v>0</v>
      </c>
      <c r="E1380" s="19">
        <f>+SUMIFS(Regiones[Contestadas],Regiones[Fecha],Tabla54[[#This Row],[Fecha]],Regiones[Intervalo],Tabla54[[#This Row],[Intervalo]],Regiones[Skill],'BUPA Seguros'!$L$3)</f>
        <v>0</v>
      </c>
      <c r="F1380" s="20">
        <v>24.600214477746608</v>
      </c>
      <c r="G1380" s="19">
        <f>IFERROR(SUMIFS(Regiones[TMO],Regiones[Fecha],Tabla54[[#This Row],[Fecha]],Regiones[Intervalo],Tabla54[[#This Row],[Intervalo]],Regiones[Skill],'BUPA Seguros'!$L$3)/Tabla54[[#This Row],[Atendidas]],0)</f>
        <v>0</v>
      </c>
      <c r="H13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0" s="21">
        <f>IFERROR(Tabla54[[#This Row],[Atendidas]]/Tabla54[[#This Row],[Recibidas]],0)</f>
        <v>0</v>
      </c>
    </row>
    <row r="1381" spans="2:9" x14ac:dyDescent="0.3">
      <c r="B1381" s="25">
        <f t="shared" si="61"/>
        <v>46232</v>
      </c>
      <c r="C1381" s="26">
        <v>0.64583333333333304</v>
      </c>
      <c r="D1381" s="19">
        <f>+SUMIFS(Regiones[Ofrecidas],Regiones[Fecha],Tabla54[[#This Row],[Fecha]],Regiones[Intervalo],Tabla54[[#This Row],[Intervalo]],Regiones[Skill],'BUPA Seguros'!$L$3)</f>
        <v>0</v>
      </c>
      <c r="E1381" s="19">
        <f>+SUMIFS(Regiones[Contestadas],Regiones[Fecha],Tabla54[[#This Row],[Fecha]],Regiones[Intervalo],Tabla54[[#This Row],[Intervalo]],Regiones[Skill],'BUPA Seguros'!$L$3)</f>
        <v>0</v>
      </c>
      <c r="F1381" s="20">
        <v>23.648892351190216</v>
      </c>
      <c r="G1381" s="19">
        <f>IFERROR(SUMIFS(Regiones[TMO],Regiones[Fecha],Tabla54[[#This Row],[Fecha]],Regiones[Intervalo],Tabla54[[#This Row],[Intervalo]],Regiones[Skill],'BUPA Seguros'!$L$3)/Tabla54[[#This Row],[Atendidas]],0)</f>
        <v>0</v>
      </c>
      <c r="H13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1" s="21">
        <f>IFERROR(Tabla54[[#This Row],[Atendidas]]/Tabla54[[#This Row],[Recibidas]],0)</f>
        <v>0</v>
      </c>
    </row>
    <row r="1382" spans="2:9" x14ac:dyDescent="0.3">
      <c r="B1382" s="27">
        <f t="shared" si="61"/>
        <v>46232</v>
      </c>
      <c r="C1382" s="18">
        <v>0.66666666666666696</v>
      </c>
      <c r="D1382" s="19">
        <f>+SUMIFS(Regiones[Ofrecidas],Regiones[Fecha],Tabla54[[#This Row],[Fecha]],Regiones[Intervalo],Tabla54[[#This Row],[Intervalo]],Regiones[Skill],'BUPA Seguros'!$L$3)</f>
        <v>0</v>
      </c>
      <c r="E1382" s="19">
        <f>+SUMIFS(Regiones[Contestadas],Regiones[Fecha],Tabla54[[#This Row],[Fecha]],Regiones[Intervalo],Tabla54[[#This Row],[Intervalo]],Regiones[Skill],'BUPA Seguros'!$L$3)</f>
        <v>0</v>
      </c>
      <c r="F1382" s="20">
        <v>22.386561067875011</v>
      </c>
      <c r="G1382" s="19">
        <f>IFERROR(SUMIFS(Regiones[TMO],Regiones[Fecha],Tabla54[[#This Row],[Fecha]],Regiones[Intervalo],Tabla54[[#This Row],[Intervalo]],Regiones[Skill],'BUPA Seguros'!$L$3)/Tabla54[[#This Row],[Atendidas]],0)</f>
        <v>0</v>
      </c>
      <c r="H13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2" s="21">
        <f>IFERROR(Tabla54[[#This Row],[Atendidas]]/Tabla54[[#This Row],[Recibidas]],0)</f>
        <v>0</v>
      </c>
    </row>
    <row r="1383" spans="2:9" x14ac:dyDescent="0.3">
      <c r="B1383" s="25">
        <f t="shared" si="61"/>
        <v>46232</v>
      </c>
      <c r="C1383" s="26">
        <v>0.6875</v>
      </c>
      <c r="D1383" s="19">
        <f>+SUMIFS(Regiones[Ofrecidas],Regiones[Fecha],Tabla54[[#This Row],[Fecha]],Regiones[Intervalo],Tabla54[[#This Row],[Intervalo]],Regiones[Skill],'BUPA Seguros'!$L$3)</f>
        <v>0</v>
      </c>
      <c r="E1383" s="19">
        <f>+SUMIFS(Regiones[Contestadas],Regiones[Fecha],Tabla54[[#This Row],[Fecha]],Regiones[Intervalo],Tabla54[[#This Row],[Intervalo]],Regiones[Skill],'BUPA Seguros'!$L$3)</f>
        <v>0</v>
      </c>
      <c r="F1383" s="20">
        <v>21.386453191238811</v>
      </c>
      <c r="G1383" s="19">
        <f>IFERROR(SUMIFS(Regiones[TMO],Regiones[Fecha],Tabla54[[#This Row],[Fecha]],Regiones[Intervalo],Tabla54[[#This Row],[Intervalo]],Regiones[Skill],'BUPA Seguros'!$L$3)/Tabla54[[#This Row],[Atendidas]],0)</f>
        <v>0</v>
      </c>
      <c r="H13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3" s="21">
        <f>IFERROR(Tabla54[[#This Row],[Atendidas]]/Tabla54[[#This Row],[Recibidas]],0)</f>
        <v>0</v>
      </c>
    </row>
    <row r="1384" spans="2:9" x14ac:dyDescent="0.3">
      <c r="B1384" s="27">
        <f t="shared" si="61"/>
        <v>46232</v>
      </c>
      <c r="C1384" s="18">
        <v>0.70833333333333304</v>
      </c>
      <c r="D1384" s="19">
        <f>+SUMIFS(Regiones[Ofrecidas],Regiones[Fecha],Tabla54[[#This Row],[Fecha]],Regiones[Intervalo],Tabla54[[#This Row],[Intervalo]],Regiones[Skill],'BUPA Seguros'!$L$3)</f>
        <v>0</v>
      </c>
      <c r="E1384" s="19">
        <f>+SUMIFS(Regiones[Contestadas],Regiones[Fecha],Tabla54[[#This Row],[Fecha]],Regiones[Intervalo],Tabla54[[#This Row],[Intervalo]],Regiones[Skill],'BUPA Seguros'!$L$3)</f>
        <v>0</v>
      </c>
      <c r="F1384" s="20">
        <v>20.050943282803882</v>
      </c>
      <c r="G1384" s="19">
        <f>IFERROR(SUMIFS(Regiones[TMO],Regiones[Fecha],Tabla54[[#This Row],[Fecha]],Regiones[Intervalo],Tabla54[[#This Row],[Intervalo]],Regiones[Skill],'BUPA Seguros'!$L$3)/Tabla54[[#This Row],[Atendidas]],0)</f>
        <v>0</v>
      </c>
      <c r="H13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4" s="21">
        <f>IFERROR(Tabla54[[#This Row],[Atendidas]]/Tabla54[[#This Row],[Recibidas]],0)</f>
        <v>0</v>
      </c>
    </row>
    <row r="1385" spans="2:9" x14ac:dyDescent="0.3">
      <c r="B1385" s="25">
        <f t="shared" si="61"/>
        <v>46232</v>
      </c>
      <c r="C1385" s="26">
        <v>0.72916666666666696</v>
      </c>
      <c r="D1385" s="19">
        <f>+SUMIFS(Regiones[Ofrecidas],Regiones[Fecha],Tabla54[[#This Row],[Fecha]],Regiones[Intervalo],Tabla54[[#This Row],[Intervalo]],Regiones[Skill],'BUPA Seguros'!$L$3)</f>
        <v>0</v>
      </c>
      <c r="E1385" s="19">
        <f>+SUMIFS(Regiones[Contestadas],Regiones[Fecha],Tabla54[[#This Row],[Fecha]],Regiones[Intervalo],Tabla54[[#This Row],[Intervalo]],Regiones[Skill],'BUPA Seguros'!$L$3)</f>
        <v>0</v>
      </c>
      <c r="F1385" s="20">
        <v>20.005206642104056</v>
      </c>
      <c r="G1385" s="19">
        <f>IFERROR(SUMIFS(Regiones[TMO],Regiones[Fecha],Tabla54[[#This Row],[Fecha]],Regiones[Intervalo],Tabla54[[#This Row],[Intervalo]],Regiones[Skill],'BUPA Seguros'!$L$3)/Tabla54[[#This Row],[Atendidas]],0)</f>
        <v>0</v>
      </c>
      <c r="H13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5" s="21">
        <f>IFERROR(Tabla54[[#This Row],[Atendidas]]/Tabla54[[#This Row],[Recibidas]],0)</f>
        <v>0</v>
      </c>
    </row>
    <row r="1386" spans="2:9" x14ac:dyDescent="0.3">
      <c r="B1386" s="27">
        <f t="shared" si="61"/>
        <v>46232</v>
      </c>
      <c r="C1386" s="18">
        <v>0.75</v>
      </c>
      <c r="D1386" s="19">
        <f>+SUMIFS(Regiones[Ofrecidas],Regiones[Fecha],Tabla54[[#This Row],[Fecha]],Regiones[Intervalo],Tabla54[[#This Row],[Intervalo]],Regiones[Skill],'BUPA Seguros'!$L$3)</f>
        <v>0</v>
      </c>
      <c r="E1386" s="19">
        <f>+SUMIFS(Regiones[Contestadas],Regiones[Fecha],Tabla54[[#This Row],[Fecha]],Regiones[Intervalo],Tabla54[[#This Row],[Intervalo]],Regiones[Skill],'BUPA Seguros'!$L$3)</f>
        <v>0</v>
      </c>
      <c r="F1386" s="20">
        <v>0</v>
      </c>
      <c r="G1386" s="19">
        <f>IFERROR(SUMIFS(Regiones[TMO],Regiones[Fecha],Tabla54[[#This Row],[Fecha]],Regiones[Intervalo],Tabla54[[#This Row],[Intervalo]],Regiones[Skill],'BUPA Seguros'!$L$3)/Tabla54[[#This Row],[Atendidas]],0)</f>
        <v>0</v>
      </c>
      <c r="H13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6" s="21">
        <f>IFERROR(Tabla54[[#This Row],[Atendidas]]/Tabla54[[#This Row],[Recibidas]],0)</f>
        <v>0</v>
      </c>
    </row>
    <row r="1387" spans="2:9" x14ac:dyDescent="0.3">
      <c r="B1387" s="25">
        <f t="shared" si="61"/>
        <v>46232</v>
      </c>
      <c r="C1387" s="26">
        <v>0.77083333333333304</v>
      </c>
      <c r="D1387" s="19">
        <f>+SUMIFS(Regiones[Ofrecidas],Regiones[Fecha],Tabla54[[#This Row],[Fecha]],Regiones[Intervalo],Tabla54[[#This Row],[Intervalo]],Regiones[Skill],'BUPA Seguros'!$L$3)</f>
        <v>0</v>
      </c>
      <c r="E1387" s="19">
        <f>+SUMIFS(Regiones[Contestadas],Regiones[Fecha],Tabla54[[#This Row],[Fecha]],Regiones[Intervalo],Tabla54[[#This Row],[Intervalo]],Regiones[Skill],'BUPA Seguros'!$L$3)</f>
        <v>0</v>
      </c>
      <c r="F1387" s="20">
        <v>0</v>
      </c>
      <c r="G1387" s="19">
        <f>IFERROR(SUMIFS(Regiones[TMO],Regiones[Fecha],Tabla54[[#This Row],[Fecha]],Regiones[Intervalo],Tabla54[[#This Row],[Intervalo]],Regiones[Skill],'BUPA Seguros'!$L$3)/Tabla54[[#This Row],[Atendidas]],0)</f>
        <v>0</v>
      </c>
      <c r="H13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7" s="21">
        <f>IFERROR(Tabla54[[#This Row],[Atendidas]]/Tabla54[[#This Row],[Recibidas]],0)</f>
        <v>0</v>
      </c>
    </row>
    <row r="1388" spans="2:9" x14ac:dyDescent="0.3">
      <c r="B1388" s="27">
        <f t="shared" si="61"/>
        <v>46232</v>
      </c>
      <c r="C1388" s="18">
        <v>0.79166666666666696</v>
      </c>
      <c r="D1388" s="19">
        <f>+SUMIFS(Regiones[Ofrecidas],Regiones[Fecha],Tabla54[[#This Row],[Fecha]],Regiones[Intervalo],Tabla54[[#This Row],[Intervalo]],Regiones[Skill],'BUPA Seguros'!$L$3)</f>
        <v>0</v>
      </c>
      <c r="E1388" s="19">
        <f>+SUMIFS(Regiones[Contestadas],Regiones[Fecha],Tabla54[[#This Row],[Fecha]],Regiones[Intervalo],Tabla54[[#This Row],[Intervalo]],Regiones[Skill],'BUPA Seguros'!$L$3)</f>
        <v>0</v>
      </c>
      <c r="F1388" s="20">
        <v>0</v>
      </c>
      <c r="G1388" s="19">
        <f>IFERROR(SUMIFS(Regiones[TMO],Regiones[Fecha],Tabla54[[#This Row],[Fecha]],Regiones[Intervalo],Tabla54[[#This Row],[Intervalo]],Regiones[Skill],'BUPA Seguros'!$L$3)/Tabla54[[#This Row],[Atendidas]],0)</f>
        <v>0</v>
      </c>
      <c r="H13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8" s="21">
        <f>IFERROR(Tabla54[[#This Row],[Atendidas]]/Tabla54[[#This Row],[Recibidas]],0)</f>
        <v>0</v>
      </c>
    </row>
    <row r="1389" spans="2:9" x14ac:dyDescent="0.3">
      <c r="B1389" s="25">
        <f t="shared" si="61"/>
        <v>46232</v>
      </c>
      <c r="C1389" s="26">
        <v>0.8125</v>
      </c>
      <c r="D1389" s="19">
        <f>+SUMIFS(Regiones[Ofrecidas],Regiones[Fecha],Tabla54[[#This Row],[Fecha]],Regiones[Intervalo],Tabla54[[#This Row],[Intervalo]],Regiones[Skill],'BUPA Seguros'!$L$3)</f>
        <v>0</v>
      </c>
      <c r="E1389" s="19">
        <f>+SUMIFS(Regiones[Contestadas],Regiones[Fecha],Tabla54[[#This Row],[Fecha]],Regiones[Intervalo],Tabla54[[#This Row],[Intervalo]],Regiones[Skill],'BUPA Seguros'!$L$3)</f>
        <v>0</v>
      </c>
      <c r="F1389" s="20">
        <v>0</v>
      </c>
      <c r="G1389" s="19">
        <f>IFERROR(SUMIFS(Regiones[TMO],Regiones[Fecha],Tabla54[[#This Row],[Fecha]],Regiones[Intervalo],Tabla54[[#This Row],[Intervalo]],Regiones[Skill],'BUPA Seguros'!$L$3)/Tabla54[[#This Row],[Atendidas]],0)</f>
        <v>0</v>
      </c>
      <c r="H13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89" s="21">
        <f>IFERROR(Tabla54[[#This Row],[Atendidas]]/Tabla54[[#This Row],[Recibidas]],0)</f>
        <v>0</v>
      </c>
    </row>
    <row r="1390" spans="2:9" x14ac:dyDescent="0.3">
      <c r="B1390" s="27">
        <f t="shared" si="61"/>
        <v>46232</v>
      </c>
      <c r="C1390" s="18">
        <v>0.83333333333333304</v>
      </c>
      <c r="D1390" s="19">
        <f>+SUMIFS(Regiones[Ofrecidas],Regiones[Fecha],Tabla54[[#This Row],[Fecha]],Regiones[Intervalo],Tabla54[[#This Row],[Intervalo]],Regiones[Skill],'BUPA Seguros'!$L$3)</f>
        <v>0</v>
      </c>
      <c r="E1390" s="19">
        <f>+SUMIFS(Regiones[Contestadas],Regiones[Fecha],Tabla54[[#This Row],[Fecha]],Regiones[Intervalo],Tabla54[[#This Row],[Intervalo]],Regiones[Skill],'BUPA Seguros'!$L$3)</f>
        <v>0</v>
      </c>
      <c r="F1390" s="20">
        <v>0</v>
      </c>
      <c r="G1390" s="19">
        <f>IFERROR(SUMIFS(Regiones[TMO],Regiones[Fecha],Tabla54[[#This Row],[Fecha]],Regiones[Intervalo],Tabla54[[#This Row],[Intervalo]],Regiones[Skill],'BUPA Seguros'!$L$3)/Tabla54[[#This Row],[Atendidas]],0)</f>
        <v>0</v>
      </c>
      <c r="H13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0" s="21">
        <f>IFERROR(Tabla54[[#This Row],[Atendidas]]/Tabla54[[#This Row],[Recibidas]],0)</f>
        <v>0</v>
      </c>
    </row>
    <row r="1391" spans="2:9" x14ac:dyDescent="0.3">
      <c r="B1391" s="25">
        <f t="shared" si="61"/>
        <v>46232</v>
      </c>
      <c r="C1391" s="26">
        <v>0.85416666666666696</v>
      </c>
      <c r="D1391" s="19">
        <f>+SUMIFS(Regiones[Ofrecidas],Regiones[Fecha],Tabla54[[#This Row],[Fecha]],Regiones[Intervalo],Tabla54[[#This Row],[Intervalo]],Regiones[Skill],'BUPA Seguros'!$L$3)</f>
        <v>0</v>
      </c>
      <c r="E1391" s="19">
        <f>+SUMIFS(Regiones[Contestadas],Regiones[Fecha],Tabla54[[#This Row],[Fecha]],Regiones[Intervalo],Tabla54[[#This Row],[Intervalo]],Regiones[Skill],'BUPA Seguros'!$L$3)</f>
        <v>0</v>
      </c>
      <c r="F1391" s="20">
        <v>0</v>
      </c>
      <c r="G1391" s="19">
        <f>IFERROR(SUMIFS(Regiones[TMO],Regiones[Fecha],Tabla54[[#This Row],[Fecha]],Regiones[Intervalo],Tabla54[[#This Row],[Intervalo]],Regiones[Skill],'BUPA Seguros'!$L$3)/Tabla54[[#This Row],[Atendidas]],0)</f>
        <v>0</v>
      </c>
      <c r="H13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1" s="21">
        <f>IFERROR(Tabla54[[#This Row],[Atendidas]]/Tabla54[[#This Row],[Recibidas]],0)</f>
        <v>0</v>
      </c>
    </row>
    <row r="1392" spans="2:9" x14ac:dyDescent="0.3">
      <c r="B1392" s="27">
        <f t="shared" si="61"/>
        <v>46232</v>
      </c>
      <c r="C1392" s="18">
        <v>0.875</v>
      </c>
      <c r="D1392" s="19">
        <f>+SUMIFS(Regiones[Ofrecidas],Regiones[Fecha],Tabla54[[#This Row],[Fecha]],Regiones[Intervalo],Tabla54[[#This Row],[Intervalo]],Regiones[Skill],'BUPA Seguros'!$L$3)</f>
        <v>0</v>
      </c>
      <c r="E1392" s="19">
        <f>+SUMIFS(Regiones[Contestadas],Regiones[Fecha],Tabla54[[#This Row],[Fecha]],Regiones[Intervalo],Tabla54[[#This Row],[Intervalo]],Regiones[Skill],'BUPA Seguros'!$L$3)</f>
        <v>0</v>
      </c>
      <c r="F1392" s="20">
        <v>0</v>
      </c>
      <c r="G1392" s="19">
        <f>IFERROR(SUMIFS(Regiones[TMO],Regiones[Fecha],Tabla54[[#This Row],[Fecha]],Regiones[Intervalo],Tabla54[[#This Row],[Intervalo]],Regiones[Skill],'BUPA Seguros'!$L$3)/Tabla54[[#This Row],[Atendidas]],0)</f>
        <v>0</v>
      </c>
      <c r="H13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2" s="21">
        <f>IFERROR(Tabla54[[#This Row],[Atendidas]]/Tabla54[[#This Row],[Recibidas]],0)</f>
        <v>0</v>
      </c>
    </row>
    <row r="1393" spans="2:9" x14ac:dyDescent="0.3">
      <c r="B1393" s="25">
        <f t="shared" si="61"/>
        <v>46232</v>
      </c>
      <c r="C1393" s="26">
        <v>0.89583333333333304</v>
      </c>
      <c r="D1393" s="19">
        <f>+SUMIFS(Regiones[Ofrecidas],Regiones[Fecha],Tabla54[[#This Row],[Fecha]],Regiones[Intervalo],Tabla54[[#This Row],[Intervalo]],Regiones[Skill],'BUPA Seguros'!$L$3)</f>
        <v>0</v>
      </c>
      <c r="E1393" s="19">
        <f>+SUMIFS(Regiones[Contestadas],Regiones[Fecha],Tabla54[[#This Row],[Fecha]],Regiones[Intervalo],Tabla54[[#This Row],[Intervalo]],Regiones[Skill],'BUPA Seguros'!$L$3)</f>
        <v>0</v>
      </c>
      <c r="F1393" s="20">
        <v>0</v>
      </c>
      <c r="G1393" s="19">
        <f>IFERROR(SUMIFS(Regiones[TMO],Regiones[Fecha],Tabla54[[#This Row],[Fecha]],Regiones[Intervalo],Tabla54[[#This Row],[Intervalo]],Regiones[Skill],'BUPA Seguros'!$L$3)/Tabla54[[#This Row],[Atendidas]],0)</f>
        <v>0</v>
      </c>
      <c r="H13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3" s="21">
        <f>IFERROR(Tabla54[[#This Row],[Atendidas]]/Tabla54[[#This Row],[Recibidas]],0)</f>
        <v>0</v>
      </c>
    </row>
    <row r="1394" spans="2:9" x14ac:dyDescent="0.3">
      <c r="B1394" s="27">
        <f t="shared" si="61"/>
        <v>46232</v>
      </c>
      <c r="C1394" s="18">
        <v>0.91666666666666696</v>
      </c>
      <c r="D1394" s="19">
        <f>+SUMIFS(Regiones[Ofrecidas],Regiones[Fecha],Tabla54[[#This Row],[Fecha]],Regiones[Intervalo],Tabla54[[#This Row],[Intervalo]],Regiones[Skill],'BUPA Seguros'!$L$3)</f>
        <v>0</v>
      </c>
      <c r="E1394" s="19">
        <f>+SUMIFS(Regiones[Contestadas],Regiones[Fecha],Tabla54[[#This Row],[Fecha]],Regiones[Intervalo],Tabla54[[#This Row],[Intervalo]],Regiones[Skill],'BUPA Seguros'!$L$3)</f>
        <v>0</v>
      </c>
      <c r="F1394" s="20">
        <v>0</v>
      </c>
      <c r="G1394" s="19">
        <f>IFERROR(SUMIFS(Regiones[TMO],Regiones[Fecha],Tabla54[[#This Row],[Fecha]],Regiones[Intervalo],Tabla54[[#This Row],[Intervalo]],Regiones[Skill],'BUPA Seguros'!$L$3)/Tabla54[[#This Row],[Atendidas]],0)</f>
        <v>0</v>
      </c>
      <c r="H139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4" s="21">
        <f>IFERROR(Tabla54[[#This Row],[Atendidas]]/Tabla54[[#This Row],[Recibidas]],0)</f>
        <v>0</v>
      </c>
    </row>
    <row r="1395" spans="2:9" x14ac:dyDescent="0.3">
      <c r="B1395" s="25">
        <f t="shared" si="61"/>
        <v>46232</v>
      </c>
      <c r="C1395" s="26">
        <v>0.9375</v>
      </c>
      <c r="D1395" s="19">
        <f>+SUMIFS(Regiones[Ofrecidas],Regiones[Fecha],Tabla54[[#This Row],[Fecha]],Regiones[Intervalo],Tabla54[[#This Row],[Intervalo]],Regiones[Skill],'BUPA Seguros'!$L$3)</f>
        <v>0</v>
      </c>
      <c r="E1395" s="19">
        <f>+SUMIFS(Regiones[Contestadas],Regiones[Fecha],Tabla54[[#This Row],[Fecha]],Regiones[Intervalo],Tabla54[[#This Row],[Intervalo]],Regiones[Skill],'BUPA Seguros'!$L$3)</f>
        <v>0</v>
      </c>
      <c r="F1395" s="20">
        <v>0</v>
      </c>
      <c r="G1395" s="19">
        <f>IFERROR(SUMIFS(Regiones[TMO],Regiones[Fecha],Tabla54[[#This Row],[Fecha]],Regiones[Intervalo],Tabla54[[#This Row],[Intervalo]],Regiones[Skill],'BUPA Seguros'!$L$3)/Tabla54[[#This Row],[Atendidas]],0)</f>
        <v>0</v>
      </c>
      <c r="H139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5" s="21">
        <f>IFERROR(Tabla54[[#This Row],[Atendidas]]/Tabla54[[#This Row],[Recibidas]],0)</f>
        <v>0</v>
      </c>
    </row>
    <row r="1396" spans="2:9" x14ac:dyDescent="0.3">
      <c r="B1396" s="27">
        <f t="shared" si="61"/>
        <v>46232</v>
      </c>
      <c r="C1396" s="18">
        <v>0.95833333333333304</v>
      </c>
      <c r="D1396" s="19">
        <f>+SUMIFS(Regiones[Ofrecidas],Regiones[Fecha],Tabla54[[#This Row],[Fecha]],Regiones[Intervalo],Tabla54[[#This Row],[Intervalo]],Regiones[Skill],'BUPA Seguros'!$L$3)</f>
        <v>0</v>
      </c>
      <c r="E1396" s="19">
        <f>+SUMIFS(Regiones[Contestadas],Regiones[Fecha],Tabla54[[#This Row],[Fecha]],Regiones[Intervalo],Tabla54[[#This Row],[Intervalo]],Regiones[Skill],'BUPA Seguros'!$L$3)</f>
        <v>0</v>
      </c>
      <c r="F1396" s="20">
        <v>0</v>
      </c>
      <c r="G1396" s="19">
        <f>IFERROR(SUMIFS(Regiones[TMO],Regiones[Fecha],Tabla54[[#This Row],[Fecha]],Regiones[Intervalo],Tabla54[[#This Row],[Intervalo]],Regiones[Skill],'BUPA Seguros'!$L$3)/Tabla54[[#This Row],[Atendidas]],0)</f>
        <v>0</v>
      </c>
      <c r="H139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6" s="21">
        <f>IFERROR(Tabla54[[#This Row],[Atendidas]]/Tabla54[[#This Row],[Recibidas]],0)</f>
        <v>0</v>
      </c>
    </row>
    <row r="1397" spans="2:9" x14ac:dyDescent="0.3">
      <c r="B1397" s="25">
        <f t="shared" si="61"/>
        <v>46232</v>
      </c>
      <c r="C1397" s="26">
        <v>0.97916666666666696</v>
      </c>
      <c r="D1397" s="19">
        <f>+SUMIFS(Regiones[Ofrecidas],Regiones[Fecha],Tabla54[[#This Row],[Fecha]],Regiones[Intervalo],Tabla54[[#This Row],[Intervalo]],Regiones[Skill],'BUPA Seguros'!$L$3)</f>
        <v>0</v>
      </c>
      <c r="E1397" s="19">
        <f>+SUMIFS(Regiones[Contestadas],Regiones[Fecha],Tabla54[[#This Row],[Fecha]],Regiones[Intervalo],Tabla54[[#This Row],[Intervalo]],Regiones[Skill],'BUPA Seguros'!$L$3)</f>
        <v>0</v>
      </c>
      <c r="F1397" s="20">
        <v>0</v>
      </c>
      <c r="G1397" s="19">
        <f>IFERROR(SUMIFS(Regiones[TMO],Regiones[Fecha],Tabla54[[#This Row],[Fecha]],Regiones[Intervalo],Tabla54[[#This Row],[Intervalo]],Regiones[Skill],'BUPA Seguros'!$L$3)/Tabla54[[#This Row],[Atendidas]],0)</f>
        <v>0</v>
      </c>
      <c r="H139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7" s="21">
        <f>IFERROR(Tabla54[[#This Row],[Atendidas]]/Tabla54[[#This Row],[Recibidas]],0)</f>
        <v>0</v>
      </c>
    </row>
    <row r="1398" spans="2:9" x14ac:dyDescent="0.3">
      <c r="B1398" s="27">
        <f t="shared" si="62"/>
        <v>46233</v>
      </c>
      <c r="C1398" s="18">
        <v>0</v>
      </c>
      <c r="D1398" s="19">
        <f>+SUMIFS(Regiones[Ofrecidas],Regiones[Fecha],Tabla54[[#This Row],[Fecha]],Regiones[Intervalo],Tabla54[[#This Row],[Intervalo]],Regiones[Skill],'BUPA Seguros'!$L$3)</f>
        <v>0</v>
      </c>
      <c r="E1398" s="19">
        <f>+SUMIFS(Regiones[Contestadas],Regiones[Fecha],Tabla54[[#This Row],[Fecha]],Regiones[Intervalo],Tabla54[[#This Row],[Intervalo]],Regiones[Skill],'BUPA Seguros'!$L$3)</f>
        <v>0</v>
      </c>
      <c r="F1398" s="20">
        <v>0</v>
      </c>
      <c r="G1398" s="19">
        <f>IFERROR(SUMIFS(Regiones[TMO],Regiones[Fecha],Tabla54[[#This Row],[Fecha]],Regiones[Intervalo],Tabla54[[#This Row],[Intervalo]],Regiones[Skill],'BUPA Seguros'!$L$3)/Tabla54[[#This Row],[Atendidas]],0)</f>
        <v>0</v>
      </c>
      <c r="H139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8" s="21">
        <f>IFERROR(Tabla54[[#This Row],[Atendidas]]/Tabla54[[#This Row],[Recibidas]],0)</f>
        <v>0</v>
      </c>
    </row>
    <row r="1399" spans="2:9" x14ac:dyDescent="0.3">
      <c r="B1399" s="25">
        <f t="shared" si="63"/>
        <v>46233</v>
      </c>
      <c r="C1399" s="26">
        <v>2.0833333333333332E-2</v>
      </c>
      <c r="D1399" s="19">
        <f>+SUMIFS(Regiones[Ofrecidas],Regiones[Fecha],Tabla54[[#This Row],[Fecha]],Regiones[Intervalo],Tabla54[[#This Row],[Intervalo]],Regiones[Skill],'BUPA Seguros'!$L$3)</f>
        <v>0</v>
      </c>
      <c r="E1399" s="19">
        <f>+SUMIFS(Regiones[Contestadas],Regiones[Fecha],Tabla54[[#This Row],[Fecha]],Regiones[Intervalo],Tabla54[[#This Row],[Intervalo]],Regiones[Skill],'BUPA Seguros'!$L$3)</f>
        <v>0</v>
      </c>
      <c r="F1399" s="20">
        <v>0</v>
      </c>
      <c r="G1399" s="19">
        <f>IFERROR(SUMIFS(Regiones[TMO],Regiones[Fecha],Tabla54[[#This Row],[Fecha]],Regiones[Intervalo],Tabla54[[#This Row],[Intervalo]],Regiones[Skill],'BUPA Seguros'!$L$3)/Tabla54[[#This Row],[Atendidas]],0)</f>
        <v>0</v>
      </c>
      <c r="H139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399" s="21">
        <f>IFERROR(Tabla54[[#This Row],[Atendidas]]/Tabla54[[#This Row],[Recibidas]],0)</f>
        <v>0</v>
      </c>
    </row>
    <row r="1400" spans="2:9" x14ac:dyDescent="0.3">
      <c r="B1400" s="27">
        <f t="shared" si="63"/>
        <v>46233</v>
      </c>
      <c r="C1400" s="18">
        <v>4.1666666666666699E-2</v>
      </c>
      <c r="D1400" s="19">
        <f>+SUMIFS(Regiones[Ofrecidas],Regiones[Fecha],Tabla54[[#This Row],[Fecha]],Regiones[Intervalo],Tabla54[[#This Row],[Intervalo]],Regiones[Skill],'BUPA Seguros'!$L$3)</f>
        <v>0</v>
      </c>
      <c r="E1400" s="19">
        <f>+SUMIFS(Regiones[Contestadas],Regiones[Fecha],Tabla54[[#This Row],[Fecha]],Regiones[Intervalo],Tabla54[[#This Row],[Intervalo]],Regiones[Skill],'BUPA Seguros'!$L$3)</f>
        <v>0</v>
      </c>
      <c r="F1400" s="20">
        <v>0</v>
      </c>
      <c r="G1400" s="19">
        <f>IFERROR(SUMIFS(Regiones[TMO],Regiones[Fecha],Tabla54[[#This Row],[Fecha]],Regiones[Intervalo],Tabla54[[#This Row],[Intervalo]],Regiones[Skill],'BUPA Seguros'!$L$3)/Tabla54[[#This Row],[Atendidas]],0)</f>
        <v>0</v>
      </c>
      <c r="H140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0" s="21">
        <f>IFERROR(Tabla54[[#This Row],[Atendidas]]/Tabla54[[#This Row],[Recibidas]],0)</f>
        <v>0</v>
      </c>
    </row>
    <row r="1401" spans="2:9" x14ac:dyDescent="0.3">
      <c r="B1401" s="25">
        <f t="shared" si="63"/>
        <v>46233</v>
      </c>
      <c r="C1401" s="26">
        <v>6.25E-2</v>
      </c>
      <c r="D1401" s="19">
        <f>+SUMIFS(Regiones[Ofrecidas],Regiones[Fecha],Tabla54[[#This Row],[Fecha]],Regiones[Intervalo],Tabla54[[#This Row],[Intervalo]],Regiones[Skill],'BUPA Seguros'!$L$3)</f>
        <v>0</v>
      </c>
      <c r="E1401" s="19">
        <f>+SUMIFS(Regiones[Contestadas],Regiones[Fecha],Tabla54[[#This Row],[Fecha]],Regiones[Intervalo],Tabla54[[#This Row],[Intervalo]],Regiones[Skill],'BUPA Seguros'!$L$3)</f>
        <v>0</v>
      </c>
      <c r="F1401" s="20">
        <v>0</v>
      </c>
      <c r="G1401" s="19">
        <f>IFERROR(SUMIFS(Regiones[TMO],Regiones[Fecha],Tabla54[[#This Row],[Fecha]],Regiones[Intervalo],Tabla54[[#This Row],[Intervalo]],Regiones[Skill],'BUPA Seguros'!$L$3)/Tabla54[[#This Row],[Atendidas]],0)</f>
        <v>0</v>
      </c>
      <c r="H140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1" s="21">
        <f>IFERROR(Tabla54[[#This Row],[Atendidas]]/Tabla54[[#This Row],[Recibidas]],0)</f>
        <v>0</v>
      </c>
    </row>
    <row r="1402" spans="2:9" x14ac:dyDescent="0.3">
      <c r="B1402" s="27">
        <f t="shared" si="63"/>
        <v>46233</v>
      </c>
      <c r="C1402" s="18">
        <v>8.3333333333333301E-2</v>
      </c>
      <c r="D1402" s="19">
        <f>+SUMIFS(Regiones[Ofrecidas],Regiones[Fecha],Tabla54[[#This Row],[Fecha]],Regiones[Intervalo],Tabla54[[#This Row],[Intervalo]],Regiones[Skill],'BUPA Seguros'!$L$3)</f>
        <v>0</v>
      </c>
      <c r="E1402" s="19">
        <f>+SUMIFS(Regiones[Contestadas],Regiones[Fecha],Tabla54[[#This Row],[Fecha]],Regiones[Intervalo],Tabla54[[#This Row],[Intervalo]],Regiones[Skill],'BUPA Seguros'!$L$3)</f>
        <v>0</v>
      </c>
      <c r="F1402" s="20">
        <v>0</v>
      </c>
      <c r="G1402" s="19">
        <f>IFERROR(SUMIFS(Regiones[TMO],Regiones[Fecha],Tabla54[[#This Row],[Fecha]],Regiones[Intervalo],Tabla54[[#This Row],[Intervalo]],Regiones[Skill],'BUPA Seguros'!$L$3)/Tabla54[[#This Row],[Atendidas]],0)</f>
        <v>0</v>
      </c>
      <c r="H140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2" s="21">
        <f>IFERROR(Tabla54[[#This Row],[Atendidas]]/Tabla54[[#This Row],[Recibidas]],0)</f>
        <v>0</v>
      </c>
    </row>
    <row r="1403" spans="2:9" x14ac:dyDescent="0.3">
      <c r="B1403" s="25">
        <f t="shared" si="63"/>
        <v>46233</v>
      </c>
      <c r="C1403" s="26">
        <v>0.104166666666667</v>
      </c>
      <c r="D1403" s="19">
        <f>+SUMIFS(Regiones[Ofrecidas],Regiones[Fecha],Tabla54[[#This Row],[Fecha]],Regiones[Intervalo],Tabla54[[#This Row],[Intervalo]],Regiones[Skill],'BUPA Seguros'!$L$3)</f>
        <v>0</v>
      </c>
      <c r="E1403" s="19">
        <f>+SUMIFS(Regiones[Contestadas],Regiones[Fecha],Tabla54[[#This Row],[Fecha]],Regiones[Intervalo],Tabla54[[#This Row],[Intervalo]],Regiones[Skill],'BUPA Seguros'!$L$3)</f>
        <v>0</v>
      </c>
      <c r="F1403" s="20">
        <v>0</v>
      </c>
      <c r="G1403" s="19">
        <f>IFERROR(SUMIFS(Regiones[TMO],Regiones[Fecha],Tabla54[[#This Row],[Fecha]],Regiones[Intervalo],Tabla54[[#This Row],[Intervalo]],Regiones[Skill],'BUPA Seguros'!$L$3)/Tabla54[[#This Row],[Atendidas]],0)</f>
        <v>0</v>
      </c>
      <c r="H140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3" s="21">
        <f>IFERROR(Tabla54[[#This Row],[Atendidas]]/Tabla54[[#This Row],[Recibidas]],0)</f>
        <v>0</v>
      </c>
    </row>
    <row r="1404" spans="2:9" x14ac:dyDescent="0.3">
      <c r="B1404" s="27">
        <f t="shared" si="63"/>
        <v>46233</v>
      </c>
      <c r="C1404" s="18">
        <v>0.125</v>
      </c>
      <c r="D1404" s="19">
        <f>+SUMIFS(Regiones[Ofrecidas],Regiones[Fecha],Tabla54[[#This Row],[Fecha]],Regiones[Intervalo],Tabla54[[#This Row],[Intervalo]],Regiones[Skill],'BUPA Seguros'!$L$3)</f>
        <v>0</v>
      </c>
      <c r="E1404" s="19">
        <f>+SUMIFS(Regiones[Contestadas],Regiones[Fecha],Tabla54[[#This Row],[Fecha]],Regiones[Intervalo],Tabla54[[#This Row],[Intervalo]],Regiones[Skill],'BUPA Seguros'!$L$3)</f>
        <v>0</v>
      </c>
      <c r="F1404" s="20">
        <v>0</v>
      </c>
      <c r="G1404" s="19">
        <f>IFERROR(SUMIFS(Regiones[TMO],Regiones[Fecha],Tabla54[[#This Row],[Fecha]],Regiones[Intervalo],Tabla54[[#This Row],[Intervalo]],Regiones[Skill],'BUPA Seguros'!$L$3)/Tabla54[[#This Row],[Atendidas]],0)</f>
        <v>0</v>
      </c>
      <c r="H140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4" s="21">
        <f>IFERROR(Tabla54[[#This Row],[Atendidas]]/Tabla54[[#This Row],[Recibidas]],0)</f>
        <v>0</v>
      </c>
    </row>
    <row r="1405" spans="2:9" x14ac:dyDescent="0.3">
      <c r="B1405" s="25">
        <f t="shared" si="63"/>
        <v>46233</v>
      </c>
      <c r="C1405" s="26">
        <v>0.14583333333333301</v>
      </c>
      <c r="D1405" s="19">
        <f>+SUMIFS(Regiones[Ofrecidas],Regiones[Fecha],Tabla54[[#This Row],[Fecha]],Regiones[Intervalo],Tabla54[[#This Row],[Intervalo]],Regiones[Skill],'BUPA Seguros'!$L$3)</f>
        <v>0</v>
      </c>
      <c r="E1405" s="19">
        <f>+SUMIFS(Regiones[Contestadas],Regiones[Fecha],Tabla54[[#This Row],[Fecha]],Regiones[Intervalo],Tabla54[[#This Row],[Intervalo]],Regiones[Skill],'BUPA Seguros'!$L$3)</f>
        <v>0</v>
      </c>
      <c r="F1405" s="20">
        <v>0</v>
      </c>
      <c r="G1405" s="19">
        <f>IFERROR(SUMIFS(Regiones[TMO],Regiones[Fecha],Tabla54[[#This Row],[Fecha]],Regiones[Intervalo],Tabla54[[#This Row],[Intervalo]],Regiones[Skill],'BUPA Seguros'!$L$3)/Tabla54[[#This Row],[Atendidas]],0)</f>
        <v>0</v>
      </c>
      <c r="H140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5" s="21">
        <f>IFERROR(Tabla54[[#This Row],[Atendidas]]/Tabla54[[#This Row],[Recibidas]],0)</f>
        <v>0</v>
      </c>
    </row>
    <row r="1406" spans="2:9" x14ac:dyDescent="0.3">
      <c r="B1406" s="27">
        <f t="shared" si="63"/>
        <v>46233</v>
      </c>
      <c r="C1406" s="18">
        <v>0.16666666666666699</v>
      </c>
      <c r="D1406" s="19">
        <f>+SUMIFS(Regiones[Ofrecidas],Regiones[Fecha],Tabla54[[#This Row],[Fecha]],Regiones[Intervalo],Tabla54[[#This Row],[Intervalo]],Regiones[Skill],'BUPA Seguros'!$L$3)</f>
        <v>0</v>
      </c>
      <c r="E1406" s="19">
        <f>+SUMIFS(Regiones[Contestadas],Regiones[Fecha],Tabla54[[#This Row],[Fecha]],Regiones[Intervalo],Tabla54[[#This Row],[Intervalo]],Regiones[Skill],'BUPA Seguros'!$L$3)</f>
        <v>0</v>
      </c>
      <c r="F1406" s="20">
        <v>0</v>
      </c>
      <c r="G1406" s="19">
        <f>IFERROR(SUMIFS(Regiones[TMO],Regiones[Fecha],Tabla54[[#This Row],[Fecha]],Regiones[Intervalo],Tabla54[[#This Row],[Intervalo]],Regiones[Skill],'BUPA Seguros'!$L$3)/Tabla54[[#This Row],[Atendidas]],0)</f>
        <v>0</v>
      </c>
      <c r="H140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6" s="21">
        <f>IFERROR(Tabla54[[#This Row],[Atendidas]]/Tabla54[[#This Row],[Recibidas]],0)</f>
        <v>0</v>
      </c>
    </row>
    <row r="1407" spans="2:9" x14ac:dyDescent="0.3">
      <c r="B1407" s="25">
        <f t="shared" si="63"/>
        <v>46233</v>
      </c>
      <c r="C1407" s="26">
        <v>0.1875</v>
      </c>
      <c r="D1407" s="19">
        <f>+SUMIFS(Regiones[Ofrecidas],Regiones[Fecha],Tabla54[[#This Row],[Fecha]],Regiones[Intervalo],Tabla54[[#This Row],[Intervalo]],Regiones[Skill],'BUPA Seguros'!$L$3)</f>
        <v>0</v>
      </c>
      <c r="E1407" s="19">
        <f>+SUMIFS(Regiones[Contestadas],Regiones[Fecha],Tabla54[[#This Row],[Fecha]],Regiones[Intervalo],Tabla54[[#This Row],[Intervalo]],Regiones[Skill],'BUPA Seguros'!$L$3)</f>
        <v>0</v>
      </c>
      <c r="F1407" s="20">
        <v>0</v>
      </c>
      <c r="G1407" s="19">
        <f>IFERROR(SUMIFS(Regiones[TMO],Regiones[Fecha],Tabla54[[#This Row],[Fecha]],Regiones[Intervalo],Tabla54[[#This Row],[Intervalo]],Regiones[Skill],'BUPA Seguros'!$L$3)/Tabla54[[#This Row],[Atendidas]],0)</f>
        <v>0</v>
      </c>
      <c r="H140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7" s="21">
        <f>IFERROR(Tabla54[[#This Row],[Atendidas]]/Tabla54[[#This Row],[Recibidas]],0)</f>
        <v>0</v>
      </c>
    </row>
    <row r="1408" spans="2:9" x14ac:dyDescent="0.3">
      <c r="B1408" s="27">
        <f t="shared" si="63"/>
        <v>46233</v>
      </c>
      <c r="C1408" s="18">
        <v>0.20833333333333301</v>
      </c>
      <c r="D1408" s="19">
        <f>+SUMIFS(Regiones[Ofrecidas],Regiones[Fecha],Tabla54[[#This Row],[Fecha]],Regiones[Intervalo],Tabla54[[#This Row],[Intervalo]],Regiones[Skill],'BUPA Seguros'!$L$3)</f>
        <v>0</v>
      </c>
      <c r="E1408" s="19">
        <f>+SUMIFS(Regiones[Contestadas],Regiones[Fecha],Tabla54[[#This Row],[Fecha]],Regiones[Intervalo],Tabla54[[#This Row],[Intervalo]],Regiones[Skill],'BUPA Seguros'!$L$3)</f>
        <v>0</v>
      </c>
      <c r="F1408" s="20">
        <v>0</v>
      </c>
      <c r="G1408" s="19">
        <f>IFERROR(SUMIFS(Regiones[TMO],Regiones[Fecha],Tabla54[[#This Row],[Fecha]],Regiones[Intervalo],Tabla54[[#This Row],[Intervalo]],Regiones[Skill],'BUPA Seguros'!$L$3)/Tabla54[[#This Row],[Atendidas]],0)</f>
        <v>0</v>
      </c>
      <c r="H140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8" s="21">
        <f>IFERROR(Tabla54[[#This Row],[Atendidas]]/Tabla54[[#This Row],[Recibidas]],0)</f>
        <v>0</v>
      </c>
    </row>
    <row r="1409" spans="2:9" x14ac:dyDescent="0.3">
      <c r="B1409" s="25">
        <f t="shared" si="63"/>
        <v>46233</v>
      </c>
      <c r="C1409" s="26">
        <v>0.22916666666666699</v>
      </c>
      <c r="D1409" s="19">
        <f>+SUMIFS(Regiones[Ofrecidas],Regiones[Fecha],Tabla54[[#This Row],[Fecha]],Regiones[Intervalo],Tabla54[[#This Row],[Intervalo]],Regiones[Skill],'BUPA Seguros'!$L$3)</f>
        <v>0</v>
      </c>
      <c r="E1409" s="19">
        <f>+SUMIFS(Regiones[Contestadas],Regiones[Fecha],Tabla54[[#This Row],[Fecha]],Regiones[Intervalo],Tabla54[[#This Row],[Intervalo]],Regiones[Skill],'BUPA Seguros'!$L$3)</f>
        <v>0</v>
      </c>
      <c r="F1409" s="20">
        <v>0</v>
      </c>
      <c r="G1409" s="19">
        <f>IFERROR(SUMIFS(Regiones[TMO],Regiones[Fecha],Tabla54[[#This Row],[Fecha]],Regiones[Intervalo],Tabla54[[#This Row],[Intervalo]],Regiones[Skill],'BUPA Seguros'!$L$3)/Tabla54[[#This Row],[Atendidas]],0)</f>
        <v>0</v>
      </c>
      <c r="H140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09" s="21">
        <f>IFERROR(Tabla54[[#This Row],[Atendidas]]/Tabla54[[#This Row],[Recibidas]],0)</f>
        <v>0</v>
      </c>
    </row>
    <row r="1410" spans="2:9" x14ac:dyDescent="0.3">
      <c r="B1410" s="27">
        <f t="shared" si="63"/>
        <v>46233</v>
      </c>
      <c r="C1410" s="18">
        <v>0.25</v>
      </c>
      <c r="D1410" s="19">
        <f>+SUMIFS(Regiones[Ofrecidas],Regiones[Fecha],Tabla54[[#This Row],[Fecha]],Regiones[Intervalo],Tabla54[[#This Row],[Intervalo]],Regiones[Skill],'BUPA Seguros'!$L$3)</f>
        <v>0</v>
      </c>
      <c r="E1410" s="19">
        <f>+SUMIFS(Regiones[Contestadas],Regiones[Fecha],Tabla54[[#This Row],[Fecha]],Regiones[Intervalo],Tabla54[[#This Row],[Intervalo]],Regiones[Skill],'BUPA Seguros'!$L$3)</f>
        <v>0</v>
      </c>
      <c r="F1410" s="20">
        <v>0</v>
      </c>
      <c r="G1410" s="19">
        <f>IFERROR(SUMIFS(Regiones[TMO],Regiones[Fecha],Tabla54[[#This Row],[Fecha]],Regiones[Intervalo],Tabla54[[#This Row],[Intervalo]],Regiones[Skill],'BUPA Seguros'!$L$3)/Tabla54[[#This Row],[Atendidas]],0)</f>
        <v>0</v>
      </c>
      <c r="H141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0" s="21">
        <f>IFERROR(Tabla54[[#This Row],[Atendidas]]/Tabla54[[#This Row],[Recibidas]],0)</f>
        <v>0</v>
      </c>
    </row>
    <row r="1411" spans="2:9" x14ac:dyDescent="0.3">
      <c r="B1411" s="25">
        <f t="shared" si="63"/>
        <v>46233</v>
      </c>
      <c r="C1411" s="26">
        <v>0.27083333333333298</v>
      </c>
      <c r="D1411" s="19">
        <f>+SUMIFS(Regiones[Ofrecidas],Regiones[Fecha],Tabla54[[#This Row],[Fecha]],Regiones[Intervalo],Tabla54[[#This Row],[Intervalo]],Regiones[Skill],'BUPA Seguros'!$L$3)</f>
        <v>0</v>
      </c>
      <c r="E1411" s="19">
        <f>+SUMIFS(Regiones[Contestadas],Regiones[Fecha],Tabla54[[#This Row],[Fecha]],Regiones[Intervalo],Tabla54[[#This Row],[Intervalo]],Regiones[Skill],'BUPA Seguros'!$L$3)</f>
        <v>0</v>
      </c>
      <c r="F1411" s="20">
        <v>0</v>
      </c>
      <c r="G1411" s="19">
        <f>IFERROR(SUMIFS(Regiones[TMO],Regiones[Fecha],Tabla54[[#This Row],[Fecha]],Regiones[Intervalo],Tabla54[[#This Row],[Intervalo]],Regiones[Skill],'BUPA Seguros'!$L$3)/Tabla54[[#This Row],[Atendidas]],0)</f>
        <v>0</v>
      </c>
      <c r="H141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1" s="21">
        <f>IFERROR(Tabla54[[#This Row],[Atendidas]]/Tabla54[[#This Row],[Recibidas]],0)</f>
        <v>0</v>
      </c>
    </row>
    <row r="1412" spans="2:9" x14ac:dyDescent="0.3">
      <c r="B1412" s="27">
        <f t="shared" si="63"/>
        <v>46233</v>
      </c>
      <c r="C1412" s="18">
        <v>0.29166666666666702</v>
      </c>
      <c r="D1412" s="19">
        <f>+SUMIFS(Regiones[Ofrecidas],Regiones[Fecha],Tabla54[[#This Row],[Fecha]],Regiones[Intervalo],Tabla54[[#This Row],[Intervalo]],Regiones[Skill],'BUPA Seguros'!$L$3)</f>
        <v>0</v>
      </c>
      <c r="E1412" s="19">
        <f>+SUMIFS(Regiones[Contestadas],Regiones[Fecha],Tabla54[[#This Row],[Fecha]],Regiones[Intervalo],Tabla54[[#This Row],[Intervalo]],Regiones[Skill],'BUPA Seguros'!$L$3)</f>
        <v>0</v>
      </c>
      <c r="F1412" s="20">
        <v>0</v>
      </c>
      <c r="G1412" s="19">
        <f>IFERROR(SUMIFS(Regiones[TMO],Regiones[Fecha],Tabla54[[#This Row],[Fecha]],Regiones[Intervalo],Tabla54[[#This Row],[Intervalo]],Regiones[Skill],'BUPA Seguros'!$L$3)/Tabla54[[#This Row],[Atendidas]],0)</f>
        <v>0</v>
      </c>
      <c r="H141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2" s="21">
        <f>IFERROR(Tabla54[[#This Row],[Atendidas]]/Tabla54[[#This Row],[Recibidas]],0)</f>
        <v>0</v>
      </c>
    </row>
    <row r="1413" spans="2:9" x14ac:dyDescent="0.3">
      <c r="B1413" s="25">
        <f t="shared" si="63"/>
        <v>46233</v>
      </c>
      <c r="C1413" s="26">
        <v>0.3125</v>
      </c>
      <c r="D1413" s="19">
        <f>+SUMIFS(Regiones[Ofrecidas],Regiones[Fecha],Tabla54[[#This Row],[Fecha]],Regiones[Intervalo],Tabla54[[#This Row],[Intervalo]],Regiones[Skill],'BUPA Seguros'!$L$3)</f>
        <v>0</v>
      </c>
      <c r="E1413" s="19">
        <f>+SUMIFS(Regiones[Contestadas],Regiones[Fecha],Tabla54[[#This Row],[Fecha]],Regiones[Intervalo],Tabla54[[#This Row],[Intervalo]],Regiones[Skill],'BUPA Seguros'!$L$3)</f>
        <v>0</v>
      </c>
      <c r="F1413" s="20">
        <v>0</v>
      </c>
      <c r="G1413" s="19">
        <f>IFERROR(SUMIFS(Regiones[TMO],Regiones[Fecha],Tabla54[[#This Row],[Fecha]],Regiones[Intervalo],Tabla54[[#This Row],[Intervalo]],Regiones[Skill],'BUPA Seguros'!$L$3)/Tabla54[[#This Row],[Atendidas]],0)</f>
        <v>0</v>
      </c>
      <c r="H141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3" s="21">
        <f>IFERROR(Tabla54[[#This Row],[Atendidas]]/Tabla54[[#This Row],[Recibidas]],0)</f>
        <v>0</v>
      </c>
    </row>
    <row r="1414" spans="2:9" x14ac:dyDescent="0.3">
      <c r="B1414" s="27">
        <f t="shared" si="63"/>
        <v>46233</v>
      </c>
      <c r="C1414" s="18">
        <v>0.33333333333333298</v>
      </c>
      <c r="D1414" s="19">
        <f>+SUMIFS(Regiones[Ofrecidas],Regiones[Fecha],Tabla54[[#This Row],[Fecha]],Regiones[Intervalo],Tabla54[[#This Row],[Intervalo]],Regiones[Skill],'BUPA Seguros'!$L$3)</f>
        <v>0</v>
      </c>
      <c r="E1414" s="19">
        <f>+SUMIFS(Regiones[Contestadas],Regiones[Fecha],Tabla54[[#This Row],[Fecha]],Regiones[Intervalo],Tabla54[[#This Row],[Intervalo]],Regiones[Skill],'BUPA Seguros'!$L$3)</f>
        <v>0</v>
      </c>
      <c r="F1414" s="20">
        <v>0</v>
      </c>
      <c r="G1414" s="19">
        <f>IFERROR(SUMIFS(Regiones[TMO],Regiones[Fecha],Tabla54[[#This Row],[Fecha]],Regiones[Intervalo],Tabla54[[#This Row],[Intervalo]],Regiones[Skill],'BUPA Seguros'!$L$3)/Tabla54[[#This Row],[Atendidas]],0)</f>
        <v>0</v>
      </c>
      <c r="H141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4" s="21">
        <f>IFERROR(Tabla54[[#This Row],[Atendidas]]/Tabla54[[#This Row],[Recibidas]],0)</f>
        <v>0</v>
      </c>
    </row>
    <row r="1415" spans="2:9" x14ac:dyDescent="0.3">
      <c r="B1415" s="25">
        <f t="shared" ref="B1415:B1445" si="64">+B1414</f>
        <v>46233</v>
      </c>
      <c r="C1415" s="26">
        <v>0.35416666666666702</v>
      </c>
      <c r="D1415" s="19">
        <f>+SUMIFS(Regiones[Ofrecidas],Regiones[Fecha],Tabla54[[#This Row],[Fecha]],Regiones[Intervalo],Tabla54[[#This Row],[Intervalo]],Regiones[Skill],'BUPA Seguros'!$L$3)</f>
        <v>0</v>
      </c>
      <c r="E1415" s="19">
        <f>+SUMIFS(Regiones[Contestadas],Regiones[Fecha],Tabla54[[#This Row],[Fecha]],Regiones[Intervalo],Tabla54[[#This Row],[Intervalo]],Regiones[Skill],'BUPA Seguros'!$L$3)</f>
        <v>0</v>
      </c>
      <c r="F1415" s="20">
        <v>0</v>
      </c>
      <c r="G1415" s="19">
        <f>IFERROR(SUMIFS(Regiones[TMO],Regiones[Fecha],Tabla54[[#This Row],[Fecha]],Regiones[Intervalo],Tabla54[[#This Row],[Intervalo]],Regiones[Skill],'BUPA Seguros'!$L$3)/Tabla54[[#This Row],[Atendidas]],0)</f>
        <v>0</v>
      </c>
      <c r="H141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5" s="21">
        <f>IFERROR(Tabla54[[#This Row],[Atendidas]]/Tabla54[[#This Row],[Recibidas]],0)</f>
        <v>0</v>
      </c>
    </row>
    <row r="1416" spans="2:9" x14ac:dyDescent="0.3">
      <c r="B1416" s="27">
        <f t="shared" si="64"/>
        <v>46233</v>
      </c>
      <c r="C1416" s="18">
        <v>0.375</v>
      </c>
      <c r="D1416" s="19">
        <f>+SUMIFS(Regiones[Ofrecidas],Regiones[Fecha],Tabla54[[#This Row],[Fecha]],Regiones[Intervalo],Tabla54[[#This Row],[Intervalo]],Regiones[Skill],'BUPA Seguros'!$L$3)</f>
        <v>0</v>
      </c>
      <c r="E1416" s="19">
        <f>+SUMIFS(Regiones[Contestadas],Regiones[Fecha],Tabla54[[#This Row],[Fecha]],Regiones[Intervalo],Tabla54[[#This Row],[Intervalo]],Regiones[Skill],'BUPA Seguros'!$L$3)</f>
        <v>0</v>
      </c>
      <c r="F1416" s="20">
        <v>30.099183734485617</v>
      </c>
      <c r="G1416" s="19">
        <f>IFERROR(SUMIFS(Regiones[TMO],Regiones[Fecha],Tabla54[[#This Row],[Fecha]],Regiones[Intervalo],Tabla54[[#This Row],[Intervalo]],Regiones[Skill],'BUPA Seguros'!$L$3)/Tabla54[[#This Row],[Atendidas]],0)</f>
        <v>0</v>
      </c>
      <c r="H141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6" s="21">
        <f>IFERROR(Tabla54[[#This Row],[Atendidas]]/Tabla54[[#This Row],[Recibidas]],0)</f>
        <v>0</v>
      </c>
    </row>
    <row r="1417" spans="2:9" x14ac:dyDescent="0.3">
      <c r="B1417" s="25">
        <f t="shared" si="64"/>
        <v>46233</v>
      </c>
      <c r="C1417" s="26">
        <v>0.39583333333333298</v>
      </c>
      <c r="D1417" s="19">
        <f>+SUMIFS(Regiones[Ofrecidas],Regiones[Fecha],Tabla54[[#This Row],[Fecha]],Regiones[Intervalo],Tabla54[[#This Row],[Intervalo]],Regiones[Skill],'BUPA Seguros'!$L$3)</f>
        <v>0</v>
      </c>
      <c r="E1417" s="19">
        <f>+SUMIFS(Regiones[Contestadas],Regiones[Fecha],Tabla54[[#This Row],[Fecha]],Regiones[Intervalo],Tabla54[[#This Row],[Intervalo]],Regiones[Skill],'BUPA Seguros'!$L$3)</f>
        <v>0</v>
      </c>
      <c r="F1417" s="20">
        <v>30.716954894372442</v>
      </c>
      <c r="G1417" s="19">
        <f>IFERROR(SUMIFS(Regiones[TMO],Regiones[Fecha],Tabla54[[#This Row],[Fecha]],Regiones[Intervalo],Tabla54[[#This Row],[Intervalo]],Regiones[Skill],'BUPA Seguros'!$L$3)/Tabla54[[#This Row],[Atendidas]],0)</f>
        <v>0</v>
      </c>
      <c r="H141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7" s="21">
        <f>IFERROR(Tabla54[[#This Row],[Atendidas]]/Tabla54[[#This Row],[Recibidas]],0)</f>
        <v>0</v>
      </c>
    </row>
    <row r="1418" spans="2:9" x14ac:dyDescent="0.3">
      <c r="B1418" s="27">
        <f t="shared" si="64"/>
        <v>46233</v>
      </c>
      <c r="C1418" s="18">
        <v>0.41666666666666702</v>
      </c>
      <c r="D1418" s="19">
        <f>+SUMIFS(Regiones[Ofrecidas],Regiones[Fecha],Tabla54[[#This Row],[Fecha]],Regiones[Intervalo],Tabla54[[#This Row],[Intervalo]],Regiones[Skill],'BUPA Seguros'!$L$3)</f>
        <v>0</v>
      </c>
      <c r="E1418" s="19">
        <f>+SUMIFS(Regiones[Contestadas],Regiones[Fecha],Tabla54[[#This Row],[Fecha]],Regiones[Intervalo],Tabla54[[#This Row],[Intervalo]],Regiones[Skill],'BUPA Seguros'!$L$3)</f>
        <v>0</v>
      </c>
      <c r="F1418" s="20">
        <v>31.758013700848377</v>
      </c>
      <c r="G1418" s="19">
        <f>IFERROR(SUMIFS(Regiones[TMO],Regiones[Fecha],Tabla54[[#This Row],[Fecha]],Regiones[Intervalo],Tabla54[[#This Row],[Intervalo]],Regiones[Skill],'BUPA Seguros'!$L$3)/Tabla54[[#This Row],[Atendidas]],0)</f>
        <v>0</v>
      </c>
      <c r="H141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8" s="21">
        <f>IFERROR(Tabla54[[#This Row],[Atendidas]]/Tabla54[[#This Row],[Recibidas]],0)</f>
        <v>0</v>
      </c>
    </row>
    <row r="1419" spans="2:9" x14ac:dyDescent="0.3">
      <c r="B1419" s="25">
        <f t="shared" si="64"/>
        <v>46233</v>
      </c>
      <c r="C1419" s="26">
        <v>0.4375</v>
      </c>
      <c r="D1419" s="19">
        <f>+SUMIFS(Regiones[Ofrecidas],Regiones[Fecha],Tabla54[[#This Row],[Fecha]],Regiones[Intervalo],Tabla54[[#This Row],[Intervalo]],Regiones[Skill],'BUPA Seguros'!$L$3)</f>
        <v>0</v>
      </c>
      <c r="E1419" s="19">
        <f>+SUMIFS(Regiones[Contestadas],Regiones[Fecha],Tabla54[[#This Row],[Fecha]],Regiones[Intervalo],Tabla54[[#This Row],[Intervalo]],Regiones[Skill],'BUPA Seguros'!$L$3)</f>
        <v>0</v>
      </c>
      <c r="F1419" s="20">
        <v>31.941057007481504</v>
      </c>
      <c r="G1419" s="19">
        <f>IFERROR(SUMIFS(Regiones[TMO],Regiones[Fecha],Tabla54[[#This Row],[Fecha]],Regiones[Intervalo],Tabla54[[#This Row],[Intervalo]],Regiones[Skill],'BUPA Seguros'!$L$3)/Tabla54[[#This Row],[Atendidas]],0)</f>
        <v>0</v>
      </c>
      <c r="H141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19" s="21">
        <f>IFERROR(Tabla54[[#This Row],[Atendidas]]/Tabla54[[#This Row],[Recibidas]],0)</f>
        <v>0</v>
      </c>
    </row>
    <row r="1420" spans="2:9" x14ac:dyDescent="0.3">
      <c r="B1420" s="27">
        <f t="shared" si="64"/>
        <v>46233</v>
      </c>
      <c r="C1420" s="18">
        <v>0.45833333333333298</v>
      </c>
      <c r="D1420" s="19">
        <f>+SUMIFS(Regiones[Ofrecidas],Regiones[Fecha],Tabla54[[#This Row],[Fecha]],Regiones[Intervalo],Tabla54[[#This Row],[Intervalo]],Regiones[Skill],'BUPA Seguros'!$L$3)</f>
        <v>0</v>
      </c>
      <c r="E1420" s="19">
        <f>+SUMIFS(Regiones[Contestadas],Regiones[Fecha],Tabla54[[#This Row],[Fecha]],Regiones[Intervalo],Tabla54[[#This Row],[Intervalo]],Regiones[Skill],'BUPA Seguros'!$L$3)</f>
        <v>0</v>
      </c>
      <c r="F1420" s="20">
        <v>32.505440536267002</v>
      </c>
      <c r="G1420" s="19">
        <f>IFERROR(SUMIFS(Regiones[TMO],Regiones[Fecha],Tabla54[[#This Row],[Fecha]],Regiones[Intervalo],Tabla54[[#This Row],[Intervalo]],Regiones[Skill],'BUPA Seguros'!$L$3)/Tabla54[[#This Row],[Atendidas]],0)</f>
        <v>0</v>
      </c>
      <c r="H142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0" s="21">
        <f>IFERROR(Tabla54[[#This Row],[Atendidas]]/Tabla54[[#This Row],[Recibidas]],0)</f>
        <v>0</v>
      </c>
    </row>
    <row r="1421" spans="2:9" x14ac:dyDescent="0.3">
      <c r="B1421" s="25">
        <f t="shared" si="64"/>
        <v>46233</v>
      </c>
      <c r="C1421" s="26">
        <v>0.47916666666666702</v>
      </c>
      <c r="D1421" s="19">
        <f>+SUMIFS(Regiones[Ofrecidas],Regiones[Fecha],Tabla54[[#This Row],[Fecha]],Regiones[Intervalo],Tabla54[[#This Row],[Intervalo]],Regiones[Skill],'BUPA Seguros'!$L$3)</f>
        <v>0</v>
      </c>
      <c r="E1421" s="19">
        <f>+SUMIFS(Regiones[Contestadas],Regiones[Fecha],Tabla54[[#This Row],[Fecha]],Regiones[Intervalo],Tabla54[[#This Row],[Intervalo]],Regiones[Skill],'BUPA Seguros'!$L$3)</f>
        <v>0</v>
      </c>
      <c r="F1421" s="20">
        <v>32.322397229633872</v>
      </c>
      <c r="G1421" s="19">
        <f>IFERROR(SUMIFS(Regiones[TMO],Regiones[Fecha],Tabla54[[#This Row],[Fecha]],Regiones[Intervalo],Tabla54[[#This Row],[Intervalo]],Regiones[Skill],'BUPA Seguros'!$L$3)/Tabla54[[#This Row],[Atendidas]],0)</f>
        <v>0</v>
      </c>
      <c r="H142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1" s="21">
        <f>IFERROR(Tabla54[[#This Row],[Atendidas]]/Tabla54[[#This Row],[Recibidas]],0)</f>
        <v>0</v>
      </c>
    </row>
    <row r="1422" spans="2:9" x14ac:dyDescent="0.3">
      <c r="B1422" s="27">
        <f t="shared" si="64"/>
        <v>46233</v>
      </c>
      <c r="C1422" s="18">
        <v>0.5</v>
      </c>
      <c r="D1422" s="19">
        <f>+SUMIFS(Regiones[Ofrecidas],Regiones[Fecha],Tabla54[[#This Row],[Fecha]],Regiones[Intervalo],Tabla54[[#This Row],[Intervalo]],Regiones[Skill],'BUPA Seguros'!$L$3)</f>
        <v>0</v>
      </c>
      <c r="E1422" s="19">
        <f>+SUMIFS(Regiones[Contestadas],Regiones[Fecha],Tabla54[[#This Row],[Fecha]],Regiones[Intervalo],Tabla54[[#This Row],[Intervalo]],Regiones[Skill],'BUPA Seguros'!$L$3)</f>
        <v>0</v>
      </c>
      <c r="F1422" s="20">
        <v>32.322397229633857</v>
      </c>
      <c r="G1422" s="19">
        <f>IFERROR(SUMIFS(Regiones[TMO],Regiones[Fecha],Tabla54[[#This Row],[Fecha]],Regiones[Intervalo],Tabla54[[#This Row],[Intervalo]],Regiones[Skill],'BUPA Seguros'!$L$3)/Tabla54[[#This Row],[Atendidas]],0)</f>
        <v>0</v>
      </c>
      <c r="H142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2" s="21">
        <f>IFERROR(Tabla54[[#This Row],[Atendidas]]/Tabla54[[#This Row],[Recibidas]],0)</f>
        <v>0</v>
      </c>
    </row>
    <row r="1423" spans="2:9" x14ac:dyDescent="0.3">
      <c r="B1423" s="25">
        <f t="shared" si="64"/>
        <v>46233</v>
      </c>
      <c r="C1423" s="26">
        <v>0.52083333333333304</v>
      </c>
      <c r="D1423" s="19">
        <f>+SUMIFS(Regiones[Ofrecidas],Regiones[Fecha],Tabla54[[#This Row],[Fecha]],Regiones[Intervalo],Tabla54[[#This Row],[Intervalo]],Regiones[Skill],'BUPA Seguros'!$L$3)</f>
        <v>0</v>
      </c>
      <c r="E1423" s="19">
        <f>+SUMIFS(Regiones[Contestadas],Regiones[Fecha],Tabla54[[#This Row],[Fecha]],Regiones[Intervalo],Tabla54[[#This Row],[Intervalo]],Regiones[Skill],'BUPA Seguros'!$L$3)</f>
        <v>0</v>
      </c>
      <c r="F1423" s="20">
        <v>31.635984829759625</v>
      </c>
      <c r="G1423" s="19">
        <f>IFERROR(SUMIFS(Regiones[TMO],Regiones[Fecha],Tabla54[[#This Row],[Fecha]],Regiones[Intervalo],Tabla54[[#This Row],[Intervalo]],Regiones[Skill],'BUPA Seguros'!$L$3)/Tabla54[[#This Row],[Atendidas]],0)</f>
        <v>0</v>
      </c>
      <c r="H142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3" s="21">
        <f>IFERROR(Tabla54[[#This Row],[Atendidas]]/Tabla54[[#This Row],[Recibidas]],0)</f>
        <v>0</v>
      </c>
    </row>
    <row r="1424" spans="2:9" x14ac:dyDescent="0.3">
      <c r="B1424" s="27">
        <f t="shared" si="64"/>
        <v>46233</v>
      </c>
      <c r="C1424" s="18">
        <v>0.54166666666666696</v>
      </c>
      <c r="D1424" s="19">
        <f>+SUMIFS(Regiones[Ofrecidas],Regiones[Fecha],Tabla54[[#This Row],[Fecha]],Regiones[Intervalo],Tabla54[[#This Row],[Intervalo]],Regiones[Skill],'BUPA Seguros'!$L$3)</f>
        <v>0</v>
      </c>
      <c r="E1424" s="19">
        <f>+SUMIFS(Regiones[Contestadas],Regiones[Fecha],Tabla54[[#This Row],[Fecha]],Regiones[Intervalo],Tabla54[[#This Row],[Intervalo]],Regiones[Skill],'BUPA Seguros'!$L$3)</f>
        <v>0</v>
      </c>
      <c r="F1424" s="20">
        <v>30.751275514366153</v>
      </c>
      <c r="G1424" s="19">
        <f>IFERROR(SUMIFS(Regiones[TMO],Regiones[Fecha],Tabla54[[#This Row],[Fecha]],Regiones[Intervalo],Tabla54[[#This Row],[Intervalo]],Regiones[Skill],'BUPA Seguros'!$L$3)/Tabla54[[#This Row],[Atendidas]],0)</f>
        <v>0</v>
      </c>
      <c r="H142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4" s="21">
        <f>IFERROR(Tabla54[[#This Row],[Atendidas]]/Tabla54[[#This Row],[Recibidas]],0)</f>
        <v>0</v>
      </c>
    </row>
    <row r="1425" spans="2:9" x14ac:dyDescent="0.3">
      <c r="B1425" s="25">
        <f t="shared" si="64"/>
        <v>46233</v>
      </c>
      <c r="C1425" s="26">
        <v>0.5625</v>
      </c>
      <c r="D1425" s="19">
        <f>+SUMIFS(Regiones[Ofrecidas],Regiones[Fecha],Tabla54[[#This Row],[Fecha]],Regiones[Intervalo],Tabla54[[#This Row],[Intervalo]],Regiones[Skill],'BUPA Seguros'!$L$3)</f>
        <v>0</v>
      </c>
      <c r="E1425" s="19">
        <f>+SUMIFS(Regiones[Contestadas],Regiones[Fecha],Tabla54[[#This Row],[Fecha]],Regiones[Intervalo],Tabla54[[#This Row],[Intervalo]],Regiones[Skill],'BUPA Seguros'!$L$3)</f>
        <v>0</v>
      </c>
      <c r="F1425" s="20">
        <v>29.225914625756722</v>
      </c>
      <c r="G1425" s="19">
        <f>IFERROR(SUMIFS(Regiones[TMO],Regiones[Fecha],Tabla54[[#This Row],[Fecha]],Regiones[Intervalo],Tabla54[[#This Row],[Intervalo]],Regiones[Skill],'BUPA Seguros'!$L$3)/Tabla54[[#This Row],[Atendidas]],0)</f>
        <v>0</v>
      </c>
      <c r="H142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5" s="21">
        <f>IFERROR(Tabla54[[#This Row],[Atendidas]]/Tabla54[[#This Row],[Recibidas]],0)</f>
        <v>0</v>
      </c>
    </row>
    <row r="1426" spans="2:9" x14ac:dyDescent="0.3">
      <c r="B1426" s="27">
        <f t="shared" si="64"/>
        <v>46233</v>
      </c>
      <c r="C1426" s="18">
        <v>0.58333333333333304</v>
      </c>
      <c r="D1426" s="19">
        <f>+SUMIFS(Regiones[Ofrecidas],Regiones[Fecha],Tabla54[[#This Row],[Fecha]],Regiones[Intervalo],Tabla54[[#This Row],[Intervalo]],Regiones[Skill],'BUPA Seguros'!$L$3)</f>
        <v>0</v>
      </c>
      <c r="E1426" s="19">
        <f>+SUMIFS(Regiones[Contestadas],Regiones[Fecha],Tabla54[[#This Row],[Fecha]],Regiones[Intervalo],Tabla54[[#This Row],[Intervalo]],Regiones[Skill],'BUPA Seguros'!$L$3)</f>
        <v>0</v>
      </c>
      <c r="F1426" s="20">
        <v>27.898850652666514</v>
      </c>
      <c r="G1426" s="19">
        <f>IFERROR(SUMIFS(Regiones[TMO],Regiones[Fecha],Tabla54[[#This Row],[Fecha]],Regiones[Intervalo],Tabla54[[#This Row],[Intervalo]],Regiones[Skill],'BUPA Seguros'!$L$3)/Tabla54[[#This Row],[Atendidas]],0)</f>
        <v>0</v>
      </c>
      <c r="H142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6" s="21">
        <f>IFERROR(Tabla54[[#This Row],[Atendidas]]/Tabla54[[#This Row],[Recibidas]],0)</f>
        <v>0</v>
      </c>
    </row>
    <row r="1427" spans="2:9" x14ac:dyDescent="0.3">
      <c r="B1427" s="25">
        <f t="shared" si="64"/>
        <v>46233</v>
      </c>
      <c r="C1427" s="26">
        <v>0.60416666666666696</v>
      </c>
      <c r="D1427" s="19">
        <f>+SUMIFS(Regiones[Ofrecidas],Regiones[Fecha],Tabla54[[#This Row],[Fecha]],Regiones[Intervalo],Tabla54[[#This Row],[Intervalo]],Regiones[Skill],'BUPA Seguros'!$L$3)</f>
        <v>0</v>
      </c>
      <c r="E1427" s="19">
        <f>+SUMIFS(Regiones[Contestadas],Regiones[Fecha],Tabla54[[#This Row],[Fecha]],Regiones[Intervalo],Tabla54[[#This Row],[Intervalo]],Regiones[Skill],'BUPA Seguros'!$L$3)</f>
        <v>0</v>
      </c>
      <c r="F1427" s="20">
        <v>26.709069159551163</v>
      </c>
      <c r="G1427" s="19">
        <f>IFERROR(SUMIFS(Regiones[TMO],Regiones[Fecha],Tabla54[[#This Row],[Fecha]],Regiones[Intervalo],Tabla54[[#This Row],[Intervalo]],Regiones[Skill],'BUPA Seguros'!$L$3)/Tabla54[[#This Row],[Atendidas]],0)</f>
        <v>0</v>
      </c>
      <c r="H142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7" s="21">
        <f>IFERROR(Tabla54[[#This Row],[Atendidas]]/Tabla54[[#This Row],[Recibidas]],0)</f>
        <v>0</v>
      </c>
    </row>
    <row r="1428" spans="2:9" x14ac:dyDescent="0.3">
      <c r="B1428" s="27">
        <f t="shared" si="64"/>
        <v>46233</v>
      </c>
      <c r="C1428" s="18">
        <v>0.625</v>
      </c>
      <c r="D1428" s="19">
        <f>+SUMIFS(Regiones[Ofrecidas],Regiones[Fecha],Tabla54[[#This Row],[Fecha]],Regiones[Intervalo],Tabla54[[#This Row],[Intervalo]],Regiones[Skill],'BUPA Seguros'!$L$3)</f>
        <v>0</v>
      </c>
      <c r="E1428" s="19">
        <f>+SUMIFS(Regiones[Contestadas],Regiones[Fecha],Tabla54[[#This Row],[Fecha]],Regiones[Intervalo],Tabla54[[#This Row],[Intervalo]],Regiones[Skill],'BUPA Seguros'!$L$3)</f>
        <v>0</v>
      </c>
      <c r="F1428" s="20">
        <v>26.388743372943182</v>
      </c>
      <c r="G1428" s="19">
        <f>IFERROR(SUMIFS(Regiones[TMO],Regiones[Fecha],Tabla54[[#This Row],[Fecha]],Regiones[Intervalo],Tabla54[[#This Row],[Intervalo]],Regiones[Skill],'BUPA Seguros'!$L$3)/Tabla54[[#This Row],[Atendidas]],0)</f>
        <v>0</v>
      </c>
      <c r="H142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8" s="21">
        <f>IFERROR(Tabla54[[#This Row],[Atendidas]]/Tabla54[[#This Row],[Recibidas]],0)</f>
        <v>0</v>
      </c>
    </row>
    <row r="1429" spans="2:9" x14ac:dyDescent="0.3">
      <c r="B1429" s="25">
        <f t="shared" si="64"/>
        <v>46233</v>
      </c>
      <c r="C1429" s="26">
        <v>0.64583333333333304</v>
      </c>
      <c r="D1429" s="19">
        <f>+SUMIFS(Regiones[Ofrecidas],Regiones[Fecha],Tabla54[[#This Row],[Fecha]],Regiones[Intervalo],Tabla54[[#This Row],[Intervalo]],Regiones[Skill],'BUPA Seguros'!$L$3)</f>
        <v>0</v>
      </c>
      <c r="E1429" s="19">
        <f>+SUMIFS(Regiones[Contestadas],Regiones[Fecha],Tabla54[[#This Row],[Fecha]],Regiones[Intervalo],Tabla54[[#This Row],[Intervalo]],Regiones[Skill],'BUPA Seguros'!$L$3)</f>
        <v>0</v>
      </c>
      <c r="F1429" s="20">
        <v>26.327728937398799</v>
      </c>
      <c r="G1429" s="19">
        <f>IFERROR(SUMIFS(Regiones[TMO],Regiones[Fecha],Tabla54[[#This Row],[Fecha]],Regiones[Intervalo],Tabla54[[#This Row],[Intervalo]],Regiones[Skill],'BUPA Seguros'!$L$3)/Tabla54[[#This Row],[Atendidas]],0)</f>
        <v>0</v>
      </c>
      <c r="H142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29" s="21">
        <f>IFERROR(Tabla54[[#This Row],[Atendidas]]/Tabla54[[#This Row],[Recibidas]],0)</f>
        <v>0</v>
      </c>
    </row>
    <row r="1430" spans="2:9" x14ac:dyDescent="0.3">
      <c r="B1430" s="27">
        <f t="shared" si="64"/>
        <v>46233</v>
      </c>
      <c r="C1430" s="18">
        <v>0.66666666666666696</v>
      </c>
      <c r="D1430" s="19">
        <f>+SUMIFS(Regiones[Ofrecidas],Regiones[Fecha],Tabla54[[#This Row],[Fecha]],Regiones[Intervalo],Tabla54[[#This Row],[Intervalo]],Regiones[Skill],'BUPA Seguros'!$L$3)</f>
        <v>0</v>
      </c>
      <c r="E1430" s="19">
        <f>+SUMIFS(Regiones[Contestadas],Regiones[Fecha],Tabla54[[#This Row],[Fecha]],Regiones[Intervalo],Tabla54[[#This Row],[Intervalo]],Regiones[Skill],'BUPA Seguros'!$L$3)</f>
        <v>0</v>
      </c>
      <c r="F1430" s="20">
        <v>26.632801115120689</v>
      </c>
      <c r="G1430" s="19">
        <f>IFERROR(SUMIFS(Regiones[TMO],Regiones[Fecha],Tabla54[[#This Row],[Fecha]],Regiones[Intervalo],Tabla54[[#This Row],[Intervalo]],Regiones[Skill],'BUPA Seguros'!$L$3)/Tabla54[[#This Row],[Atendidas]],0)</f>
        <v>0</v>
      </c>
      <c r="H143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0" s="21">
        <f>IFERROR(Tabla54[[#This Row],[Atendidas]]/Tabla54[[#This Row],[Recibidas]],0)</f>
        <v>0</v>
      </c>
    </row>
    <row r="1431" spans="2:9" x14ac:dyDescent="0.3">
      <c r="B1431" s="25">
        <f t="shared" si="64"/>
        <v>46233</v>
      </c>
      <c r="C1431" s="26">
        <v>0.6875</v>
      </c>
      <c r="D1431" s="19">
        <f>+SUMIFS(Regiones[Ofrecidas],Regiones[Fecha],Tabla54[[#This Row],[Fecha]],Regiones[Intervalo],Tabla54[[#This Row],[Intervalo]],Regiones[Skill],'BUPA Seguros'!$L$3)</f>
        <v>0</v>
      </c>
      <c r="E1431" s="19">
        <f>+SUMIFS(Regiones[Contestadas],Regiones[Fecha],Tabla54[[#This Row],[Fecha]],Regiones[Intervalo],Tabla54[[#This Row],[Intervalo]],Regiones[Skill],'BUPA Seguros'!$L$3)</f>
        <v>0</v>
      </c>
      <c r="F1431" s="20">
        <v>26.442131004044509</v>
      </c>
      <c r="G1431" s="19">
        <f>IFERROR(SUMIFS(Regiones[TMO],Regiones[Fecha],Tabla54[[#This Row],[Fecha]],Regiones[Intervalo],Tabla54[[#This Row],[Intervalo]],Regiones[Skill],'BUPA Seguros'!$L$3)/Tabla54[[#This Row],[Atendidas]],0)</f>
        <v>0</v>
      </c>
      <c r="H143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1" s="21">
        <f>IFERROR(Tabla54[[#This Row],[Atendidas]]/Tabla54[[#This Row],[Recibidas]],0)</f>
        <v>0</v>
      </c>
    </row>
    <row r="1432" spans="2:9" x14ac:dyDescent="0.3">
      <c r="B1432" s="27">
        <f t="shared" si="64"/>
        <v>46233</v>
      </c>
      <c r="C1432" s="18">
        <v>0.70833333333333304</v>
      </c>
      <c r="D1432" s="19">
        <f>+SUMIFS(Regiones[Ofrecidas],Regiones[Fecha],Tabla54[[#This Row],[Fecha]],Regiones[Intervalo],Tabla54[[#This Row],[Intervalo]],Regiones[Skill],'BUPA Seguros'!$L$3)</f>
        <v>0</v>
      </c>
      <c r="E1432" s="19">
        <f>+SUMIFS(Regiones[Contestadas],Regiones[Fecha],Tabla54[[#This Row],[Fecha]],Regiones[Intervalo],Tabla54[[#This Row],[Intervalo]],Regiones[Skill],'BUPA Seguros'!$L$3)</f>
        <v>0</v>
      </c>
      <c r="F1432" s="20">
        <v>26.278154708518993</v>
      </c>
      <c r="G1432" s="19">
        <f>IFERROR(SUMIFS(Regiones[TMO],Regiones[Fecha],Tabla54[[#This Row],[Fecha]],Regiones[Intervalo],Tabla54[[#This Row],[Intervalo]],Regiones[Skill],'BUPA Seguros'!$L$3)/Tabla54[[#This Row],[Atendidas]],0)</f>
        <v>0</v>
      </c>
      <c r="H143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2" s="21">
        <f>IFERROR(Tabla54[[#This Row],[Atendidas]]/Tabla54[[#This Row],[Recibidas]],0)</f>
        <v>0</v>
      </c>
    </row>
    <row r="1433" spans="2:9" x14ac:dyDescent="0.3">
      <c r="B1433" s="25">
        <f t="shared" si="64"/>
        <v>46233</v>
      </c>
      <c r="C1433" s="26">
        <v>0.72916666666666696</v>
      </c>
      <c r="D1433" s="19">
        <f>+SUMIFS(Regiones[Ofrecidas],Regiones[Fecha],Tabla54[[#This Row],[Fecha]],Regiones[Intervalo],Tabla54[[#This Row],[Intervalo]],Regiones[Skill],'BUPA Seguros'!$L$3)</f>
        <v>0</v>
      </c>
      <c r="E1433" s="19">
        <f>+SUMIFS(Regiones[Contestadas],Regiones[Fecha],Tabla54[[#This Row],[Fecha]],Regiones[Intervalo],Tabla54[[#This Row],[Intervalo]],Regiones[Skill],'BUPA Seguros'!$L$3)</f>
        <v>0</v>
      </c>
      <c r="F1433" s="20">
        <v>25.294296935365907</v>
      </c>
      <c r="G1433" s="19">
        <f>IFERROR(SUMIFS(Regiones[TMO],Regiones[Fecha],Tabla54[[#This Row],[Fecha]],Regiones[Intervalo],Tabla54[[#This Row],[Intervalo]],Regiones[Skill],'BUPA Seguros'!$L$3)/Tabla54[[#This Row],[Atendidas]],0)</f>
        <v>0</v>
      </c>
      <c r="H143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3" s="21">
        <f>IFERROR(Tabla54[[#This Row],[Atendidas]]/Tabla54[[#This Row],[Recibidas]],0)</f>
        <v>0</v>
      </c>
    </row>
    <row r="1434" spans="2:9" x14ac:dyDescent="0.3">
      <c r="B1434" s="27">
        <f t="shared" si="64"/>
        <v>46233</v>
      </c>
      <c r="C1434" s="18">
        <v>0.75</v>
      </c>
      <c r="D1434" s="19">
        <f>+SUMIFS(Regiones[Ofrecidas],Regiones[Fecha],Tabla54[[#This Row],[Fecha]],Regiones[Intervalo],Tabla54[[#This Row],[Intervalo]],Regiones[Skill],'BUPA Seguros'!$L$3)</f>
        <v>0</v>
      </c>
      <c r="E1434" s="19">
        <f>+SUMIFS(Regiones[Contestadas],Regiones[Fecha],Tabla54[[#This Row],[Fecha]],Regiones[Intervalo],Tabla54[[#This Row],[Intervalo]],Regiones[Skill],'BUPA Seguros'!$L$3)</f>
        <v>0</v>
      </c>
      <c r="F1434" s="20">
        <v>0</v>
      </c>
      <c r="G1434" s="19">
        <f>IFERROR(SUMIFS(Regiones[TMO],Regiones[Fecha],Tabla54[[#This Row],[Fecha]],Regiones[Intervalo],Tabla54[[#This Row],[Intervalo]],Regiones[Skill],'BUPA Seguros'!$L$3)/Tabla54[[#This Row],[Atendidas]],0)</f>
        <v>0</v>
      </c>
      <c r="H143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4" s="21">
        <f>IFERROR(Tabla54[[#This Row],[Atendidas]]/Tabla54[[#This Row],[Recibidas]],0)</f>
        <v>0</v>
      </c>
    </row>
    <row r="1435" spans="2:9" x14ac:dyDescent="0.3">
      <c r="B1435" s="25">
        <f t="shared" si="64"/>
        <v>46233</v>
      </c>
      <c r="C1435" s="26">
        <v>0.77083333333333304</v>
      </c>
      <c r="D1435" s="19">
        <f>+SUMIFS(Regiones[Ofrecidas],Regiones[Fecha],Tabla54[[#This Row],[Fecha]],Regiones[Intervalo],Tabla54[[#This Row],[Intervalo]],Regiones[Skill],'BUPA Seguros'!$L$3)</f>
        <v>0</v>
      </c>
      <c r="E1435" s="19">
        <f>+SUMIFS(Regiones[Contestadas],Regiones[Fecha],Tabla54[[#This Row],[Fecha]],Regiones[Intervalo],Tabla54[[#This Row],[Intervalo]],Regiones[Skill],'BUPA Seguros'!$L$3)</f>
        <v>0</v>
      </c>
      <c r="F1435" s="20">
        <v>0</v>
      </c>
      <c r="G1435" s="19">
        <f>IFERROR(SUMIFS(Regiones[TMO],Regiones[Fecha],Tabla54[[#This Row],[Fecha]],Regiones[Intervalo],Tabla54[[#This Row],[Intervalo]],Regiones[Skill],'BUPA Seguros'!$L$3)/Tabla54[[#This Row],[Atendidas]],0)</f>
        <v>0</v>
      </c>
      <c r="H143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5" s="21">
        <f>IFERROR(Tabla54[[#This Row],[Atendidas]]/Tabla54[[#This Row],[Recibidas]],0)</f>
        <v>0</v>
      </c>
    </row>
    <row r="1436" spans="2:9" x14ac:dyDescent="0.3">
      <c r="B1436" s="27">
        <f t="shared" si="64"/>
        <v>46233</v>
      </c>
      <c r="C1436" s="18">
        <v>0.79166666666666696</v>
      </c>
      <c r="D1436" s="19">
        <f>+SUMIFS(Regiones[Ofrecidas],Regiones[Fecha],Tabla54[[#This Row],[Fecha]],Regiones[Intervalo],Tabla54[[#This Row],[Intervalo]],Regiones[Skill],'BUPA Seguros'!$L$3)</f>
        <v>0</v>
      </c>
      <c r="E1436" s="19">
        <f>+SUMIFS(Regiones[Contestadas],Regiones[Fecha],Tabla54[[#This Row],[Fecha]],Regiones[Intervalo],Tabla54[[#This Row],[Intervalo]],Regiones[Skill],'BUPA Seguros'!$L$3)</f>
        <v>0</v>
      </c>
      <c r="F1436" s="20">
        <v>0</v>
      </c>
      <c r="G1436" s="19">
        <f>IFERROR(SUMIFS(Regiones[TMO],Regiones[Fecha],Tabla54[[#This Row],[Fecha]],Regiones[Intervalo],Tabla54[[#This Row],[Intervalo]],Regiones[Skill],'BUPA Seguros'!$L$3)/Tabla54[[#This Row],[Atendidas]],0)</f>
        <v>0</v>
      </c>
      <c r="H143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6" s="21">
        <f>IFERROR(Tabla54[[#This Row],[Atendidas]]/Tabla54[[#This Row],[Recibidas]],0)</f>
        <v>0</v>
      </c>
    </row>
    <row r="1437" spans="2:9" x14ac:dyDescent="0.3">
      <c r="B1437" s="25">
        <f t="shared" si="64"/>
        <v>46233</v>
      </c>
      <c r="C1437" s="26">
        <v>0.8125</v>
      </c>
      <c r="D1437" s="19">
        <f>+SUMIFS(Regiones[Ofrecidas],Regiones[Fecha],Tabla54[[#This Row],[Fecha]],Regiones[Intervalo],Tabla54[[#This Row],[Intervalo]],Regiones[Skill],'BUPA Seguros'!$L$3)</f>
        <v>0</v>
      </c>
      <c r="E1437" s="19">
        <f>+SUMIFS(Regiones[Contestadas],Regiones[Fecha],Tabla54[[#This Row],[Fecha]],Regiones[Intervalo],Tabla54[[#This Row],[Intervalo]],Regiones[Skill],'BUPA Seguros'!$L$3)</f>
        <v>0</v>
      </c>
      <c r="F1437" s="20">
        <v>0</v>
      </c>
      <c r="G1437" s="19">
        <f>IFERROR(SUMIFS(Regiones[TMO],Regiones[Fecha],Tabla54[[#This Row],[Fecha]],Regiones[Intervalo],Tabla54[[#This Row],[Intervalo]],Regiones[Skill],'BUPA Seguros'!$L$3)/Tabla54[[#This Row],[Atendidas]],0)</f>
        <v>0</v>
      </c>
      <c r="H143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7" s="21">
        <f>IFERROR(Tabla54[[#This Row],[Atendidas]]/Tabla54[[#This Row],[Recibidas]],0)</f>
        <v>0</v>
      </c>
    </row>
    <row r="1438" spans="2:9" x14ac:dyDescent="0.3">
      <c r="B1438" s="27">
        <f t="shared" si="64"/>
        <v>46233</v>
      </c>
      <c r="C1438" s="18">
        <v>0.83333333333333304</v>
      </c>
      <c r="D1438" s="19">
        <f>+SUMIFS(Regiones[Ofrecidas],Regiones[Fecha],Tabla54[[#This Row],[Fecha]],Regiones[Intervalo],Tabla54[[#This Row],[Intervalo]],Regiones[Skill],'BUPA Seguros'!$L$3)</f>
        <v>0</v>
      </c>
      <c r="E1438" s="19">
        <f>+SUMIFS(Regiones[Contestadas],Regiones[Fecha],Tabla54[[#This Row],[Fecha]],Regiones[Intervalo],Tabla54[[#This Row],[Intervalo]],Regiones[Skill],'BUPA Seguros'!$L$3)</f>
        <v>0</v>
      </c>
      <c r="F1438" s="20">
        <v>0</v>
      </c>
      <c r="G1438" s="19">
        <f>IFERROR(SUMIFS(Regiones[TMO],Regiones[Fecha],Tabla54[[#This Row],[Fecha]],Regiones[Intervalo],Tabla54[[#This Row],[Intervalo]],Regiones[Skill],'BUPA Seguros'!$L$3)/Tabla54[[#This Row],[Atendidas]],0)</f>
        <v>0</v>
      </c>
      <c r="H143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8" s="21">
        <f>IFERROR(Tabla54[[#This Row],[Atendidas]]/Tabla54[[#This Row],[Recibidas]],0)</f>
        <v>0</v>
      </c>
    </row>
    <row r="1439" spans="2:9" x14ac:dyDescent="0.3">
      <c r="B1439" s="25">
        <f t="shared" si="64"/>
        <v>46233</v>
      </c>
      <c r="C1439" s="26">
        <v>0.85416666666666696</v>
      </c>
      <c r="D1439" s="19">
        <f>+SUMIFS(Regiones[Ofrecidas],Regiones[Fecha],Tabla54[[#This Row],[Fecha]],Regiones[Intervalo],Tabla54[[#This Row],[Intervalo]],Regiones[Skill],'BUPA Seguros'!$L$3)</f>
        <v>0</v>
      </c>
      <c r="E1439" s="19">
        <f>+SUMIFS(Regiones[Contestadas],Regiones[Fecha],Tabla54[[#This Row],[Fecha]],Regiones[Intervalo],Tabla54[[#This Row],[Intervalo]],Regiones[Skill],'BUPA Seguros'!$L$3)</f>
        <v>0</v>
      </c>
      <c r="F1439" s="20">
        <v>0</v>
      </c>
      <c r="G1439" s="19">
        <f>IFERROR(SUMIFS(Regiones[TMO],Regiones[Fecha],Tabla54[[#This Row],[Fecha]],Regiones[Intervalo],Tabla54[[#This Row],[Intervalo]],Regiones[Skill],'BUPA Seguros'!$L$3)/Tabla54[[#This Row],[Atendidas]],0)</f>
        <v>0</v>
      </c>
      <c r="H143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39" s="21">
        <f>IFERROR(Tabla54[[#This Row],[Atendidas]]/Tabla54[[#This Row],[Recibidas]],0)</f>
        <v>0</v>
      </c>
    </row>
    <row r="1440" spans="2:9" x14ac:dyDescent="0.3">
      <c r="B1440" s="27">
        <f t="shared" si="64"/>
        <v>46233</v>
      </c>
      <c r="C1440" s="18">
        <v>0.875</v>
      </c>
      <c r="D1440" s="19">
        <f>+SUMIFS(Regiones[Ofrecidas],Regiones[Fecha],Tabla54[[#This Row],[Fecha]],Regiones[Intervalo],Tabla54[[#This Row],[Intervalo]],Regiones[Skill],'BUPA Seguros'!$L$3)</f>
        <v>0</v>
      </c>
      <c r="E1440" s="19">
        <f>+SUMIFS(Regiones[Contestadas],Regiones[Fecha],Tabla54[[#This Row],[Fecha]],Regiones[Intervalo],Tabla54[[#This Row],[Intervalo]],Regiones[Skill],'BUPA Seguros'!$L$3)</f>
        <v>0</v>
      </c>
      <c r="F1440" s="20">
        <v>0</v>
      </c>
      <c r="G1440" s="19">
        <f>IFERROR(SUMIFS(Regiones[TMO],Regiones[Fecha],Tabla54[[#This Row],[Fecha]],Regiones[Intervalo],Tabla54[[#This Row],[Intervalo]],Regiones[Skill],'BUPA Seguros'!$L$3)/Tabla54[[#This Row],[Atendidas]],0)</f>
        <v>0</v>
      </c>
      <c r="H144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0" s="21">
        <f>IFERROR(Tabla54[[#This Row],[Atendidas]]/Tabla54[[#This Row],[Recibidas]],0)</f>
        <v>0</v>
      </c>
    </row>
    <row r="1441" spans="2:9" x14ac:dyDescent="0.3">
      <c r="B1441" s="25">
        <f t="shared" si="64"/>
        <v>46233</v>
      </c>
      <c r="C1441" s="26">
        <v>0.89583333333333304</v>
      </c>
      <c r="D1441" s="19">
        <f>+SUMIFS(Regiones[Ofrecidas],Regiones[Fecha],Tabla54[[#This Row],[Fecha]],Regiones[Intervalo],Tabla54[[#This Row],[Intervalo]],Regiones[Skill],'BUPA Seguros'!$L$3)</f>
        <v>0</v>
      </c>
      <c r="E1441" s="19">
        <f>+SUMIFS(Regiones[Contestadas],Regiones[Fecha],Tabla54[[#This Row],[Fecha]],Regiones[Intervalo],Tabla54[[#This Row],[Intervalo]],Regiones[Skill],'BUPA Seguros'!$L$3)</f>
        <v>0</v>
      </c>
      <c r="F1441" s="20">
        <v>0</v>
      </c>
      <c r="G1441" s="19">
        <f>IFERROR(SUMIFS(Regiones[TMO],Regiones[Fecha],Tabla54[[#This Row],[Fecha]],Regiones[Intervalo],Tabla54[[#This Row],[Intervalo]],Regiones[Skill],'BUPA Seguros'!$L$3)/Tabla54[[#This Row],[Atendidas]],0)</f>
        <v>0</v>
      </c>
      <c r="H144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1" s="21">
        <f>IFERROR(Tabla54[[#This Row],[Atendidas]]/Tabla54[[#This Row],[Recibidas]],0)</f>
        <v>0</v>
      </c>
    </row>
    <row r="1442" spans="2:9" x14ac:dyDescent="0.3">
      <c r="B1442" s="27">
        <f t="shared" si="64"/>
        <v>46233</v>
      </c>
      <c r="C1442" s="18">
        <v>0.91666666666666696</v>
      </c>
      <c r="D1442" s="19">
        <f>+SUMIFS(Regiones[Ofrecidas],Regiones[Fecha],Tabla54[[#This Row],[Fecha]],Regiones[Intervalo],Tabla54[[#This Row],[Intervalo]],Regiones[Skill],'BUPA Seguros'!$L$3)</f>
        <v>0</v>
      </c>
      <c r="E1442" s="19">
        <f>+SUMIFS(Regiones[Contestadas],Regiones[Fecha],Tabla54[[#This Row],[Fecha]],Regiones[Intervalo],Tabla54[[#This Row],[Intervalo]],Regiones[Skill],'BUPA Seguros'!$L$3)</f>
        <v>0</v>
      </c>
      <c r="F1442" s="20">
        <v>0</v>
      </c>
      <c r="G1442" s="19">
        <f>IFERROR(SUMIFS(Regiones[TMO],Regiones[Fecha],Tabla54[[#This Row],[Fecha]],Regiones[Intervalo],Tabla54[[#This Row],[Intervalo]],Regiones[Skill],'BUPA Seguros'!$L$3)/Tabla54[[#This Row],[Atendidas]],0)</f>
        <v>0</v>
      </c>
      <c r="H144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2" s="21">
        <f>IFERROR(Tabla54[[#This Row],[Atendidas]]/Tabla54[[#This Row],[Recibidas]],0)</f>
        <v>0</v>
      </c>
    </row>
    <row r="1443" spans="2:9" x14ac:dyDescent="0.3">
      <c r="B1443" s="25">
        <f t="shared" si="64"/>
        <v>46233</v>
      </c>
      <c r="C1443" s="26">
        <v>0.9375</v>
      </c>
      <c r="D1443" s="19">
        <f>+SUMIFS(Regiones[Ofrecidas],Regiones[Fecha],Tabla54[[#This Row],[Fecha]],Regiones[Intervalo],Tabla54[[#This Row],[Intervalo]],Regiones[Skill],'BUPA Seguros'!$L$3)</f>
        <v>0</v>
      </c>
      <c r="E1443" s="19">
        <f>+SUMIFS(Regiones[Contestadas],Regiones[Fecha],Tabla54[[#This Row],[Fecha]],Regiones[Intervalo],Tabla54[[#This Row],[Intervalo]],Regiones[Skill],'BUPA Seguros'!$L$3)</f>
        <v>0</v>
      </c>
      <c r="F1443" s="20">
        <v>0</v>
      </c>
      <c r="G1443" s="19">
        <f>IFERROR(SUMIFS(Regiones[TMO],Regiones[Fecha],Tabla54[[#This Row],[Fecha]],Regiones[Intervalo],Tabla54[[#This Row],[Intervalo]],Regiones[Skill],'BUPA Seguros'!$L$3)/Tabla54[[#This Row],[Atendidas]],0)</f>
        <v>0</v>
      </c>
      <c r="H144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3" s="21">
        <f>IFERROR(Tabla54[[#This Row],[Atendidas]]/Tabla54[[#This Row],[Recibidas]],0)</f>
        <v>0</v>
      </c>
    </row>
    <row r="1444" spans="2:9" x14ac:dyDescent="0.3">
      <c r="B1444" s="27">
        <f t="shared" si="64"/>
        <v>46233</v>
      </c>
      <c r="C1444" s="18">
        <v>0.95833333333333304</v>
      </c>
      <c r="D1444" s="19">
        <f>+SUMIFS(Regiones[Ofrecidas],Regiones[Fecha],Tabla54[[#This Row],[Fecha]],Regiones[Intervalo],Tabla54[[#This Row],[Intervalo]],Regiones[Skill],'BUPA Seguros'!$L$3)</f>
        <v>0</v>
      </c>
      <c r="E1444" s="19">
        <f>+SUMIFS(Regiones[Contestadas],Regiones[Fecha],Tabla54[[#This Row],[Fecha]],Regiones[Intervalo],Tabla54[[#This Row],[Intervalo]],Regiones[Skill],'BUPA Seguros'!$L$3)</f>
        <v>0</v>
      </c>
      <c r="F1444" s="20">
        <v>0</v>
      </c>
      <c r="G1444" s="19">
        <f>IFERROR(SUMIFS(Regiones[TMO],Regiones[Fecha],Tabla54[[#This Row],[Fecha]],Regiones[Intervalo],Tabla54[[#This Row],[Intervalo]],Regiones[Skill],'BUPA Seguros'!$L$3)/Tabla54[[#This Row],[Atendidas]],0)</f>
        <v>0</v>
      </c>
      <c r="H144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4" s="21">
        <f>IFERROR(Tabla54[[#This Row],[Atendidas]]/Tabla54[[#This Row],[Recibidas]],0)</f>
        <v>0</v>
      </c>
    </row>
    <row r="1445" spans="2:9" x14ac:dyDescent="0.3">
      <c r="B1445" s="25">
        <f t="shared" si="64"/>
        <v>46233</v>
      </c>
      <c r="C1445" s="26">
        <v>0.97916666666666696</v>
      </c>
      <c r="D1445" s="19">
        <f>+SUMIFS(Regiones[Ofrecidas],Regiones[Fecha],Tabla54[[#This Row],[Fecha]],Regiones[Intervalo],Tabla54[[#This Row],[Intervalo]],Regiones[Skill],'BUPA Seguros'!$L$3)</f>
        <v>0</v>
      </c>
      <c r="E1445" s="19">
        <f>+SUMIFS(Regiones[Contestadas],Regiones[Fecha],Tabla54[[#This Row],[Fecha]],Regiones[Intervalo],Tabla54[[#This Row],[Intervalo]],Regiones[Skill],'BUPA Seguros'!$L$3)</f>
        <v>0</v>
      </c>
      <c r="F1445" s="20">
        <v>0</v>
      </c>
      <c r="G1445" s="19">
        <f>IFERROR(SUMIFS(Regiones[TMO],Regiones[Fecha],Tabla54[[#This Row],[Fecha]],Regiones[Intervalo],Tabla54[[#This Row],[Intervalo]],Regiones[Skill],'BUPA Seguros'!$L$3)/Tabla54[[#This Row],[Atendidas]],0)</f>
        <v>0</v>
      </c>
      <c r="H144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5" s="21">
        <f>IFERROR(Tabla54[[#This Row],[Atendidas]]/Tabla54[[#This Row],[Recibidas]],0)</f>
        <v>0</v>
      </c>
    </row>
    <row r="1446" spans="2:9" x14ac:dyDescent="0.3">
      <c r="B1446" s="27">
        <f t="shared" ref="B1446" si="65">+B1445+1</f>
        <v>46234</v>
      </c>
      <c r="C1446" s="18">
        <v>0</v>
      </c>
      <c r="D1446" s="19">
        <f>+SUMIFS(Regiones[Ofrecidas],Regiones[Fecha],Tabla54[[#This Row],[Fecha]],Regiones[Intervalo],Tabla54[[#This Row],[Intervalo]],Regiones[Skill],'BUPA Seguros'!$L$3)</f>
        <v>0</v>
      </c>
      <c r="E1446" s="19">
        <f>+SUMIFS(Regiones[Contestadas],Regiones[Fecha],Tabla54[[#This Row],[Fecha]],Regiones[Intervalo],Tabla54[[#This Row],[Intervalo]],Regiones[Skill],'BUPA Seguros'!$L$3)</f>
        <v>0</v>
      </c>
      <c r="F1446" s="35">
        <v>0</v>
      </c>
      <c r="G1446" s="19">
        <f>IFERROR(SUMIFS(Regiones[TMO],Regiones[Fecha],Tabla54[[#This Row],[Fecha]],Regiones[Intervalo],Tabla54[[#This Row],[Intervalo]],Regiones[Skill],'BUPA Seguros'!$L$3)/Tabla54[[#This Row],[Atendidas]],0)</f>
        <v>0</v>
      </c>
      <c r="H144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6" s="21">
        <f>IFERROR(Tabla54[[#This Row],[Atendidas]]/Tabla54[[#This Row],[Recibidas]],0)</f>
        <v>0</v>
      </c>
    </row>
    <row r="1447" spans="2:9" x14ac:dyDescent="0.3">
      <c r="B1447" s="25">
        <f t="shared" ref="B1447:B1493" si="66">+B1446</f>
        <v>46234</v>
      </c>
      <c r="C1447" s="26">
        <v>2.0833333333333332E-2</v>
      </c>
      <c r="D1447" s="19">
        <f>+SUMIFS(Regiones[Ofrecidas],Regiones[Fecha],Tabla54[[#This Row],[Fecha]],Regiones[Intervalo],Tabla54[[#This Row],[Intervalo]],Regiones[Skill],'BUPA Seguros'!$L$3)</f>
        <v>0</v>
      </c>
      <c r="E1447" s="19">
        <f>+SUMIFS(Regiones[Contestadas],Regiones[Fecha],Tabla54[[#This Row],[Fecha]],Regiones[Intervalo],Tabla54[[#This Row],[Intervalo]],Regiones[Skill],'BUPA Seguros'!$L$3)</f>
        <v>0</v>
      </c>
      <c r="F1447" s="35">
        <v>0</v>
      </c>
      <c r="G1447" s="19">
        <f>IFERROR(SUMIFS(Regiones[TMO],Regiones[Fecha],Tabla54[[#This Row],[Fecha]],Regiones[Intervalo],Tabla54[[#This Row],[Intervalo]],Regiones[Skill],'BUPA Seguros'!$L$3)/Tabla54[[#This Row],[Atendidas]],0)</f>
        <v>0</v>
      </c>
      <c r="H144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7" s="21">
        <f>IFERROR(Tabla54[[#This Row],[Atendidas]]/Tabla54[[#This Row],[Recibidas]],0)</f>
        <v>0</v>
      </c>
    </row>
    <row r="1448" spans="2:9" x14ac:dyDescent="0.3">
      <c r="B1448" s="27">
        <f t="shared" si="66"/>
        <v>46234</v>
      </c>
      <c r="C1448" s="18">
        <v>4.1666666666666699E-2</v>
      </c>
      <c r="D1448" s="19">
        <f>+SUMIFS(Regiones[Ofrecidas],Regiones[Fecha],Tabla54[[#This Row],[Fecha]],Regiones[Intervalo],Tabla54[[#This Row],[Intervalo]],Regiones[Skill],'BUPA Seguros'!$L$3)</f>
        <v>0</v>
      </c>
      <c r="E1448" s="19">
        <f>+SUMIFS(Regiones[Contestadas],Regiones[Fecha],Tabla54[[#This Row],[Fecha]],Regiones[Intervalo],Tabla54[[#This Row],[Intervalo]],Regiones[Skill],'BUPA Seguros'!$L$3)</f>
        <v>0</v>
      </c>
      <c r="F1448" s="35">
        <v>0</v>
      </c>
      <c r="G1448" s="19">
        <f>IFERROR(SUMIFS(Regiones[TMO],Regiones[Fecha],Tabla54[[#This Row],[Fecha]],Regiones[Intervalo],Tabla54[[#This Row],[Intervalo]],Regiones[Skill],'BUPA Seguros'!$L$3)/Tabla54[[#This Row],[Atendidas]],0)</f>
        <v>0</v>
      </c>
      <c r="H144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8" s="21">
        <f>IFERROR(Tabla54[[#This Row],[Atendidas]]/Tabla54[[#This Row],[Recibidas]],0)</f>
        <v>0</v>
      </c>
    </row>
    <row r="1449" spans="2:9" x14ac:dyDescent="0.3">
      <c r="B1449" s="25">
        <f t="shared" si="66"/>
        <v>46234</v>
      </c>
      <c r="C1449" s="26">
        <v>6.25E-2</v>
      </c>
      <c r="D1449" s="19">
        <f>+SUMIFS(Regiones[Ofrecidas],Regiones[Fecha],Tabla54[[#This Row],[Fecha]],Regiones[Intervalo],Tabla54[[#This Row],[Intervalo]],Regiones[Skill],'BUPA Seguros'!$L$3)</f>
        <v>0</v>
      </c>
      <c r="E1449" s="19">
        <f>+SUMIFS(Regiones[Contestadas],Regiones[Fecha],Tabla54[[#This Row],[Fecha]],Regiones[Intervalo],Tabla54[[#This Row],[Intervalo]],Regiones[Skill],'BUPA Seguros'!$L$3)</f>
        <v>0</v>
      </c>
      <c r="F1449" s="35">
        <v>0</v>
      </c>
      <c r="G1449" s="19">
        <f>IFERROR(SUMIFS(Regiones[TMO],Regiones[Fecha],Tabla54[[#This Row],[Fecha]],Regiones[Intervalo],Tabla54[[#This Row],[Intervalo]],Regiones[Skill],'BUPA Seguros'!$L$3)/Tabla54[[#This Row],[Atendidas]],0)</f>
        <v>0</v>
      </c>
      <c r="H144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49" s="21">
        <f>IFERROR(Tabla54[[#This Row],[Atendidas]]/Tabla54[[#This Row],[Recibidas]],0)</f>
        <v>0</v>
      </c>
    </row>
    <row r="1450" spans="2:9" x14ac:dyDescent="0.3">
      <c r="B1450" s="27">
        <f t="shared" si="66"/>
        <v>46234</v>
      </c>
      <c r="C1450" s="18">
        <v>8.3333333333333301E-2</v>
      </c>
      <c r="D1450" s="19">
        <f>+SUMIFS(Regiones[Ofrecidas],Regiones[Fecha],Tabla54[[#This Row],[Fecha]],Regiones[Intervalo],Tabla54[[#This Row],[Intervalo]],Regiones[Skill],'BUPA Seguros'!$L$3)</f>
        <v>0</v>
      </c>
      <c r="E1450" s="19">
        <f>+SUMIFS(Regiones[Contestadas],Regiones[Fecha],Tabla54[[#This Row],[Fecha]],Regiones[Intervalo],Tabla54[[#This Row],[Intervalo]],Regiones[Skill],'BUPA Seguros'!$L$3)</f>
        <v>0</v>
      </c>
      <c r="F1450" s="35">
        <v>0</v>
      </c>
      <c r="G1450" s="19">
        <f>IFERROR(SUMIFS(Regiones[TMO],Regiones[Fecha],Tabla54[[#This Row],[Fecha]],Regiones[Intervalo],Tabla54[[#This Row],[Intervalo]],Regiones[Skill],'BUPA Seguros'!$L$3)/Tabla54[[#This Row],[Atendidas]],0)</f>
        <v>0</v>
      </c>
      <c r="H145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0" s="21">
        <f>IFERROR(Tabla54[[#This Row],[Atendidas]]/Tabla54[[#This Row],[Recibidas]],0)</f>
        <v>0</v>
      </c>
    </row>
    <row r="1451" spans="2:9" x14ac:dyDescent="0.3">
      <c r="B1451" s="25">
        <f t="shared" si="66"/>
        <v>46234</v>
      </c>
      <c r="C1451" s="26">
        <v>0.104166666666667</v>
      </c>
      <c r="D1451" s="19">
        <f>+SUMIFS(Regiones[Ofrecidas],Regiones[Fecha],Tabla54[[#This Row],[Fecha]],Regiones[Intervalo],Tabla54[[#This Row],[Intervalo]],Regiones[Skill],'BUPA Seguros'!$L$3)</f>
        <v>0</v>
      </c>
      <c r="E1451" s="19">
        <f>+SUMIFS(Regiones[Contestadas],Regiones[Fecha],Tabla54[[#This Row],[Fecha]],Regiones[Intervalo],Tabla54[[#This Row],[Intervalo]],Regiones[Skill],'BUPA Seguros'!$L$3)</f>
        <v>0</v>
      </c>
      <c r="F1451" s="35">
        <v>0</v>
      </c>
      <c r="G1451" s="19">
        <f>IFERROR(SUMIFS(Regiones[TMO],Regiones[Fecha],Tabla54[[#This Row],[Fecha]],Regiones[Intervalo],Tabla54[[#This Row],[Intervalo]],Regiones[Skill],'BUPA Seguros'!$L$3)/Tabla54[[#This Row],[Atendidas]],0)</f>
        <v>0</v>
      </c>
      <c r="H145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1" s="21">
        <f>IFERROR(Tabla54[[#This Row],[Atendidas]]/Tabla54[[#This Row],[Recibidas]],0)</f>
        <v>0</v>
      </c>
    </row>
    <row r="1452" spans="2:9" x14ac:dyDescent="0.3">
      <c r="B1452" s="27">
        <f t="shared" si="66"/>
        <v>46234</v>
      </c>
      <c r="C1452" s="18">
        <v>0.125</v>
      </c>
      <c r="D1452" s="19">
        <f>+SUMIFS(Regiones[Ofrecidas],Regiones[Fecha],Tabla54[[#This Row],[Fecha]],Regiones[Intervalo],Tabla54[[#This Row],[Intervalo]],Regiones[Skill],'BUPA Seguros'!$L$3)</f>
        <v>0</v>
      </c>
      <c r="E1452" s="19">
        <f>+SUMIFS(Regiones[Contestadas],Regiones[Fecha],Tabla54[[#This Row],[Fecha]],Regiones[Intervalo],Tabla54[[#This Row],[Intervalo]],Regiones[Skill],'BUPA Seguros'!$L$3)</f>
        <v>0</v>
      </c>
      <c r="F1452" s="35">
        <v>0</v>
      </c>
      <c r="G1452" s="19">
        <f>IFERROR(SUMIFS(Regiones[TMO],Regiones[Fecha],Tabla54[[#This Row],[Fecha]],Regiones[Intervalo],Tabla54[[#This Row],[Intervalo]],Regiones[Skill],'BUPA Seguros'!$L$3)/Tabla54[[#This Row],[Atendidas]],0)</f>
        <v>0</v>
      </c>
      <c r="H145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2" s="21">
        <f>IFERROR(Tabla54[[#This Row],[Atendidas]]/Tabla54[[#This Row],[Recibidas]],0)</f>
        <v>0</v>
      </c>
    </row>
    <row r="1453" spans="2:9" x14ac:dyDescent="0.3">
      <c r="B1453" s="25">
        <f t="shared" si="66"/>
        <v>46234</v>
      </c>
      <c r="C1453" s="26">
        <v>0.14583333333333301</v>
      </c>
      <c r="D1453" s="19">
        <f>+SUMIFS(Regiones[Ofrecidas],Regiones[Fecha],Tabla54[[#This Row],[Fecha]],Regiones[Intervalo],Tabla54[[#This Row],[Intervalo]],Regiones[Skill],'BUPA Seguros'!$L$3)</f>
        <v>0</v>
      </c>
      <c r="E1453" s="19">
        <f>+SUMIFS(Regiones[Contestadas],Regiones[Fecha],Tabla54[[#This Row],[Fecha]],Regiones[Intervalo],Tabla54[[#This Row],[Intervalo]],Regiones[Skill],'BUPA Seguros'!$L$3)</f>
        <v>0</v>
      </c>
      <c r="F1453" s="35">
        <v>0</v>
      </c>
      <c r="G1453" s="19">
        <f>IFERROR(SUMIFS(Regiones[TMO],Regiones[Fecha],Tabla54[[#This Row],[Fecha]],Regiones[Intervalo],Tabla54[[#This Row],[Intervalo]],Regiones[Skill],'BUPA Seguros'!$L$3)/Tabla54[[#This Row],[Atendidas]],0)</f>
        <v>0</v>
      </c>
      <c r="H145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3" s="21">
        <f>IFERROR(Tabla54[[#This Row],[Atendidas]]/Tabla54[[#This Row],[Recibidas]],0)</f>
        <v>0</v>
      </c>
    </row>
    <row r="1454" spans="2:9" x14ac:dyDescent="0.3">
      <c r="B1454" s="27">
        <f t="shared" si="66"/>
        <v>46234</v>
      </c>
      <c r="C1454" s="18">
        <v>0.16666666666666699</v>
      </c>
      <c r="D1454" s="19">
        <f>+SUMIFS(Regiones[Ofrecidas],Regiones[Fecha],Tabla54[[#This Row],[Fecha]],Regiones[Intervalo],Tabla54[[#This Row],[Intervalo]],Regiones[Skill],'BUPA Seguros'!$L$3)</f>
        <v>0</v>
      </c>
      <c r="E1454" s="19">
        <f>+SUMIFS(Regiones[Contestadas],Regiones[Fecha],Tabla54[[#This Row],[Fecha]],Regiones[Intervalo],Tabla54[[#This Row],[Intervalo]],Regiones[Skill],'BUPA Seguros'!$L$3)</f>
        <v>0</v>
      </c>
      <c r="F1454" s="35">
        <v>0</v>
      </c>
      <c r="G1454" s="19">
        <f>IFERROR(SUMIFS(Regiones[TMO],Regiones[Fecha],Tabla54[[#This Row],[Fecha]],Regiones[Intervalo],Tabla54[[#This Row],[Intervalo]],Regiones[Skill],'BUPA Seguros'!$L$3)/Tabla54[[#This Row],[Atendidas]],0)</f>
        <v>0</v>
      </c>
      <c r="H145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4" s="21">
        <f>IFERROR(Tabla54[[#This Row],[Atendidas]]/Tabla54[[#This Row],[Recibidas]],0)</f>
        <v>0</v>
      </c>
    </row>
    <row r="1455" spans="2:9" x14ac:dyDescent="0.3">
      <c r="B1455" s="25">
        <f t="shared" si="66"/>
        <v>46234</v>
      </c>
      <c r="C1455" s="26">
        <v>0.1875</v>
      </c>
      <c r="D1455" s="19">
        <f>+SUMIFS(Regiones[Ofrecidas],Regiones[Fecha],Tabla54[[#This Row],[Fecha]],Regiones[Intervalo],Tabla54[[#This Row],[Intervalo]],Regiones[Skill],'BUPA Seguros'!$L$3)</f>
        <v>0</v>
      </c>
      <c r="E1455" s="19">
        <f>+SUMIFS(Regiones[Contestadas],Regiones[Fecha],Tabla54[[#This Row],[Fecha]],Regiones[Intervalo],Tabla54[[#This Row],[Intervalo]],Regiones[Skill],'BUPA Seguros'!$L$3)</f>
        <v>0</v>
      </c>
      <c r="F1455" s="35">
        <v>0</v>
      </c>
      <c r="G1455" s="19">
        <f>IFERROR(SUMIFS(Regiones[TMO],Regiones[Fecha],Tabla54[[#This Row],[Fecha]],Regiones[Intervalo],Tabla54[[#This Row],[Intervalo]],Regiones[Skill],'BUPA Seguros'!$L$3)/Tabla54[[#This Row],[Atendidas]],0)</f>
        <v>0</v>
      </c>
      <c r="H145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5" s="21">
        <f>IFERROR(Tabla54[[#This Row],[Atendidas]]/Tabla54[[#This Row],[Recibidas]],0)</f>
        <v>0</v>
      </c>
    </row>
    <row r="1456" spans="2:9" x14ac:dyDescent="0.3">
      <c r="B1456" s="27">
        <f t="shared" si="66"/>
        <v>46234</v>
      </c>
      <c r="C1456" s="18">
        <v>0.20833333333333301</v>
      </c>
      <c r="D1456" s="19">
        <f>+SUMIFS(Regiones[Ofrecidas],Regiones[Fecha],Tabla54[[#This Row],[Fecha]],Regiones[Intervalo],Tabla54[[#This Row],[Intervalo]],Regiones[Skill],'BUPA Seguros'!$L$3)</f>
        <v>0</v>
      </c>
      <c r="E1456" s="19">
        <f>+SUMIFS(Regiones[Contestadas],Regiones[Fecha],Tabla54[[#This Row],[Fecha]],Regiones[Intervalo],Tabla54[[#This Row],[Intervalo]],Regiones[Skill],'BUPA Seguros'!$L$3)</f>
        <v>0</v>
      </c>
      <c r="F1456" s="35">
        <v>0</v>
      </c>
      <c r="G1456" s="19">
        <f>IFERROR(SUMIFS(Regiones[TMO],Regiones[Fecha],Tabla54[[#This Row],[Fecha]],Regiones[Intervalo],Tabla54[[#This Row],[Intervalo]],Regiones[Skill],'BUPA Seguros'!$L$3)/Tabla54[[#This Row],[Atendidas]],0)</f>
        <v>0</v>
      </c>
      <c r="H145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6" s="21">
        <f>IFERROR(Tabla54[[#This Row],[Atendidas]]/Tabla54[[#This Row],[Recibidas]],0)</f>
        <v>0</v>
      </c>
    </row>
    <row r="1457" spans="2:9" x14ac:dyDescent="0.3">
      <c r="B1457" s="25">
        <f t="shared" si="66"/>
        <v>46234</v>
      </c>
      <c r="C1457" s="26">
        <v>0.22916666666666699</v>
      </c>
      <c r="D1457" s="19">
        <f>+SUMIFS(Regiones[Ofrecidas],Regiones[Fecha],Tabla54[[#This Row],[Fecha]],Regiones[Intervalo],Tabla54[[#This Row],[Intervalo]],Regiones[Skill],'BUPA Seguros'!$L$3)</f>
        <v>0</v>
      </c>
      <c r="E1457" s="19">
        <f>+SUMIFS(Regiones[Contestadas],Regiones[Fecha],Tabla54[[#This Row],[Fecha]],Regiones[Intervalo],Tabla54[[#This Row],[Intervalo]],Regiones[Skill],'BUPA Seguros'!$L$3)</f>
        <v>0</v>
      </c>
      <c r="F1457" s="35">
        <v>0</v>
      </c>
      <c r="G1457" s="19">
        <f>IFERROR(SUMIFS(Regiones[TMO],Regiones[Fecha],Tabla54[[#This Row],[Fecha]],Regiones[Intervalo],Tabla54[[#This Row],[Intervalo]],Regiones[Skill],'BUPA Seguros'!$L$3)/Tabla54[[#This Row],[Atendidas]],0)</f>
        <v>0</v>
      </c>
      <c r="H145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7" s="21">
        <f>IFERROR(Tabla54[[#This Row],[Atendidas]]/Tabla54[[#This Row],[Recibidas]],0)</f>
        <v>0</v>
      </c>
    </row>
    <row r="1458" spans="2:9" x14ac:dyDescent="0.3">
      <c r="B1458" s="27">
        <f t="shared" si="66"/>
        <v>46234</v>
      </c>
      <c r="C1458" s="18">
        <v>0.25</v>
      </c>
      <c r="D1458" s="19">
        <f>+SUMIFS(Regiones[Ofrecidas],Regiones[Fecha],Tabla54[[#This Row],[Fecha]],Regiones[Intervalo],Tabla54[[#This Row],[Intervalo]],Regiones[Skill],'BUPA Seguros'!$L$3)</f>
        <v>0</v>
      </c>
      <c r="E1458" s="19">
        <f>+SUMIFS(Regiones[Contestadas],Regiones[Fecha],Tabla54[[#This Row],[Fecha]],Regiones[Intervalo],Tabla54[[#This Row],[Intervalo]],Regiones[Skill],'BUPA Seguros'!$L$3)</f>
        <v>0</v>
      </c>
      <c r="F1458" s="35">
        <v>0</v>
      </c>
      <c r="G1458" s="19">
        <f>IFERROR(SUMIFS(Regiones[TMO],Regiones[Fecha],Tabla54[[#This Row],[Fecha]],Regiones[Intervalo],Tabla54[[#This Row],[Intervalo]],Regiones[Skill],'BUPA Seguros'!$L$3)/Tabla54[[#This Row],[Atendidas]],0)</f>
        <v>0</v>
      </c>
      <c r="H145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8" s="21">
        <f>IFERROR(Tabla54[[#This Row],[Atendidas]]/Tabla54[[#This Row],[Recibidas]],0)</f>
        <v>0</v>
      </c>
    </row>
    <row r="1459" spans="2:9" x14ac:dyDescent="0.3">
      <c r="B1459" s="25">
        <f t="shared" si="66"/>
        <v>46234</v>
      </c>
      <c r="C1459" s="26">
        <v>0.27083333333333298</v>
      </c>
      <c r="D1459" s="19">
        <f>+SUMIFS(Regiones[Ofrecidas],Regiones[Fecha],Tabla54[[#This Row],[Fecha]],Regiones[Intervalo],Tabla54[[#This Row],[Intervalo]],Regiones[Skill],'BUPA Seguros'!$L$3)</f>
        <v>0</v>
      </c>
      <c r="E1459" s="19">
        <f>+SUMIFS(Regiones[Contestadas],Regiones[Fecha],Tabla54[[#This Row],[Fecha]],Regiones[Intervalo],Tabla54[[#This Row],[Intervalo]],Regiones[Skill],'BUPA Seguros'!$L$3)</f>
        <v>0</v>
      </c>
      <c r="F1459" s="35">
        <v>0</v>
      </c>
      <c r="G1459" s="19">
        <f>IFERROR(SUMIFS(Regiones[TMO],Regiones[Fecha],Tabla54[[#This Row],[Fecha]],Regiones[Intervalo],Tabla54[[#This Row],[Intervalo]],Regiones[Skill],'BUPA Seguros'!$L$3)/Tabla54[[#This Row],[Atendidas]],0)</f>
        <v>0</v>
      </c>
      <c r="H145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59" s="21">
        <f>IFERROR(Tabla54[[#This Row],[Atendidas]]/Tabla54[[#This Row],[Recibidas]],0)</f>
        <v>0</v>
      </c>
    </row>
    <row r="1460" spans="2:9" x14ac:dyDescent="0.3">
      <c r="B1460" s="27">
        <f t="shared" si="66"/>
        <v>46234</v>
      </c>
      <c r="C1460" s="18">
        <v>0.29166666666666702</v>
      </c>
      <c r="D1460" s="19">
        <f>+SUMIFS(Regiones[Ofrecidas],Regiones[Fecha],Tabla54[[#This Row],[Fecha]],Regiones[Intervalo],Tabla54[[#This Row],[Intervalo]],Regiones[Skill],'BUPA Seguros'!$L$3)</f>
        <v>0</v>
      </c>
      <c r="E1460" s="19">
        <f>+SUMIFS(Regiones[Contestadas],Regiones[Fecha],Tabla54[[#This Row],[Fecha]],Regiones[Intervalo],Tabla54[[#This Row],[Intervalo]],Regiones[Skill],'BUPA Seguros'!$L$3)</f>
        <v>0</v>
      </c>
      <c r="F1460" s="35">
        <v>0</v>
      </c>
      <c r="G1460" s="19">
        <f>IFERROR(SUMIFS(Regiones[TMO],Regiones[Fecha],Tabla54[[#This Row],[Fecha]],Regiones[Intervalo],Tabla54[[#This Row],[Intervalo]],Regiones[Skill],'BUPA Seguros'!$L$3)/Tabla54[[#This Row],[Atendidas]],0)</f>
        <v>0</v>
      </c>
      <c r="H146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0" s="21">
        <f>IFERROR(Tabla54[[#This Row],[Atendidas]]/Tabla54[[#This Row],[Recibidas]],0)</f>
        <v>0</v>
      </c>
    </row>
    <row r="1461" spans="2:9" x14ac:dyDescent="0.3">
      <c r="B1461" s="25">
        <f t="shared" si="66"/>
        <v>46234</v>
      </c>
      <c r="C1461" s="26">
        <v>0.3125</v>
      </c>
      <c r="D1461" s="19">
        <f>+SUMIFS(Regiones[Ofrecidas],Regiones[Fecha],Tabla54[[#This Row],[Fecha]],Regiones[Intervalo],Tabla54[[#This Row],[Intervalo]],Regiones[Skill],'BUPA Seguros'!$L$3)</f>
        <v>0</v>
      </c>
      <c r="E1461" s="19">
        <f>+SUMIFS(Regiones[Contestadas],Regiones[Fecha],Tabla54[[#This Row],[Fecha]],Regiones[Intervalo],Tabla54[[#This Row],[Intervalo]],Regiones[Skill],'BUPA Seguros'!$L$3)</f>
        <v>0</v>
      </c>
      <c r="F1461" s="35">
        <v>0</v>
      </c>
      <c r="G1461" s="19">
        <f>IFERROR(SUMIFS(Regiones[TMO],Regiones[Fecha],Tabla54[[#This Row],[Fecha]],Regiones[Intervalo],Tabla54[[#This Row],[Intervalo]],Regiones[Skill],'BUPA Seguros'!$L$3)/Tabla54[[#This Row],[Atendidas]],0)</f>
        <v>0</v>
      </c>
      <c r="H146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1" s="21">
        <f>IFERROR(Tabla54[[#This Row],[Atendidas]]/Tabla54[[#This Row],[Recibidas]],0)</f>
        <v>0</v>
      </c>
    </row>
    <row r="1462" spans="2:9" x14ac:dyDescent="0.3">
      <c r="B1462" s="27">
        <f t="shared" si="66"/>
        <v>46234</v>
      </c>
      <c r="C1462" s="18">
        <v>0.33333333333333298</v>
      </c>
      <c r="D1462" s="19">
        <f>+SUMIFS(Regiones[Ofrecidas],Regiones[Fecha],Tabla54[[#This Row],[Fecha]],Regiones[Intervalo],Tabla54[[#This Row],[Intervalo]],Regiones[Skill],'BUPA Seguros'!$L$3)</f>
        <v>0</v>
      </c>
      <c r="E1462" s="19">
        <f>+SUMIFS(Regiones[Contestadas],Regiones[Fecha],Tabla54[[#This Row],[Fecha]],Regiones[Intervalo],Tabla54[[#This Row],[Intervalo]],Regiones[Skill],'BUPA Seguros'!$L$3)</f>
        <v>0</v>
      </c>
      <c r="F1462" s="35">
        <v>0</v>
      </c>
      <c r="G1462" s="19">
        <f>IFERROR(SUMIFS(Regiones[TMO],Regiones[Fecha],Tabla54[[#This Row],[Fecha]],Regiones[Intervalo],Tabla54[[#This Row],[Intervalo]],Regiones[Skill],'BUPA Seguros'!$L$3)/Tabla54[[#This Row],[Atendidas]],0)</f>
        <v>0</v>
      </c>
      <c r="H146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2" s="21">
        <f>IFERROR(Tabla54[[#This Row],[Atendidas]]/Tabla54[[#This Row],[Recibidas]],0)</f>
        <v>0</v>
      </c>
    </row>
    <row r="1463" spans="2:9" x14ac:dyDescent="0.3">
      <c r="B1463" s="25">
        <f t="shared" si="66"/>
        <v>46234</v>
      </c>
      <c r="C1463" s="26">
        <v>0.35416666666666702</v>
      </c>
      <c r="D1463" s="19">
        <f>+SUMIFS(Regiones[Ofrecidas],Regiones[Fecha],Tabla54[[#This Row],[Fecha]],Regiones[Intervalo],Tabla54[[#This Row],[Intervalo]],Regiones[Skill],'BUPA Seguros'!$L$3)</f>
        <v>0</v>
      </c>
      <c r="E1463" s="19">
        <f>+SUMIFS(Regiones[Contestadas],Regiones[Fecha],Tabla54[[#This Row],[Fecha]],Regiones[Intervalo],Tabla54[[#This Row],[Intervalo]],Regiones[Skill],'BUPA Seguros'!$L$3)</f>
        <v>0</v>
      </c>
      <c r="F1463" s="35">
        <v>0</v>
      </c>
      <c r="G1463" s="19">
        <f>IFERROR(SUMIFS(Regiones[TMO],Regiones[Fecha],Tabla54[[#This Row],[Fecha]],Regiones[Intervalo],Tabla54[[#This Row],[Intervalo]],Regiones[Skill],'BUPA Seguros'!$L$3)/Tabla54[[#This Row],[Atendidas]],0)</f>
        <v>0</v>
      </c>
      <c r="H146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3" s="21">
        <f>IFERROR(Tabla54[[#This Row],[Atendidas]]/Tabla54[[#This Row],[Recibidas]],0)</f>
        <v>0</v>
      </c>
    </row>
    <row r="1464" spans="2:9" x14ac:dyDescent="0.3">
      <c r="B1464" s="27">
        <f t="shared" si="66"/>
        <v>46234</v>
      </c>
      <c r="C1464" s="18">
        <v>0.375</v>
      </c>
      <c r="D1464" s="19">
        <f>+SUMIFS(Regiones[Ofrecidas],Regiones[Fecha],Tabla54[[#This Row],[Fecha]],Regiones[Intervalo],Tabla54[[#This Row],[Intervalo]],Regiones[Skill],'BUPA Seguros'!$L$3)</f>
        <v>0</v>
      </c>
      <c r="E1464" s="19">
        <f>+SUMIFS(Regiones[Contestadas],Regiones[Fecha],Tabla54[[#This Row],[Fecha]],Regiones[Intervalo],Tabla54[[#This Row],[Intervalo]],Regiones[Skill],'BUPA Seguros'!$L$3)</f>
        <v>0</v>
      </c>
      <c r="F1464" s="35">
        <v>29.685380174835263</v>
      </c>
      <c r="G1464" s="19">
        <f>IFERROR(SUMIFS(Regiones[TMO],Regiones[Fecha],Tabla54[[#This Row],[Fecha]],Regiones[Intervalo],Tabla54[[#This Row],[Intervalo]],Regiones[Skill],'BUPA Seguros'!$L$3)/Tabla54[[#This Row],[Atendidas]],0)</f>
        <v>0</v>
      </c>
      <c r="H146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4" s="21">
        <f>IFERROR(Tabla54[[#This Row],[Atendidas]]/Tabla54[[#This Row],[Recibidas]],0)</f>
        <v>0</v>
      </c>
    </row>
    <row r="1465" spans="2:9" x14ac:dyDescent="0.3">
      <c r="B1465" s="25">
        <f t="shared" si="66"/>
        <v>46234</v>
      </c>
      <c r="C1465" s="26">
        <v>0.39583333333333298</v>
      </c>
      <c r="D1465" s="19">
        <f>+SUMIFS(Regiones[Ofrecidas],Regiones[Fecha],Tabla54[[#This Row],[Fecha]],Regiones[Intervalo],Tabla54[[#This Row],[Intervalo]],Regiones[Skill],'BUPA Seguros'!$L$3)</f>
        <v>0</v>
      </c>
      <c r="E1465" s="19">
        <f>+SUMIFS(Regiones[Contestadas],Regiones[Fecha],Tabla54[[#This Row],[Fecha]],Regiones[Intervalo],Tabla54[[#This Row],[Intervalo]],Regiones[Skill],'BUPA Seguros'!$L$3)</f>
        <v>0</v>
      </c>
      <c r="F1465" s="35">
        <v>30.846064470770767</v>
      </c>
      <c r="G1465" s="19">
        <f>IFERROR(SUMIFS(Regiones[TMO],Regiones[Fecha],Tabla54[[#This Row],[Fecha]],Regiones[Intervalo],Tabla54[[#This Row],[Intervalo]],Regiones[Skill],'BUPA Seguros'!$L$3)/Tabla54[[#This Row],[Atendidas]],0)</f>
        <v>0</v>
      </c>
      <c r="H146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5" s="21">
        <f>IFERROR(Tabla54[[#This Row],[Atendidas]]/Tabla54[[#This Row],[Recibidas]],0)</f>
        <v>0</v>
      </c>
    </row>
    <row r="1466" spans="2:9" x14ac:dyDescent="0.3">
      <c r="B1466" s="27">
        <f t="shared" si="66"/>
        <v>46234</v>
      </c>
      <c r="C1466" s="18">
        <v>0.41666666666666702</v>
      </c>
      <c r="D1466" s="19">
        <f>+SUMIFS(Regiones[Ofrecidas],Regiones[Fecha],Tabla54[[#This Row],[Fecha]],Regiones[Intervalo],Tabla54[[#This Row],[Intervalo]],Regiones[Skill],'BUPA Seguros'!$L$3)</f>
        <v>0</v>
      </c>
      <c r="E1466" s="19">
        <f>+SUMIFS(Regiones[Contestadas],Regiones[Fecha],Tabla54[[#This Row],[Fecha]],Regiones[Intervalo],Tabla54[[#This Row],[Intervalo]],Regiones[Skill],'BUPA Seguros'!$L$3)</f>
        <v>0</v>
      </c>
      <c r="F1466" s="35">
        <v>32.534332537586039</v>
      </c>
      <c r="G1466" s="19">
        <f>IFERROR(SUMIFS(Regiones[TMO],Regiones[Fecha],Tabla54[[#This Row],[Fecha]],Regiones[Intervalo],Tabla54[[#This Row],[Intervalo]],Regiones[Skill],'BUPA Seguros'!$L$3)/Tabla54[[#This Row],[Atendidas]],0)</f>
        <v>0</v>
      </c>
      <c r="H146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6" s="21">
        <f>IFERROR(Tabla54[[#This Row],[Atendidas]]/Tabla54[[#This Row],[Recibidas]],0)</f>
        <v>0</v>
      </c>
    </row>
    <row r="1467" spans="2:9" x14ac:dyDescent="0.3">
      <c r="B1467" s="25">
        <f t="shared" si="66"/>
        <v>46234</v>
      </c>
      <c r="C1467" s="26">
        <v>0.4375</v>
      </c>
      <c r="D1467" s="19">
        <f>+SUMIFS(Regiones[Ofrecidas],Regiones[Fecha],Tabla54[[#This Row],[Fecha]],Regiones[Intervalo],Tabla54[[#This Row],[Intervalo]],Regiones[Skill],'BUPA Seguros'!$L$3)</f>
        <v>0</v>
      </c>
      <c r="E1467" s="19">
        <f>+SUMIFS(Regiones[Contestadas],Regiones[Fecha],Tabla54[[#This Row],[Fecha]],Regiones[Intervalo],Tabla54[[#This Row],[Intervalo]],Regiones[Skill],'BUPA Seguros'!$L$3)</f>
        <v>0</v>
      </c>
      <c r="F1467" s="35">
        <v>32.475712118599397</v>
      </c>
      <c r="G1467" s="19">
        <f>IFERROR(SUMIFS(Regiones[TMO],Regiones[Fecha],Tabla54[[#This Row],[Fecha]],Regiones[Intervalo],Tabla54[[#This Row],[Intervalo]],Regiones[Skill],'BUPA Seguros'!$L$3)/Tabla54[[#This Row],[Atendidas]],0)</f>
        <v>0</v>
      </c>
      <c r="H146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7" s="21">
        <f>IFERROR(Tabla54[[#This Row],[Atendidas]]/Tabla54[[#This Row],[Recibidas]],0)</f>
        <v>0</v>
      </c>
    </row>
    <row r="1468" spans="2:9" x14ac:dyDescent="0.3">
      <c r="B1468" s="27">
        <f t="shared" si="66"/>
        <v>46234</v>
      </c>
      <c r="C1468" s="18">
        <v>0.45833333333333298</v>
      </c>
      <c r="D1468" s="19">
        <f>+SUMIFS(Regiones[Ofrecidas],Regiones[Fecha],Tabla54[[#This Row],[Fecha]],Regiones[Intervalo],Tabla54[[#This Row],[Intervalo]],Regiones[Skill],'BUPA Seguros'!$L$3)</f>
        <v>0</v>
      </c>
      <c r="E1468" s="19">
        <f>+SUMIFS(Regiones[Contestadas],Regiones[Fecha],Tabla54[[#This Row],[Fecha]],Regiones[Intervalo],Tabla54[[#This Row],[Intervalo]],Regiones[Skill],'BUPA Seguros'!$L$3)</f>
        <v>0</v>
      </c>
      <c r="F1468" s="35">
        <v>32.249046498517714</v>
      </c>
      <c r="G1468" s="19">
        <f>IFERROR(SUMIFS(Regiones[TMO],Regiones[Fecha],Tabla54[[#This Row],[Fecha]],Regiones[Intervalo],Tabla54[[#This Row],[Intervalo]],Regiones[Skill],'BUPA Seguros'!$L$3)/Tabla54[[#This Row],[Atendidas]],0)</f>
        <v>0</v>
      </c>
      <c r="H146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8" s="21">
        <f>IFERROR(Tabla54[[#This Row],[Atendidas]]/Tabla54[[#This Row],[Recibidas]],0)</f>
        <v>0</v>
      </c>
    </row>
    <row r="1469" spans="2:9" x14ac:dyDescent="0.3">
      <c r="B1469" s="25">
        <f t="shared" si="66"/>
        <v>46234</v>
      </c>
      <c r="C1469" s="26">
        <v>0.47916666666666702</v>
      </c>
      <c r="D1469" s="19">
        <f>+SUMIFS(Regiones[Ofrecidas],Regiones[Fecha],Tabla54[[#This Row],[Fecha]],Regiones[Intervalo],Tabla54[[#This Row],[Intervalo]],Regiones[Skill],'BUPA Seguros'!$L$3)</f>
        <v>0</v>
      </c>
      <c r="E1469" s="19">
        <f>+SUMIFS(Regiones[Contestadas],Regiones[Fecha],Tabla54[[#This Row],[Fecha]],Regiones[Intervalo],Tabla54[[#This Row],[Intervalo]],Regiones[Skill],'BUPA Seguros'!$L$3)</f>
        <v>0</v>
      </c>
      <c r="F1469" s="35">
        <v>31.436176688569621</v>
      </c>
      <c r="G1469" s="19">
        <f>IFERROR(SUMIFS(Regiones[TMO],Regiones[Fecha],Tabla54[[#This Row],[Fecha]],Regiones[Intervalo],Tabla54[[#This Row],[Intervalo]],Regiones[Skill],'BUPA Seguros'!$L$3)/Tabla54[[#This Row],[Atendidas]],0)</f>
        <v>0</v>
      </c>
      <c r="H146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69" s="21">
        <f>IFERROR(Tabla54[[#This Row],[Atendidas]]/Tabla54[[#This Row],[Recibidas]],0)</f>
        <v>0</v>
      </c>
    </row>
    <row r="1470" spans="2:9" x14ac:dyDescent="0.3">
      <c r="B1470" s="27">
        <f t="shared" si="66"/>
        <v>46234</v>
      </c>
      <c r="C1470" s="18">
        <v>0.5</v>
      </c>
      <c r="D1470" s="19">
        <f>+SUMIFS(Regiones[Ofrecidas],Regiones[Fecha],Tabla54[[#This Row],[Fecha]],Regiones[Intervalo],Tabla54[[#This Row],[Intervalo]],Regiones[Skill],'BUPA Seguros'!$L$3)</f>
        <v>0</v>
      </c>
      <c r="E1470" s="19">
        <f>+SUMIFS(Regiones[Contestadas],Regiones[Fecha],Tabla54[[#This Row],[Fecha]],Regiones[Intervalo],Tabla54[[#This Row],[Intervalo]],Regiones[Skill],'BUPA Seguros'!$L$3)</f>
        <v>0</v>
      </c>
      <c r="F1470" s="35">
        <v>30.592042655161986</v>
      </c>
      <c r="G1470" s="19">
        <f>IFERROR(SUMIFS(Regiones[TMO],Regiones[Fecha],Tabla54[[#This Row],[Fecha]],Regiones[Intervalo],Tabla54[[#This Row],[Intervalo]],Regiones[Skill],'BUPA Seguros'!$L$3)/Tabla54[[#This Row],[Atendidas]],0)</f>
        <v>0</v>
      </c>
      <c r="H147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0" s="21">
        <f>IFERROR(Tabla54[[#This Row],[Atendidas]]/Tabla54[[#This Row],[Recibidas]],0)</f>
        <v>0</v>
      </c>
    </row>
    <row r="1471" spans="2:9" x14ac:dyDescent="0.3">
      <c r="B1471" s="25">
        <f t="shared" si="66"/>
        <v>46234</v>
      </c>
      <c r="C1471" s="26">
        <v>0.52083333333333304</v>
      </c>
      <c r="D1471" s="19">
        <f>+SUMIFS(Regiones[Ofrecidas],Regiones[Fecha],Tabla54[[#This Row],[Fecha]],Regiones[Intervalo],Tabla54[[#This Row],[Intervalo]],Regiones[Skill],'BUPA Seguros'!$L$3)</f>
        <v>0</v>
      </c>
      <c r="E1471" s="19">
        <f>+SUMIFS(Regiones[Contestadas],Regiones[Fecha],Tabla54[[#This Row],[Fecha]],Regiones[Intervalo],Tabla54[[#This Row],[Intervalo]],Regiones[Skill],'BUPA Seguros'!$L$3)</f>
        <v>0</v>
      </c>
      <c r="F1471" s="35">
        <v>29.732276510024576</v>
      </c>
      <c r="G1471" s="19">
        <f>IFERROR(SUMIFS(Regiones[TMO],Regiones[Fecha],Tabla54[[#This Row],[Fecha]],Regiones[Intervalo],Tabla54[[#This Row],[Intervalo]],Regiones[Skill],'BUPA Seguros'!$L$3)/Tabla54[[#This Row],[Atendidas]],0)</f>
        <v>0</v>
      </c>
      <c r="H147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1" s="21">
        <f>IFERROR(Tabla54[[#This Row],[Atendidas]]/Tabla54[[#This Row],[Recibidas]],0)</f>
        <v>0</v>
      </c>
    </row>
    <row r="1472" spans="2:9" x14ac:dyDescent="0.3">
      <c r="B1472" s="27">
        <f t="shared" si="66"/>
        <v>46234</v>
      </c>
      <c r="C1472" s="18">
        <v>0.54166666666666696</v>
      </c>
      <c r="D1472" s="19">
        <f>+SUMIFS(Regiones[Ofrecidas],Regiones[Fecha],Tabla54[[#This Row],[Fecha]],Regiones[Intervalo],Tabla54[[#This Row],[Intervalo]],Regiones[Skill],'BUPA Seguros'!$L$3)</f>
        <v>0</v>
      </c>
      <c r="E1472" s="19">
        <f>+SUMIFS(Regiones[Contestadas],Regiones[Fecha],Tabla54[[#This Row],[Fecha]],Regiones[Intervalo],Tabla54[[#This Row],[Intervalo]],Regiones[Skill],'BUPA Seguros'!$L$3)</f>
        <v>0</v>
      </c>
      <c r="F1472" s="35">
        <v>28.981935146995561</v>
      </c>
      <c r="G1472" s="19">
        <f>IFERROR(SUMIFS(Regiones[TMO],Regiones[Fecha],Tabla54[[#This Row],[Fecha]],Regiones[Intervalo],Tabla54[[#This Row],[Intervalo]],Regiones[Skill],'BUPA Seguros'!$L$3)/Tabla54[[#This Row],[Atendidas]],0)</f>
        <v>0</v>
      </c>
      <c r="H147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2" s="21">
        <f>IFERROR(Tabla54[[#This Row],[Atendidas]]/Tabla54[[#This Row],[Recibidas]],0)</f>
        <v>0</v>
      </c>
    </row>
    <row r="1473" spans="2:9" x14ac:dyDescent="0.3">
      <c r="B1473" s="25">
        <f t="shared" si="66"/>
        <v>46234</v>
      </c>
      <c r="C1473" s="26">
        <v>0.5625</v>
      </c>
      <c r="D1473" s="19">
        <f>+SUMIFS(Regiones[Ofrecidas],Regiones[Fecha],Tabla54[[#This Row],[Fecha]],Regiones[Intervalo],Tabla54[[#This Row],[Intervalo]],Regiones[Skill],'BUPA Seguros'!$L$3)</f>
        <v>0</v>
      </c>
      <c r="E1473" s="19">
        <f>+SUMIFS(Regiones[Contestadas],Regiones[Fecha],Tabla54[[#This Row],[Fecha]],Regiones[Intervalo],Tabla54[[#This Row],[Intervalo]],Regiones[Skill],'BUPA Seguros'!$L$3)</f>
        <v>0</v>
      </c>
      <c r="F1473" s="35">
        <v>27.965847884560439</v>
      </c>
      <c r="G1473" s="19">
        <f>IFERROR(SUMIFS(Regiones[TMO],Regiones[Fecha],Tabla54[[#This Row],[Fecha]],Regiones[Intervalo],Tabla54[[#This Row],[Intervalo]],Regiones[Skill],'BUPA Seguros'!$L$3)/Tabla54[[#This Row],[Atendidas]],0)</f>
        <v>0</v>
      </c>
      <c r="H147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3" s="21">
        <f>IFERROR(Tabla54[[#This Row],[Atendidas]]/Tabla54[[#This Row],[Recibidas]],0)</f>
        <v>0</v>
      </c>
    </row>
    <row r="1474" spans="2:9" x14ac:dyDescent="0.3">
      <c r="B1474" s="27">
        <f t="shared" si="66"/>
        <v>46234</v>
      </c>
      <c r="C1474" s="18">
        <v>0.58333333333333304</v>
      </c>
      <c r="D1474" s="19">
        <f>+SUMIFS(Regiones[Ofrecidas],Regiones[Fecha],Tabla54[[#This Row],[Fecha]],Regiones[Intervalo],Tabla54[[#This Row],[Intervalo]],Regiones[Skill],'BUPA Seguros'!$L$3)</f>
        <v>0</v>
      </c>
      <c r="E1474" s="19">
        <f>+SUMIFS(Regiones[Contestadas],Regiones[Fecha],Tabla54[[#This Row],[Fecha]],Regiones[Intervalo],Tabla54[[#This Row],[Intervalo]],Regiones[Skill],'BUPA Seguros'!$L$3)</f>
        <v>0</v>
      </c>
      <c r="F1474" s="35">
        <v>27.199874409801659</v>
      </c>
      <c r="G1474" s="19">
        <f>IFERROR(SUMIFS(Regiones[TMO],Regiones[Fecha],Tabla54[[#This Row],[Fecha]],Regiones[Intervalo],Tabla54[[#This Row],[Intervalo]],Regiones[Skill],'BUPA Seguros'!$L$3)/Tabla54[[#This Row],[Atendidas]],0)</f>
        <v>0</v>
      </c>
      <c r="H147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4" s="21">
        <f>IFERROR(Tabla54[[#This Row],[Atendidas]]/Tabla54[[#This Row],[Recibidas]],0)</f>
        <v>0</v>
      </c>
    </row>
    <row r="1475" spans="2:9" x14ac:dyDescent="0.3">
      <c r="B1475" s="25">
        <f t="shared" si="66"/>
        <v>46234</v>
      </c>
      <c r="C1475" s="26">
        <v>0.60416666666666696</v>
      </c>
      <c r="D1475" s="19">
        <f>+SUMIFS(Regiones[Ofrecidas],Regiones[Fecha],Tabla54[[#This Row],[Fecha]],Regiones[Intervalo],Tabla54[[#This Row],[Intervalo]],Regiones[Skill],'BUPA Seguros'!$L$3)</f>
        <v>0</v>
      </c>
      <c r="E1475" s="19">
        <f>+SUMIFS(Regiones[Contestadas],Regiones[Fecha],Tabla54[[#This Row],[Fecha]],Regiones[Intervalo],Tabla54[[#This Row],[Intervalo]],Regiones[Skill],'BUPA Seguros'!$L$3)</f>
        <v>0</v>
      </c>
      <c r="F1475" s="35">
        <v>26.668382610989443</v>
      </c>
      <c r="G1475" s="19">
        <f>IFERROR(SUMIFS(Regiones[TMO],Regiones[Fecha],Tabla54[[#This Row],[Fecha]],Regiones[Intervalo],Tabla54[[#This Row],[Intervalo]],Regiones[Skill],'BUPA Seguros'!$L$3)/Tabla54[[#This Row],[Atendidas]],0)</f>
        <v>0</v>
      </c>
      <c r="H147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5" s="21">
        <f>IFERROR(Tabla54[[#This Row],[Atendidas]]/Tabla54[[#This Row],[Recibidas]],0)</f>
        <v>0</v>
      </c>
    </row>
    <row r="1476" spans="2:9" x14ac:dyDescent="0.3">
      <c r="B1476" s="27">
        <f t="shared" si="66"/>
        <v>46234</v>
      </c>
      <c r="C1476" s="18">
        <v>0.625</v>
      </c>
      <c r="D1476" s="19">
        <f>+SUMIFS(Regiones[Ofrecidas],Regiones[Fecha],Tabla54[[#This Row],[Fecha]],Regiones[Intervalo],Tabla54[[#This Row],[Intervalo]],Regiones[Skill],'BUPA Seguros'!$L$3)</f>
        <v>0</v>
      </c>
      <c r="E1476" s="19">
        <f>+SUMIFS(Regiones[Contestadas],Regiones[Fecha],Tabla54[[#This Row],[Fecha]],Regiones[Intervalo],Tabla54[[#This Row],[Intervalo]],Regiones[Skill],'BUPA Seguros'!$L$3)</f>
        <v>0</v>
      </c>
      <c r="F1476" s="35">
        <v>26.558957828881045</v>
      </c>
      <c r="G1476" s="19">
        <f>IFERROR(SUMIFS(Regiones[TMO],Regiones[Fecha],Tabla54[[#This Row],[Fecha]],Regiones[Intervalo],Tabla54[[#This Row],[Intervalo]],Regiones[Skill],'BUPA Seguros'!$L$3)/Tabla54[[#This Row],[Atendidas]],0)</f>
        <v>0</v>
      </c>
      <c r="H147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6" s="21">
        <f>IFERROR(Tabla54[[#This Row],[Atendidas]]/Tabla54[[#This Row],[Recibidas]],0)</f>
        <v>0</v>
      </c>
    </row>
    <row r="1477" spans="2:9" x14ac:dyDescent="0.3">
      <c r="B1477" s="25">
        <f t="shared" si="66"/>
        <v>46234</v>
      </c>
      <c r="C1477" s="26">
        <v>0.64583333333333304</v>
      </c>
      <c r="D1477" s="19">
        <f>+SUMIFS(Regiones[Ofrecidas],Regiones[Fecha],Tabla54[[#This Row],[Fecha]],Regiones[Intervalo],Tabla54[[#This Row],[Intervalo]],Regiones[Skill],'BUPA Seguros'!$L$3)</f>
        <v>0</v>
      </c>
      <c r="E1477" s="19">
        <f>+SUMIFS(Regiones[Contestadas],Regiones[Fecha],Tabla54[[#This Row],[Fecha]],Regiones[Intervalo],Tabla54[[#This Row],[Intervalo]],Regiones[Skill],'BUPA Seguros'!$L$3)</f>
        <v>0</v>
      </c>
      <c r="F1477" s="35">
        <v>26.293211929474939</v>
      </c>
      <c r="G1477" s="19">
        <f>IFERROR(SUMIFS(Regiones[TMO],Regiones[Fecha],Tabla54[[#This Row],[Fecha]],Regiones[Intervalo],Tabla54[[#This Row],[Intervalo]],Regiones[Skill],'BUPA Seguros'!$L$3)/Tabla54[[#This Row],[Atendidas]],0)</f>
        <v>0</v>
      </c>
      <c r="H147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7" s="21">
        <f>IFERROR(Tabla54[[#This Row],[Atendidas]]/Tabla54[[#This Row],[Recibidas]],0)</f>
        <v>0</v>
      </c>
    </row>
    <row r="1478" spans="2:9" x14ac:dyDescent="0.3">
      <c r="B1478" s="27">
        <f t="shared" si="66"/>
        <v>46234</v>
      </c>
      <c r="C1478" s="18">
        <v>0.66666666666666696</v>
      </c>
      <c r="D1478" s="19">
        <f>+SUMIFS(Regiones[Ofrecidas],Regiones[Fecha],Tabla54[[#This Row],[Fecha]],Regiones[Intervalo],Tabla54[[#This Row],[Intervalo]],Regiones[Skill],'BUPA Seguros'!$L$3)</f>
        <v>0</v>
      </c>
      <c r="E1478" s="19">
        <f>+SUMIFS(Regiones[Contestadas],Regiones[Fecha],Tabla54[[#This Row],[Fecha]],Regiones[Intervalo],Tabla54[[#This Row],[Intervalo]],Regiones[Skill],'BUPA Seguros'!$L$3)</f>
        <v>0</v>
      </c>
      <c r="F1478" s="35">
        <v>25.152067773201651</v>
      </c>
      <c r="G1478" s="19">
        <f>IFERROR(SUMIFS(Regiones[TMO],Regiones[Fecha],Tabla54[[#This Row],[Fecha]],Regiones[Intervalo],Tabla54[[#This Row],[Intervalo]],Regiones[Skill],'BUPA Seguros'!$L$3)/Tabla54[[#This Row],[Atendidas]],0)</f>
        <v>0</v>
      </c>
      <c r="H147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8" s="21">
        <f>IFERROR(Tabla54[[#This Row],[Atendidas]]/Tabla54[[#This Row],[Recibidas]],0)</f>
        <v>0</v>
      </c>
    </row>
    <row r="1479" spans="2:9" x14ac:dyDescent="0.3">
      <c r="B1479" s="25">
        <f t="shared" si="66"/>
        <v>46234</v>
      </c>
      <c r="C1479" s="26">
        <v>0.6875</v>
      </c>
      <c r="D1479" s="19">
        <f>+SUMIFS(Regiones[Ofrecidas],Regiones[Fecha],Tabla54[[#This Row],[Fecha]],Regiones[Intervalo],Tabla54[[#This Row],[Intervalo]],Regiones[Skill],'BUPA Seguros'!$L$3)</f>
        <v>0</v>
      </c>
      <c r="E1479" s="19">
        <f>+SUMIFS(Regiones[Contestadas],Regiones[Fecha],Tabla54[[#This Row],[Fecha]],Regiones[Intervalo],Tabla54[[#This Row],[Intervalo]],Regiones[Skill],'BUPA Seguros'!$L$3)</f>
        <v>0</v>
      </c>
      <c r="F1479" s="35">
        <v>23.088629024871871</v>
      </c>
      <c r="G1479" s="19">
        <f>IFERROR(SUMIFS(Regiones[TMO],Regiones[Fecha],Tabla54[[#This Row],[Fecha]],Regiones[Intervalo],Tabla54[[#This Row],[Intervalo]],Regiones[Skill],'BUPA Seguros'!$L$3)/Tabla54[[#This Row],[Atendidas]],0)</f>
        <v>0</v>
      </c>
      <c r="H147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79" s="21">
        <f>IFERROR(Tabla54[[#This Row],[Atendidas]]/Tabla54[[#This Row],[Recibidas]],0)</f>
        <v>0</v>
      </c>
    </row>
    <row r="1480" spans="2:9" x14ac:dyDescent="0.3">
      <c r="B1480" s="27">
        <f t="shared" si="66"/>
        <v>46234</v>
      </c>
      <c r="C1480" s="18">
        <v>0.70833333333333304</v>
      </c>
      <c r="D1480" s="19">
        <f>+SUMIFS(Regiones[Ofrecidas],Regiones[Fecha],Tabla54[[#This Row],[Fecha]],Regiones[Intervalo],Tabla54[[#This Row],[Intervalo]],Regiones[Skill],'BUPA Seguros'!$L$3)</f>
        <v>0</v>
      </c>
      <c r="E1480" s="19">
        <f>+SUMIFS(Regiones[Contestadas],Regiones[Fecha],Tabla54[[#This Row],[Fecha]],Regiones[Intervalo],Tabla54[[#This Row],[Intervalo]],Regiones[Skill],'BUPA Seguros'!$L$3)</f>
        <v>0</v>
      </c>
      <c r="F1480" s="35">
        <v>20.024735125836745</v>
      </c>
      <c r="G1480" s="19">
        <f>IFERROR(SUMIFS(Regiones[TMO],Regiones[Fecha],Tabla54[[#This Row],[Fecha]],Regiones[Intervalo],Tabla54[[#This Row],[Intervalo]],Regiones[Skill],'BUPA Seguros'!$L$3)/Tabla54[[#This Row],[Atendidas]],0)</f>
        <v>0</v>
      </c>
      <c r="H148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0" s="21">
        <f>IFERROR(Tabla54[[#This Row],[Atendidas]]/Tabla54[[#This Row],[Recibidas]],0)</f>
        <v>0</v>
      </c>
    </row>
    <row r="1481" spans="2:9" x14ac:dyDescent="0.3">
      <c r="B1481" s="25">
        <f t="shared" si="66"/>
        <v>46234</v>
      </c>
      <c r="C1481" s="26">
        <v>0.72916666666666696</v>
      </c>
      <c r="D1481" s="19">
        <f>+SUMIFS(Regiones[Ofrecidas],Regiones[Fecha],Tabla54[[#This Row],[Fecha]],Regiones[Intervalo],Tabla54[[#This Row],[Intervalo]],Regiones[Skill],'BUPA Seguros'!$L$3)</f>
        <v>0</v>
      </c>
      <c r="E1481" s="19">
        <f>+SUMIFS(Regiones[Contestadas],Regiones[Fecha],Tabla54[[#This Row],[Fecha]],Regiones[Intervalo],Tabla54[[#This Row],[Intervalo]],Regiones[Skill],'BUPA Seguros'!$L$3)</f>
        <v>0</v>
      </c>
      <c r="F1481" s="35">
        <v>17.375092187640544</v>
      </c>
      <c r="G1481" s="19">
        <f>IFERROR(SUMIFS(Regiones[TMO],Regiones[Fecha],Tabla54[[#This Row],[Fecha]],Regiones[Intervalo],Tabla54[[#This Row],[Intervalo]],Regiones[Skill],'BUPA Seguros'!$L$3)/Tabla54[[#This Row],[Atendidas]],0)</f>
        <v>0</v>
      </c>
      <c r="H148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1" s="21">
        <f>IFERROR(Tabla54[[#This Row],[Atendidas]]/Tabla54[[#This Row],[Recibidas]],0)</f>
        <v>0</v>
      </c>
    </row>
    <row r="1482" spans="2:9" x14ac:dyDescent="0.3">
      <c r="B1482" s="27">
        <f t="shared" si="66"/>
        <v>46234</v>
      </c>
      <c r="C1482" s="18">
        <v>0.75</v>
      </c>
      <c r="D1482" s="19">
        <f>+SUMIFS(Regiones[Ofrecidas],Regiones[Fecha],Tabla54[[#This Row],[Fecha]],Regiones[Intervalo],Tabla54[[#This Row],[Intervalo]],Regiones[Skill],'BUPA Seguros'!$L$3)</f>
        <v>0</v>
      </c>
      <c r="E1482" s="19">
        <f>+SUMIFS(Regiones[Contestadas],Regiones[Fecha],Tabla54[[#This Row],[Fecha]],Regiones[Intervalo],Tabla54[[#This Row],[Intervalo]],Regiones[Skill],'BUPA Seguros'!$L$3)</f>
        <v>0</v>
      </c>
      <c r="F1482" s="35">
        <v>0</v>
      </c>
      <c r="G1482" s="19">
        <f>IFERROR(SUMIFS(Regiones[TMO],Regiones[Fecha],Tabla54[[#This Row],[Fecha]],Regiones[Intervalo],Tabla54[[#This Row],[Intervalo]],Regiones[Skill],'BUPA Seguros'!$L$3)/Tabla54[[#This Row],[Atendidas]],0)</f>
        <v>0</v>
      </c>
      <c r="H148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2" s="21">
        <f>IFERROR(Tabla54[[#This Row],[Atendidas]]/Tabla54[[#This Row],[Recibidas]],0)</f>
        <v>0</v>
      </c>
    </row>
    <row r="1483" spans="2:9" x14ac:dyDescent="0.3">
      <c r="B1483" s="25">
        <f t="shared" si="66"/>
        <v>46234</v>
      </c>
      <c r="C1483" s="26">
        <v>0.77083333333333304</v>
      </c>
      <c r="D1483" s="19">
        <f>+SUMIFS(Regiones[Ofrecidas],Regiones[Fecha],Tabla54[[#This Row],[Fecha]],Regiones[Intervalo],Tabla54[[#This Row],[Intervalo]],Regiones[Skill],'BUPA Seguros'!$L$3)</f>
        <v>0</v>
      </c>
      <c r="E1483" s="19">
        <f>+SUMIFS(Regiones[Contestadas],Regiones[Fecha],Tabla54[[#This Row],[Fecha]],Regiones[Intervalo],Tabla54[[#This Row],[Intervalo]],Regiones[Skill],'BUPA Seguros'!$L$3)</f>
        <v>0</v>
      </c>
      <c r="F1483" s="35">
        <v>0</v>
      </c>
      <c r="G1483" s="19">
        <f>IFERROR(SUMIFS(Regiones[TMO],Regiones[Fecha],Tabla54[[#This Row],[Fecha]],Regiones[Intervalo],Tabla54[[#This Row],[Intervalo]],Regiones[Skill],'BUPA Seguros'!$L$3)/Tabla54[[#This Row],[Atendidas]],0)</f>
        <v>0</v>
      </c>
      <c r="H148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3" s="21">
        <f>IFERROR(Tabla54[[#This Row],[Atendidas]]/Tabla54[[#This Row],[Recibidas]],0)</f>
        <v>0</v>
      </c>
    </row>
    <row r="1484" spans="2:9" x14ac:dyDescent="0.3">
      <c r="B1484" s="27">
        <f t="shared" si="66"/>
        <v>46234</v>
      </c>
      <c r="C1484" s="18">
        <v>0.79166666666666696</v>
      </c>
      <c r="D1484" s="19">
        <f>+SUMIFS(Regiones[Ofrecidas],Regiones[Fecha],Tabla54[[#This Row],[Fecha]],Regiones[Intervalo],Tabla54[[#This Row],[Intervalo]],Regiones[Skill],'BUPA Seguros'!$L$3)</f>
        <v>0</v>
      </c>
      <c r="E1484" s="19">
        <f>+SUMIFS(Regiones[Contestadas],Regiones[Fecha],Tabla54[[#This Row],[Fecha]],Regiones[Intervalo],Tabla54[[#This Row],[Intervalo]],Regiones[Skill],'BUPA Seguros'!$L$3)</f>
        <v>0</v>
      </c>
      <c r="F1484" s="35">
        <v>0</v>
      </c>
      <c r="G1484" s="19">
        <f>IFERROR(SUMIFS(Regiones[TMO],Regiones[Fecha],Tabla54[[#This Row],[Fecha]],Regiones[Intervalo],Tabla54[[#This Row],[Intervalo]],Regiones[Skill],'BUPA Seguros'!$L$3)/Tabla54[[#This Row],[Atendidas]],0)</f>
        <v>0</v>
      </c>
      <c r="H1484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4" s="21">
        <f>IFERROR(Tabla54[[#This Row],[Atendidas]]/Tabla54[[#This Row],[Recibidas]],0)</f>
        <v>0</v>
      </c>
    </row>
    <row r="1485" spans="2:9" x14ac:dyDescent="0.3">
      <c r="B1485" s="25">
        <f t="shared" si="66"/>
        <v>46234</v>
      </c>
      <c r="C1485" s="26">
        <v>0.8125</v>
      </c>
      <c r="D1485" s="19">
        <f>+SUMIFS(Regiones[Ofrecidas],Regiones[Fecha],Tabla54[[#This Row],[Fecha]],Regiones[Intervalo],Tabla54[[#This Row],[Intervalo]],Regiones[Skill],'BUPA Seguros'!$L$3)</f>
        <v>0</v>
      </c>
      <c r="E1485" s="19">
        <f>+SUMIFS(Regiones[Contestadas],Regiones[Fecha],Tabla54[[#This Row],[Fecha]],Regiones[Intervalo],Tabla54[[#This Row],[Intervalo]],Regiones[Skill],'BUPA Seguros'!$L$3)</f>
        <v>0</v>
      </c>
      <c r="F1485" s="35">
        <v>0</v>
      </c>
      <c r="G1485" s="19">
        <f>IFERROR(SUMIFS(Regiones[TMO],Regiones[Fecha],Tabla54[[#This Row],[Fecha]],Regiones[Intervalo],Tabla54[[#This Row],[Intervalo]],Regiones[Skill],'BUPA Seguros'!$L$3)/Tabla54[[#This Row],[Atendidas]],0)</f>
        <v>0</v>
      </c>
      <c r="H1485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5" s="21">
        <f>IFERROR(Tabla54[[#This Row],[Atendidas]]/Tabla54[[#This Row],[Recibidas]],0)</f>
        <v>0</v>
      </c>
    </row>
    <row r="1486" spans="2:9" x14ac:dyDescent="0.3">
      <c r="B1486" s="27">
        <f t="shared" si="66"/>
        <v>46234</v>
      </c>
      <c r="C1486" s="18">
        <v>0.83333333333333304</v>
      </c>
      <c r="D1486" s="19">
        <f>+SUMIFS(Regiones[Ofrecidas],Regiones[Fecha],Tabla54[[#This Row],[Fecha]],Regiones[Intervalo],Tabla54[[#This Row],[Intervalo]],Regiones[Skill],'BUPA Seguros'!$L$3)</f>
        <v>0</v>
      </c>
      <c r="E1486" s="19">
        <f>+SUMIFS(Regiones[Contestadas],Regiones[Fecha],Tabla54[[#This Row],[Fecha]],Regiones[Intervalo],Tabla54[[#This Row],[Intervalo]],Regiones[Skill],'BUPA Seguros'!$L$3)</f>
        <v>0</v>
      </c>
      <c r="F1486" s="35">
        <v>0</v>
      </c>
      <c r="G1486" s="19">
        <f>IFERROR(SUMIFS(Regiones[TMO],Regiones[Fecha],Tabla54[[#This Row],[Fecha]],Regiones[Intervalo],Tabla54[[#This Row],[Intervalo]],Regiones[Skill],'BUPA Seguros'!$L$3)/Tabla54[[#This Row],[Atendidas]],0)</f>
        <v>0</v>
      </c>
      <c r="H1486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6" s="21">
        <f>IFERROR(Tabla54[[#This Row],[Atendidas]]/Tabla54[[#This Row],[Recibidas]],0)</f>
        <v>0</v>
      </c>
    </row>
    <row r="1487" spans="2:9" x14ac:dyDescent="0.3">
      <c r="B1487" s="25">
        <f t="shared" si="66"/>
        <v>46234</v>
      </c>
      <c r="C1487" s="26">
        <v>0.85416666666666696</v>
      </c>
      <c r="D1487" s="19">
        <f>+SUMIFS(Regiones[Ofrecidas],Regiones[Fecha],Tabla54[[#This Row],[Fecha]],Regiones[Intervalo],Tabla54[[#This Row],[Intervalo]],Regiones[Skill],'BUPA Seguros'!$L$3)</f>
        <v>0</v>
      </c>
      <c r="E1487" s="19">
        <f>+SUMIFS(Regiones[Contestadas],Regiones[Fecha],Tabla54[[#This Row],[Fecha]],Regiones[Intervalo],Tabla54[[#This Row],[Intervalo]],Regiones[Skill],'BUPA Seguros'!$L$3)</f>
        <v>0</v>
      </c>
      <c r="F1487" s="35">
        <v>0</v>
      </c>
      <c r="G1487" s="19">
        <f>IFERROR(SUMIFS(Regiones[TMO],Regiones[Fecha],Tabla54[[#This Row],[Fecha]],Regiones[Intervalo],Tabla54[[#This Row],[Intervalo]],Regiones[Skill],'BUPA Seguros'!$L$3)/Tabla54[[#This Row],[Atendidas]],0)</f>
        <v>0</v>
      </c>
      <c r="H1487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7" s="21">
        <f>IFERROR(Tabla54[[#This Row],[Atendidas]]/Tabla54[[#This Row],[Recibidas]],0)</f>
        <v>0</v>
      </c>
    </row>
    <row r="1488" spans="2:9" x14ac:dyDescent="0.3">
      <c r="B1488" s="27">
        <f t="shared" si="66"/>
        <v>46234</v>
      </c>
      <c r="C1488" s="18">
        <v>0.875</v>
      </c>
      <c r="D1488" s="19">
        <f>+SUMIFS(Regiones[Ofrecidas],Regiones[Fecha],Tabla54[[#This Row],[Fecha]],Regiones[Intervalo],Tabla54[[#This Row],[Intervalo]],Regiones[Skill],'BUPA Seguros'!$L$3)</f>
        <v>0</v>
      </c>
      <c r="E1488" s="19">
        <f>+SUMIFS(Regiones[Contestadas],Regiones[Fecha],Tabla54[[#This Row],[Fecha]],Regiones[Intervalo],Tabla54[[#This Row],[Intervalo]],Regiones[Skill],'BUPA Seguros'!$L$3)</f>
        <v>0</v>
      </c>
      <c r="F1488" s="35">
        <v>0</v>
      </c>
      <c r="G1488" s="19">
        <f>IFERROR(SUMIFS(Regiones[TMO],Regiones[Fecha],Tabla54[[#This Row],[Fecha]],Regiones[Intervalo],Tabla54[[#This Row],[Intervalo]],Regiones[Skill],'BUPA Seguros'!$L$3)/Tabla54[[#This Row],[Atendidas]],0)</f>
        <v>0</v>
      </c>
      <c r="H1488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8" s="21">
        <f>IFERROR(Tabla54[[#This Row],[Atendidas]]/Tabla54[[#This Row],[Recibidas]],0)</f>
        <v>0</v>
      </c>
    </row>
    <row r="1489" spans="2:9" x14ac:dyDescent="0.3">
      <c r="B1489" s="25">
        <f t="shared" si="66"/>
        <v>46234</v>
      </c>
      <c r="C1489" s="26">
        <v>0.89583333333333304</v>
      </c>
      <c r="D1489" s="19">
        <f>+SUMIFS(Regiones[Ofrecidas],Regiones[Fecha],Tabla54[[#This Row],[Fecha]],Regiones[Intervalo],Tabla54[[#This Row],[Intervalo]],Regiones[Skill],'BUPA Seguros'!$L$3)</f>
        <v>0</v>
      </c>
      <c r="E1489" s="19">
        <f>+SUMIFS(Regiones[Contestadas],Regiones[Fecha],Tabla54[[#This Row],[Fecha]],Regiones[Intervalo],Tabla54[[#This Row],[Intervalo]],Regiones[Skill],'BUPA Seguros'!$L$3)</f>
        <v>0</v>
      </c>
      <c r="F1489" s="35">
        <v>0</v>
      </c>
      <c r="G1489" s="19">
        <f>IFERROR(SUMIFS(Regiones[TMO],Regiones[Fecha],Tabla54[[#This Row],[Fecha]],Regiones[Intervalo],Tabla54[[#This Row],[Intervalo]],Regiones[Skill],'BUPA Seguros'!$L$3)/Tabla54[[#This Row],[Atendidas]],0)</f>
        <v>0</v>
      </c>
      <c r="H1489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89" s="21">
        <f>IFERROR(Tabla54[[#This Row],[Atendidas]]/Tabla54[[#This Row],[Recibidas]],0)</f>
        <v>0</v>
      </c>
    </row>
    <row r="1490" spans="2:9" x14ac:dyDescent="0.3">
      <c r="B1490" s="27">
        <f t="shared" si="66"/>
        <v>46234</v>
      </c>
      <c r="C1490" s="18">
        <v>0.91666666666666696</v>
      </c>
      <c r="D1490" s="19">
        <f>+SUMIFS(Regiones[Ofrecidas],Regiones[Fecha],Tabla54[[#This Row],[Fecha]],Regiones[Intervalo],Tabla54[[#This Row],[Intervalo]],Regiones[Skill],'BUPA Seguros'!$L$3)</f>
        <v>0</v>
      </c>
      <c r="E1490" s="19">
        <f>+SUMIFS(Regiones[Contestadas],Regiones[Fecha],Tabla54[[#This Row],[Fecha]],Regiones[Intervalo],Tabla54[[#This Row],[Intervalo]],Regiones[Skill],'BUPA Seguros'!$L$3)</f>
        <v>0</v>
      </c>
      <c r="F1490" s="35">
        <v>0</v>
      </c>
      <c r="G1490" s="19">
        <f>IFERROR(SUMIFS(Regiones[TMO],Regiones[Fecha],Tabla54[[#This Row],[Fecha]],Regiones[Intervalo],Tabla54[[#This Row],[Intervalo]],Regiones[Skill],'BUPA Seguros'!$L$3)/Tabla54[[#This Row],[Atendidas]],0)</f>
        <v>0</v>
      </c>
      <c r="H1490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90" s="21">
        <f>IFERROR(Tabla54[[#This Row],[Atendidas]]/Tabla54[[#This Row],[Recibidas]],0)</f>
        <v>0</v>
      </c>
    </row>
    <row r="1491" spans="2:9" x14ac:dyDescent="0.3">
      <c r="B1491" s="25">
        <f t="shared" si="66"/>
        <v>46234</v>
      </c>
      <c r="C1491" s="26">
        <v>0.9375</v>
      </c>
      <c r="D1491" s="19">
        <f>+SUMIFS(Regiones[Ofrecidas],Regiones[Fecha],Tabla54[[#This Row],[Fecha]],Regiones[Intervalo],Tabla54[[#This Row],[Intervalo]],Regiones[Skill],'BUPA Seguros'!$L$3)</f>
        <v>0</v>
      </c>
      <c r="E1491" s="19">
        <f>+SUMIFS(Regiones[Contestadas],Regiones[Fecha],Tabla54[[#This Row],[Fecha]],Regiones[Intervalo],Tabla54[[#This Row],[Intervalo]],Regiones[Skill],'BUPA Seguros'!$L$3)</f>
        <v>0</v>
      </c>
      <c r="F1491" s="35">
        <v>0</v>
      </c>
      <c r="G1491" s="19">
        <f>IFERROR(SUMIFS(Regiones[TMO],Regiones[Fecha],Tabla54[[#This Row],[Fecha]],Regiones[Intervalo],Tabla54[[#This Row],[Intervalo]],Regiones[Skill],'BUPA Seguros'!$L$3)/Tabla54[[#This Row],[Atendidas]],0)</f>
        <v>0</v>
      </c>
      <c r="H1491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91" s="21">
        <f>IFERROR(Tabla54[[#This Row],[Atendidas]]/Tabla54[[#This Row],[Recibidas]],0)</f>
        <v>0</v>
      </c>
    </row>
    <row r="1492" spans="2:9" x14ac:dyDescent="0.3">
      <c r="B1492" s="27">
        <f t="shared" si="66"/>
        <v>46234</v>
      </c>
      <c r="C1492" s="18">
        <v>0.95833333333333304</v>
      </c>
      <c r="D1492" s="19">
        <f>+SUMIFS(Regiones[Ofrecidas],Regiones[Fecha],Tabla54[[#This Row],[Fecha]],Regiones[Intervalo],Tabla54[[#This Row],[Intervalo]],Regiones[Skill],'BUPA Seguros'!$L$3)</f>
        <v>0</v>
      </c>
      <c r="E1492" s="19">
        <f>+SUMIFS(Regiones[Contestadas],Regiones[Fecha],Tabla54[[#This Row],[Fecha]],Regiones[Intervalo],Tabla54[[#This Row],[Intervalo]],Regiones[Skill],'BUPA Seguros'!$L$3)</f>
        <v>0</v>
      </c>
      <c r="F1492" s="35">
        <v>0</v>
      </c>
      <c r="G1492" s="19">
        <f>IFERROR(SUMIFS(Regiones[TMO],Regiones[Fecha],Tabla54[[#This Row],[Fecha]],Regiones[Intervalo],Tabla54[[#This Row],[Intervalo]],Regiones[Skill],'BUPA Seguros'!$L$3)/Tabla54[[#This Row],[Atendidas]],0)</f>
        <v>0</v>
      </c>
      <c r="H1492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92" s="21">
        <f>IFERROR(Tabla54[[#This Row],[Atendidas]]/Tabla54[[#This Row],[Recibidas]],0)</f>
        <v>0</v>
      </c>
    </row>
    <row r="1493" spans="2:9" x14ac:dyDescent="0.3">
      <c r="B1493" s="25">
        <f t="shared" si="66"/>
        <v>46234</v>
      </c>
      <c r="C1493" s="26">
        <v>0.97916666666666696</v>
      </c>
      <c r="D1493" s="19">
        <f>+SUMIFS(Regiones[Ofrecidas],Regiones[Fecha],Tabla54[[#This Row],[Fecha]],Regiones[Intervalo],Tabla54[[#This Row],[Intervalo]],Regiones[Skill],'BUPA Seguros'!$L$3)</f>
        <v>0</v>
      </c>
      <c r="E1493" s="19">
        <f>+SUMIFS(Regiones[Contestadas],Regiones[Fecha],Tabla54[[#This Row],[Fecha]],Regiones[Intervalo],Tabla54[[#This Row],[Intervalo]],Regiones[Skill],'BUPA Seguros'!$L$3)</f>
        <v>0</v>
      </c>
      <c r="F1493" s="35">
        <v>0</v>
      </c>
      <c r="G1493" s="19">
        <f>IFERROR(SUMIFS(Regiones[TMO],Regiones[Fecha],Tabla54[[#This Row],[Fecha]],Regiones[Intervalo],Tabla54[[#This Row],[Intervalo]],Regiones[Skill],'BUPA Seguros'!$L$3)/Tabla54[[#This Row],[Atendidas]],0)</f>
        <v>0</v>
      </c>
      <c r="H1493" s="21">
        <f>IFERROR(SUMIFS(Regiones[Aten &lt; 20 seg],Regiones[Fecha],Tabla54[[#This Row],[Fecha]],Regiones[Intervalo],Tabla54[[#This Row],[Intervalo]],Regiones[Skill],'BUPA Seguros'!$L$3)/Tabla54[[#This Row],[Recibidas]],0)</f>
        <v>0</v>
      </c>
      <c r="I1493" s="21">
        <f>IFERROR(Tabla54[[#This Row],[Atendidas]]/Tabla54[[#This Row],[Recibidas]],0)</f>
        <v>0</v>
      </c>
    </row>
  </sheetData>
  <dataConsolidate/>
  <conditionalFormatting sqref="AO7">
    <cfRule type="cellIs" dxfId="1" priority="1" operator="greaterThanOrEqual">
      <formula>0.8</formula>
    </cfRule>
    <cfRule type="cellIs" dxfId="0" priority="2" operator="lessThan">
      <formula>0.8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24B-2981-444F-B51C-5AE80C1093AD}">
  <dimension ref="B2:AG23"/>
  <sheetViews>
    <sheetView showGridLines="0" tabSelected="1" zoomScale="70" zoomScaleNormal="70" workbookViewId="0">
      <selection activeCell="H31" sqref="H31"/>
    </sheetView>
  </sheetViews>
  <sheetFormatPr baseColWidth="10" defaultColWidth="11.44140625" defaultRowHeight="14.4" x14ac:dyDescent="0.3"/>
  <cols>
    <col min="1" max="1" width="2.6640625" customWidth="1"/>
    <col min="2" max="2" width="22.88671875" bestFit="1" customWidth="1"/>
    <col min="3" max="33" width="8.6640625" customWidth="1"/>
  </cols>
  <sheetData>
    <row r="2" spans="2:33" x14ac:dyDescent="0.3">
      <c r="B2" s="16" t="s">
        <v>51</v>
      </c>
      <c r="C2" s="9" t="str">
        <f>PROPER(TEXT(C3,"DDDD"))</f>
        <v>Miércoles</v>
      </c>
      <c r="D2" s="9" t="str">
        <f t="shared" ref="D2:AG2" si="0">PROPER(TEXT(D3,"DDDD"))</f>
        <v>Jueves</v>
      </c>
      <c r="E2" s="9" t="str">
        <f t="shared" si="0"/>
        <v>Viernes</v>
      </c>
      <c r="F2" s="9" t="str">
        <f t="shared" si="0"/>
        <v>Sábado</v>
      </c>
      <c r="G2" s="9" t="str">
        <f t="shared" si="0"/>
        <v>Domingo</v>
      </c>
      <c r="H2" s="9" t="str">
        <f t="shared" si="0"/>
        <v>Lunes</v>
      </c>
      <c r="I2" s="9" t="str">
        <f t="shared" si="0"/>
        <v>Martes</v>
      </c>
      <c r="J2" s="9" t="str">
        <f t="shared" si="0"/>
        <v>Miércoles</v>
      </c>
      <c r="K2" s="9" t="str">
        <f t="shared" si="0"/>
        <v>Jueves</v>
      </c>
      <c r="L2" s="9" t="str">
        <f t="shared" si="0"/>
        <v>Viernes</v>
      </c>
      <c r="M2" s="9" t="str">
        <f t="shared" si="0"/>
        <v>Sábado</v>
      </c>
      <c r="N2" s="9" t="str">
        <f t="shared" si="0"/>
        <v>Domingo</v>
      </c>
      <c r="O2" s="9" t="str">
        <f t="shared" si="0"/>
        <v>Lunes</v>
      </c>
      <c r="P2" s="9" t="str">
        <f t="shared" si="0"/>
        <v>Martes</v>
      </c>
      <c r="Q2" s="9" t="str">
        <f t="shared" si="0"/>
        <v>Miércoles</v>
      </c>
      <c r="R2" s="9" t="str">
        <f t="shared" si="0"/>
        <v>Jueves</v>
      </c>
      <c r="S2" s="9" t="str">
        <f t="shared" si="0"/>
        <v>Viernes</v>
      </c>
      <c r="T2" s="9" t="str">
        <f t="shared" si="0"/>
        <v>Sábado</v>
      </c>
      <c r="U2" s="9" t="str">
        <f t="shared" si="0"/>
        <v>Domingo</v>
      </c>
      <c r="V2" s="9" t="str">
        <f t="shared" si="0"/>
        <v>Lunes</v>
      </c>
      <c r="W2" s="9" t="str">
        <f t="shared" si="0"/>
        <v>Martes</v>
      </c>
      <c r="X2" s="9" t="str">
        <f t="shared" si="0"/>
        <v>Miércoles</v>
      </c>
      <c r="Y2" s="9" t="str">
        <f t="shared" si="0"/>
        <v>Jueves</v>
      </c>
      <c r="Z2" s="9" t="str">
        <f t="shared" si="0"/>
        <v>Viernes</v>
      </c>
      <c r="AA2" s="9" t="str">
        <f t="shared" si="0"/>
        <v>Sábado</v>
      </c>
      <c r="AB2" s="9" t="str">
        <f t="shared" si="0"/>
        <v>Domingo</v>
      </c>
      <c r="AC2" s="9" t="str">
        <f t="shared" si="0"/>
        <v>Lunes</v>
      </c>
      <c r="AD2" s="9" t="str">
        <f t="shared" si="0"/>
        <v>Martes</v>
      </c>
      <c r="AE2" s="9" t="str">
        <f t="shared" si="0"/>
        <v>Miércoles</v>
      </c>
      <c r="AF2" s="9" t="str">
        <f t="shared" si="0"/>
        <v>Jueves</v>
      </c>
      <c r="AG2" s="9" t="str">
        <f t="shared" si="0"/>
        <v>Viernes</v>
      </c>
    </row>
    <row r="3" spans="2:33" x14ac:dyDescent="0.3">
      <c r="B3" s="9" t="s">
        <v>45</v>
      </c>
      <c r="C3" s="15">
        <f>+'BUPA Seguros'!L5</f>
        <v>46204</v>
      </c>
      <c r="D3" s="15">
        <f>+C3+1</f>
        <v>46205</v>
      </c>
      <c r="E3" s="15">
        <f t="shared" ref="E3:AG3" si="1">+D3+1</f>
        <v>46206</v>
      </c>
      <c r="F3" s="15">
        <f t="shared" si="1"/>
        <v>46207</v>
      </c>
      <c r="G3" s="15">
        <f t="shared" si="1"/>
        <v>46208</v>
      </c>
      <c r="H3" s="15">
        <f t="shared" si="1"/>
        <v>46209</v>
      </c>
      <c r="I3" s="15">
        <f t="shared" si="1"/>
        <v>46210</v>
      </c>
      <c r="J3" s="15">
        <f t="shared" si="1"/>
        <v>46211</v>
      </c>
      <c r="K3" s="15">
        <f t="shared" si="1"/>
        <v>46212</v>
      </c>
      <c r="L3" s="15">
        <f t="shared" si="1"/>
        <v>46213</v>
      </c>
      <c r="M3" s="15">
        <f t="shared" si="1"/>
        <v>46214</v>
      </c>
      <c r="N3" s="15">
        <f t="shared" si="1"/>
        <v>46215</v>
      </c>
      <c r="O3" s="15">
        <f t="shared" si="1"/>
        <v>46216</v>
      </c>
      <c r="P3" s="15">
        <f t="shared" si="1"/>
        <v>46217</v>
      </c>
      <c r="Q3" s="15">
        <f t="shared" si="1"/>
        <v>46218</v>
      </c>
      <c r="R3" s="15">
        <f t="shared" si="1"/>
        <v>46219</v>
      </c>
      <c r="S3" s="15">
        <f t="shared" si="1"/>
        <v>46220</v>
      </c>
      <c r="T3" s="15">
        <f t="shared" si="1"/>
        <v>46221</v>
      </c>
      <c r="U3" s="15">
        <f t="shared" si="1"/>
        <v>46222</v>
      </c>
      <c r="V3" s="15">
        <f t="shared" si="1"/>
        <v>46223</v>
      </c>
      <c r="W3" s="15">
        <f t="shared" si="1"/>
        <v>46224</v>
      </c>
      <c r="X3" s="15">
        <f t="shared" si="1"/>
        <v>46225</v>
      </c>
      <c r="Y3" s="15">
        <f t="shared" si="1"/>
        <v>46226</v>
      </c>
      <c r="Z3" s="15">
        <f t="shared" si="1"/>
        <v>46227</v>
      </c>
      <c r="AA3" s="15">
        <f t="shared" si="1"/>
        <v>46228</v>
      </c>
      <c r="AB3" s="15">
        <f t="shared" si="1"/>
        <v>46229</v>
      </c>
      <c r="AC3" s="15">
        <f t="shared" si="1"/>
        <v>46230</v>
      </c>
      <c r="AD3" s="15">
        <f t="shared" si="1"/>
        <v>46231</v>
      </c>
      <c r="AE3" s="15">
        <f t="shared" si="1"/>
        <v>46232</v>
      </c>
      <c r="AF3" s="15">
        <f t="shared" si="1"/>
        <v>46233</v>
      </c>
      <c r="AG3" s="15">
        <f t="shared" si="1"/>
        <v>46234</v>
      </c>
    </row>
    <row r="4" spans="2:33" x14ac:dyDescent="0.3">
      <c r="B4" s="8" cm="1">
        <f t="array" ref="B4:B22">_xlfn._xlws.SORT(_xlfn.UNIQUE(Regiones[Intervalo]))</f>
        <v>0.375</v>
      </c>
      <c r="C4" s="9">
        <f>+SUMIFS(Regiones[Ofrecidas],Regiones[Fecha],'Mapa Calor'!C$3,Regiones[Intervalo],'Mapa Calor'!$B4,Regiones[Skill],'Mapa Calor'!$B$2)</f>
        <v>37</v>
      </c>
      <c r="D4" s="9">
        <f>+SUMIFS(Regiones[Ofrecidas],Regiones[Fecha],'Mapa Calor'!D$3,Regiones[Intervalo],'Mapa Calor'!$B4,Regiones[Skill],'Mapa Calor'!$B$2)</f>
        <v>45</v>
      </c>
      <c r="E4" s="9">
        <f>+SUMIFS(Regiones[Ofrecidas],Regiones[Fecha],'Mapa Calor'!E$3,Regiones[Intervalo],'Mapa Calor'!$B4,Regiones[Skill],'Mapa Calor'!$B$2)</f>
        <v>25</v>
      </c>
      <c r="F4" s="9">
        <f>+SUMIFS(Regiones[Ofrecidas],Regiones[Fecha],'Mapa Calor'!F$3,Regiones[Intervalo],'Mapa Calor'!$B4,Regiones[Skill],'Mapa Calor'!$B$2)</f>
        <v>0</v>
      </c>
      <c r="G4" s="9">
        <f>+SUMIFS(Regiones[Ofrecidas],Regiones[Fecha],'Mapa Calor'!G$3,Regiones[Intervalo],'Mapa Calor'!$B4,Regiones[Skill],'Mapa Calor'!$B$2)</f>
        <v>0</v>
      </c>
      <c r="H4" s="9">
        <f>+SUMIFS(Regiones[Ofrecidas],Regiones[Fecha],'Mapa Calor'!H$3,Regiones[Intervalo],'Mapa Calor'!$B4,Regiones[Skill],'Mapa Calor'!$B$2)</f>
        <v>0</v>
      </c>
      <c r="I4" s="9">
        <f>+SUMIFS(Regiones[Ofrecidas],Regiones[Fecha],'Mapa Calor'!I$3,Regiones[Intervalo],'Mapa Calor'!$B4,Regiones[Skill],'Mapa Calor'!$B$2)</f>
        <v>0</v>
      </c>
      <c r="J4" s="9">
        <f>+SUMIFS(Regiones[Ofrecidas],Regiones[Fecha],'Mapa Calor'!J$3,Regiones[Intervalo],'Mapa Calor'!$B4,Regiones[Skill],'Mapa Calor'!$B$2)</f>
        <v>0</v>
      </c>
      <c r="K4" s="9">
        <f>+SUMIFS(Regiones[Ofrecidas],Regiones[Fecha],'Mapa Calor'!K$3,Regiones[Intervalo],'Mapa Calor'!$B4,Regiones[Skill],'Mapa Calor'!$B$2)</f>
        <v>0</v>
      </c>
      <c r="L4" s="9">
        <f>+SUMIFS(Regiones[Ofrecidas],Regiones[Fecha],'Mapa Calor'!L$3,Regiones[Intervalo],'Mapa Calor'!$B4,Regiones[Skill],'Mapa Calor'!$B$2)</f>
        <v>0</v>
      </c>
      <c r="M4" s="9">
        <f>+SUMIFS(Regiones[Ofrecidas],Regiones[Fecha],'Mapa Calor'!M$3,Regiones[Intervalo],'Mapa Calor'!$B4,Regiones[Skill],'Mapa Calor'!$B$2)</f>
        <v>0</v>
      </c>
      <c r="N4" s="9">
        <f>+SUMIFS(Regiones[Ofrecidas],Regiones[Fecha],'Mapa Calor'!N$3,Regiones[Intervalo],'Mapa Calor'!$B4,Regiones[Skill],'Mapa Calor'!$B$2)</f>
        <v>0</v>
      </c>
      <c r="O4" s="9">
        <f>+SUMIFS(Regiones[Ofrecidas],Regiones[Fecha],'Mapa Calor'!O$3,Regiones[Intervalo],'Mapa Calor'!$B4,Regiones[Skill],'Mapa Calor'!$B$2)</f>
        <v>0</v>
      </c>
      <c r="P4" s="9">
        <f>+SUMIFS(Regiones[Ofrecidas],Regiones[Fecha],'Mapa Calor'!P$3,Regiones[Intervalo],'Mapa Calor'!$B4,Regiones[Skill],'Mapa Calor'!$B$2)</f>
        <v>0</v>
      </c>
      <c r="Q4" s="9">
        <f>+SUMIFS(Regiones[Ofrecidas],Regiones[Fecha],'Mapa Calor'!Q$3,Regiones[Intervalo],'Mapa Calor'!$B4,Regiones[Skill],'Mapa Calor'!$B$2)</f>
        <v>0</v>
      </c>
      <c r="R4" s="9">
        <f>+SUMIFS(Regiones[Ofrecidas],Regiones[Fecha],'Mapa Calor'!R$3,Regiones[Intervalo],'Mapa Calor'!$B4,Regiones[Skill],'Mapa Calor'!$B$2)</f>
        <v>0</v>
      </c>
      <c r="S4" s="9">
        <f>+SUMIFS(Regiones[Ofrecidas],Regiones[Fecha],'Mapa Calor'!S$3,Regiones[Intervalo],'Mapa Calor'!$B4,Regiones[Skill],'Mapa Calor'!$B$2)</f>
        <v>0</v>
      </c>
      <c r="T4" s="9">
        <f>+SUMIFS(Regiones[Ofrecidas],Regiones[Fecha],'Mapa Calor'!T$3,Regiones[Intervalo],'Mapa Calor'!$B4,Regiones[Skill],'Mapa Calor'!$B$2)</f>
        <v>0</v>
      </c>
      <c r="U4" s="9">
        <f>+SUMIFS(Regiones[Ofrecidas],Regiones[Fecha],'Mapa Calor'!U$3,Regiones[Intervalo],'Mapa Calor'!$B4,Regiones[Skill],'Mapa Calor'!$B$2)</f>
        <v>0</v>
      </c>
      <c r="V4" s="9">
        <f>+SUMIFS(Regiones[Ofrecidas],Regiones[Fecha],'Mapa Calor'!V$3,Regiones[Intervalo],'Mapa Calor'!$B4,Regiones[Skill],'Mapa Calor'!$B$2)</f>
        <v>0</v>
      </c>
      <c r="W4" s="9">
        <f>+SUMIFS(Regiones[Ofrecidas],Regiones[Fecha],'Mapa Calor'!W$3,Regiones[Intervalo],'Mapa Calor'!$B4,Regiones[Skill],'Mapa Calor'!$B$2)</f>
        <v>0</v>
      </c>
      <c r="X4" s="9">
        <f>+SUMIFS(Regiones[Ofrecidas],Regiones[Fecha],'Mapa Calor'!X$3,Regiones[Intervalo],'Mapa Calor'!$B4,Regiones[Skill],'Mapa Calor'!$B$2)</f>
        <v>0</v>
      </c>
      <c r="Y4" s="9">
        <f>+SUMIFS(Regiones[Ofrecidas],Regiones[Fecha],'Mapa Calor'!Y$3,Regiones[Intervalo],'Mapa Calor'!$B4,Regiones[Skill],'Mapa Calor'!$B$2)</f>
        <v>0</v>
      </c>
      <c r="Z4" s="9">
        <f>+SUMIFS(Regiones[Ofrecidas],Regiones[Fecha],'Mapa Calor'!Z$3,Regiones[Intervalo],'Mapa Calor'!$B4,Regiones[Skill],'Mapa Calor'!$B$2)</f>
        <v>0</v>
      </c>
      <c r="AA4" s="9">
        <f>+SUMIFS(Regiones[Ofrecidas],Regiones[Fecha],'Mapa Calor'!AA$3,Regiones[Intervalo],'Mapa Calor'!$B4,Regiones[Skill],'Mapa Calor'!$B$2)</f>
        <v>0</v>
      </c>
      <c r="AB4" s="9">
        <f>+SUMIFS(Regiones[Ofrecidas],Regiones[Fecha],'Mapa Calor'!AB$3,Regiones[Intervalo],'Mapa Calor'!$B4,Regiones[Skill],'Mapa Calor'!$B$2)</f>
        <v>0</v>
      </c>
      <c r="AC4" s="9">
        <f>+SUMIFS(Regiones[Ofrecidas],Regiones[Fecha],'Mapa Calor'!AC$3,Regiones[Intervalo],'Mapa Calor'!$B4,Regiones[Skill],'Mapa Calor'!$B$2)</f>
        <v>0</v>
      </c>
      <c r="AD4" s="9">
        <f>+SUMIFS(Regiones[Ofrecidas],Regiones[Fecha],'Mapa Calor'!AD$3,Regiones[Intervalo],'Mapa Calor'!$B4,Regiones[Skill],'Mapa Calor'!$B$2)</f>
        <v>0</v>
      </c>
      <c r="AE4" s="9">
        <f>+SUMIFS(Regiones[Ofrecidas],Regiones[Fecha],'Mapa Calor'!AE$3,Regiones[Intervalo],'Mapa Calor'!$B4,Regiones[Skill],'Mapa Calor'!$B$2)</f>
        <v>0</v>
      </c>
      <c r="AF4" s="9">
        <f>+SUMIFS(Regiones[Ofrecidas],Regiones[Fecha],'Mapa Calor'!AF$3,Regiones[Intervalo],'Mapa Calor'!$B4,Regiones[Skill],'Mapa Calor'!$B$2)</f>
        <v>0</v>
      </c>
      <c r="AG4" s="9">
        <f>+SUMIFS(Regiones[Ofrecidas],Regiones[Fecha],'Mapa Calor'!AG$3,Regiones[Intervalo],'Mapa Calor'!$B4,Regiones[Skill],'Mapa Calor'!$B$2)</f>
        <v>0</v>
      </c>
    </row>
    <row r="5" spans="2:33" x14ac:dyDescent="0.3">
      <c r="B5" s="8">
        <v>0.39583333333333331</v>
      </c>
      <c r="C5" s="9">
        <f>+SUMIFS(Regiones[Ofrecidas],Regiones[Fecha],'Mapa Calor'!C$3,Regiones[Intervalo],'Mapa Calor'!$B5,Regiones[Skill],'Mapa Calor'!$B$2)</f>
        <v>46</v>
      </c>
      <c r="D5" s="9">
        <f>+SUMIFS(Regiones[Ofrecidas],Regiones[Fecha],'Mapa Calor'!D$3,Regiones[Intervalo],'Mapa Calor'!$B5,Regiones[Skill],'Mapa Calor'!$B$2)</f>
        <v>35</v>
      </c>
      <c r="E5" s="9">
        <f>+SUMIFS(Regiones[Ofrecidas],Regiones[Fecha],'Mapa Calor'!E$3,Regiones[Intervalo],'Mapa Calor'!$B5,Regiones[Skill],'Mapa Calor'!$B$2)</f>
        <v>32</v>
      </c>
      <c r="F5" s="9">
        <f>+SUMIFS(Regiones[Ofrecidas],Regiones[Fecha],'Mapa Calor'!F$3,Regiones[Intervalo],'Mapa Calor'!$B5,Regiones[Skill],'Mapa Calor'!$B$2)</f>
        <v>0</v>
      </c>
      <c r="G5" s="9">
        <f>+SUMIFS(Regiones[Ofrecidas],Regiones[Fecha],'Mapa Calor'!G$3,Regiones[Intervalo],'Mapa Calor'!$B5,Regiones[Skill],'Mapa Calor'!$B$2)</f>
        <v>0</v>
      </c>
      <c r="H5" s="9">
        <f>+SUMIFS(Regiones[Ofrecidas],Regiones[Fecha],'Mapa Calor'!H$3,Regiones[Intervalo],'Mapa Calor'!$B5,Regiones[Skill],'Mapa Calor'!$B$2)</f>
        <v>0</v>
      </c>
      <c r="I5" s="9">
        <f>+SUMIFS(Regiones[Ofrecidas],Regiones[Fecha],'Mapa Calor'!I$3,Regiones[Intervalo],'Mapa Calor'!$B5,Regiones[Skill],'Mapa Calor'!$B$2)</f>
        <v>0</v>
      </c>
      <c r="J5" s="9">
        <f>+SUMIFS(Regiones[Ofrecidas],Regiones[Fecha],'Mapa Calor'!J$3,Regiones[Intervalo],'Mapa Calor'!$B5,Regiones[Skill],'Mapa Calor'!$B$2)</f>
        <v>0</v>
      </c>
      <c r="K5" s="9">
        <f>+SUMIFS(Regiones[Ofrecidas],Regiones[Fecha],'Mapa Calor'!K$3,Regiones[Intervalo],'Mapa Calor'!$B5,Regiones[Skill],'Mapa Calor'!$B$2)</f>
        <v>0</v>
      </c>
      <c r="L5" s="9">
        <f>+SUMIFS(Regiones[Ofrecidas],Regiones[Fecha],'Mapa Calor'!L$3,Regiones[Intervalo],'Mapa Calor'!$B5,Regiones[Skill],'Mapa Calor'!$B$2)</f>
        <v>0</v>
      </c>
      <c r="M5" s="9">
        <f>+SUMIFS(Regiones[Ofrecidas],Regiones[Fecha],'Mapa Calor'!M$3,Regiones[Intervalo],'Mapa Calor'!$B5,Regiones[Skill],'Mapa Calor'!$B$2)</f>
        <v>0</v>
      </c>
      <c r="N5" s="9">
        <f>+SUMIFS(Regiones[Ofrecidas],Regiones[Fecha],'Mapa Calor'!N$3,Regiones[Intervalo],'Mapa Calor'!$B5,Regiones[Skill],'Mapa Calor'!$B$2)</f>
        <v>0</v>
      </c>
      <c r="O5" s="9">
        <f>+SUMIFS(Regiones[Ofrecidas],Regiones[Fecha],'Mapa Calor'!O$3,Regiones[Intervalo],'Mapa Calor'!$B5,Regiones[Skill],'Mapa Calor'!$B$2)</f>
        <v>0</v>
      </c>
      <c r="P5" s="9">
        <f>+SUMIFS(Regiones[Ofrecidas],Regiones[Fecha],'Mapa Calor'!P$3,Regiones[Intervalo],'Mapa Calor'!$B5,Regiones[Skill],'Mapa Calor'!$B$2)</f>
        <v>0</v>
      </c>
      <c r="Q5" s="9">
        <f>+SUMIFS(Regiones[Ofrecidas],Regiones[Fecha],'Mapa Calor'!Q$3,Regiones[Intervalo],'Mapa Calor'!$B5,Regiones[Skill],'Mapa Calor'!$B$2)</f>
        <v>0</v>
      </c>
      <c r="R5" s="9">
        <f>+SUMIFS(Regiones[Ofrecidas],Regiones[Fecha],'Mapa Calor'!R$3,Regiones[Intervalo],'Mapa Calor'!$B5,Regiones[Skill],'Mapa Calor'!$B$2)</f>
        <v>0</v>
      </c>
      <c r="S5" s="9">
        <f>+SUMIFS(Regiones[Ofrecidas],Regiones[Fecha],'Mapa Calor'!S$3,Regiones[Intervalo],'Mapa Calor'!$B5,Regiones[Skill],'Mapa Calor'!$B$2)</f>
        <v>0</v>
      </c>
      <c r="T5" s="9">
        <f>+SUMIFS(Regiones[Ofrecidas],Regiones[Fecha],'Mapa Calor'!T$3,Regiones[Intervalo],'Mapa Calor'!$B5,Regiones[Skill],'Mapa Calor'!$B$2)</f>
        <v>0</v>
      </c>
      <c r="U5" s="9">
        <f>+SUMIFS(Regiones[Ofrecidas],Regiones[Fecha],'Mapa Calor'!U$3,Regiones[Intervalo],'Mapa Calor'!$B5,Regiones[Skill],'Mapa Calor'!$B$2)</f>
        <v>0</v>
      </c>
      <c r="V5" s="9">
        <f>+SUMIFS(Regiones[Ofrecidas],Regiones[Fecha],'Mapa Calor'!V$3,Regiones[Intervalo],'Mapa Calor'!$B5,Regiones[Skill],'Mapa Calor'!$B$2)</f>
        <v>0</v>
      </c>
      <c r="W5" s="9">
        <f>+SUMIFS(Regiones[Ofrecidas],Regiones[Fecha],'Mapa Calor'!W$3,Regiones[Intervalo],'Mapa Calor'!$B5,Regiones[Skill],'Mapa Calor'!$B$2)</f>
        <v>0</v>
      </c>
      <c r="X5" s="9">
        <f>+SUMIFS(Regiones[Ofrecidas],Regiones[Fecha],'Mapa Calor'!X$3,Regiones[Intervalo],'Mapa Calor'!$B5,Regiones[Skill],'Mapa Calor'!$B$2)</f>
        <v>0</v>
      </c>
      <c r="Y5" s="9">
        <f>+SUMIFS(Regiones[Ofrecidas],Regiones[Fecha],'Mapa Calor'!Y$3,Regiones[Intervalo],'Mapa Calor'!$B5,Regiones[Skill],'Mapa Calor'!$B$2)</f>
        <v>0</v>
      </c>
      <c r="Z5" s="9">
        <f>+SUMIFS(Regiones[Ofrecidas],Regiones[Fecha],'Mapa Calor'!Z$3,Regiones[Intervalo],'Mapa Calor'!$B5,Regiones[Skill],'Mapa Calor'!$B$2)</f>
        <v>0</v>
      </c>
      <c r="AA5" s="9">
        <f>+SUMIFS(Regiones[Ofrecidas],Regiones[Fecha],'Mapa Calor'!AA$3,Regiones[Intervalo],'Mapa Calor'!$B5,Regiones[Skill],'Mapa Calor'!$B$2)</f>
        <v>0</v>
      </c>
      <c r="AB5" s="9">
        <f>+SUMIFS(Regiones[Ofrecidas],Regiones[Fecha],'Mapa Calor'!AB$3,Regiones[Intervalo],'Mapa Calor'!$B5,Regiones[Skill],'Mapa Calor'!$B$2)</f>
        <v>0</v>
      </c>
      <c r="AC5" s="9">
        <f>+SUMIFS(Regiones[Ofrecidas],Regiones[Fecha],'Mapa Calor'!AC$3,Regiones[Intervalo],'Mapa Calor'!$B5,Regiones[Skill],'Mapa Calor'!$B$2)</f>
        <v>0</v>
      </c>
      <c r="AD5" s="9">
        <f>+SUMIFS(Regiones[Ofrecidas],Regiones[Fecha],'Mapa Calor'!AD$3,Regiones[Intervalo],'Mapa Calor'!$B5,Regiones[Skill],'Mapa Calor'!$B$2)</f>
        <v>0</v>
      </c>
      <c r="AE5" s="9">
        <f>+SUMIFS(Regiones[Ofrecidas],Regiones[Fecha],'Mapa Calor'!AE$3,Regiones[Intervalo],'Mapa Calor'!$B5,Regiones[Skill],'Mapa Calor'!$B$2)</f>
        <v>0</v>
      </c>
      <c r="AF5" s="9">
        <f>+SUMIFS(Regiones[Ofrecidas],Regiones[Fecha],'Mapa Calor'!AF$3,Regiones[Intervalo],'Mapa Calor'!$B5,Regiones[Skill],'Mapa Calor'!$B$2)</f>
        <v>0</v>
      </c>
      <c r="AG5" s="9">
        <f>+SUMIFS(Regiones[Ofrecidas],Regiones[Fecha],'Mapa Calor'!AG$3,Regiones[Intervalo],'Mapa Calor'!$B5,Regiones[Skill],'Mapa Calor'!$B$2)</f>
        <v>0</v>
      </c>
    </row>
    <row r="6" spans="2:33" x14ac:dyDescent="0.3">
      <c r="B6" s="8">
        <v>0.41666666666666669</v>
      </c>
      <c r="C6" s="9">
        <f>+SUMIFS(Regiones[Ofrecidas],Regiones[Fecha],'Mapa Calor'!C$3,Regiones[Intervalo],'Mapa Calor'!$B6,Regiones[Skill],'Mapa Calor'!$B$2)</f>
        <v>50</v>
      </c>
      <c r="D6" s="9">
        <f>+SUMIFS(Regiones[Ofrecidas],Regiones[Fecha],'Mapa Calor'!D$3,Regiones[Intervalo],'Mapa Calor'!$B6,Regiones[Skill],'Mapa Calor'!$B$2)</f>
        <v>47</v>
      </c>
      <c r="E6" s="9">
        <f>+SUMIFS(Regiones[Ofrecidas],Regiones[Fecha],'Mapa Calor'!E$3,Regiones[Intervalo],'Mapa Calor'!$B6,Regiones[Skill],'Mapa Calor'!$B$2)</f>
        <v>28</v>
      </c>
      <c r="F6" s="9">
        <f>+SUMIFS(Regiones[Ofrecidas],Regiones[Fecha],'Mapa Calor'!F$3,Regiones[Intervalo],'Mapa Calor'!$B6,Regiones[Skill],'Mapa Calor'!$B$2)</f>
        <v>0</v>
      </c>
      <c r="G6" s="9">
        <f>+SUMIFS(Regiones[Ofrecidas],Regiones[Fecha],'Mapa Calor'!G$3,Regiones[Intervalo],'Mapa Calor'!$B6,Regiones[Skill],'Mapa Calor'!$B$2)</f>
        <v>0</v>
      </c>
      <c r="H6" s="9">
        <f>+SUMIFS(Regiones[Ofrecidas],Regiones[Fecha],'Mapa Calor'!H$3,Regiones[Intervalo],'Mapa Calor'!$B6,Regiones[Skill],'Mapa Calor'!$B$2)</f>
        <v>0</v>
      </c>
      <c r="I6" s="9">
        <f>+SUMIFS(Regiones[Ofrecidas],Regiones[Fecha],'Mapa Calor'!I$3,Regiones[Intervalo],'Mapa Calor'!$B6,Regiones[Skill],'Mapa Calor'!$B$2)</f>
        <v>0</v>
      </c>
      <c r="J6" s="9">
        <f>+SUMIFS(Regiones[Ofrecidas],Regiones[Fecha],'Mapa Calor'!J$3,Regiones[Intervalo],'Mapa Calor'!$B6,Regiones[Skill],'Mapa Calor'!$B$2)</f>
        <v>0</v>
      </c>
      <c r="K6" s="9">
        <f>+SUMIFS(Regiones[Ofrecidas],Regiones[Fecha],'Mapa Calor'!K$3,Regiones[Intervalo],'Mapa Calor'!$B6,Regiones[Skill],'Mapa Calor'!$B$2)</f>
        <v>0</v>
      </c>
      <c r="L6" s="9">
        <f>+SUMIFS(Regiones[Ofrecidas],Regiones[Fecha],'Mapa Calor'!L$3,Regiones[Intervalo],'Mapa Calor'!$B6,Regiones[Skill],'Mapa Calor'!$B$2)</f>
        <v>0</v>
      </c>
      <c r="M6" s="9">
        <f>+SUMIFS(Regiones[Ofrecidas],Regiones[Fecha],'Mapa Calor'!M$3,Regiones[Intervalo],'Mapa Calor'!$B6,Regiones[Skill],'Mapa Calor'!$B$2)</f>
        <v>0</v>
      </c>
      <c r="N6" s="9">
        <f>+SUMIFS(Regiones[Ofrecidas],Regiones[Fecha],'Mapa Calor'!N$3,Regiones[Intervalo],'Mapa Calor'!$B6,Regiones[Skill],'Mapa Calor'!$B$2)</f>
        <v>0</v>
      </c>
      <c r="O6" s="9">
        <f>+SUMIFS(Regiones[Ofrecidas],Regiones[Fecha],'Mapa Calor'!O$3,Regiones[Intervalo],'Mapa Calor'!$B6,Regiones[Skill],'Mapa Calor'!$B$2)</f>
        <v>0</v>
      </c>
      <c r="P6" s="9">
        <f>+SUMIFS(Regiones[Ofrecidas],Regiones[Fecha],'Mapa Calor'!P$3,Regiones[Intervalo],'Mapa Calor'!$B6,Regiones[Skill],'Mapa Calor'!$B$2)</f>
        <v>0</v>
      </c>
      <c r="Q6" s="9">
        <f>+SUMIFS(Regiones[Ofrecidas],Regiones[Fecha],'Mapa Calor'!Q$3,Regiones[Intervalo],'Mapa Calor'!$B6,Regiones[Skill],'Mapa Calor'!$B$2)</f>
        <v>0</v>
      </c>
      <c r="R6" s="9">
        <f>+SUMIFS(Regiones[Ofrecidas],Regiones[Fecha],'Mapa Calor'!R$3,Regiones[Intervalo],'Mapa Calor'!$B6,Regiones[Skill],'Mapa Calor'!$B$2)</f>
        <v>0</v>
      </c>
      <c r="S6" s="9">
        <f>+SUMIFS(Regiones[Ofrecidas],Regiones[Fecha],'Mapa Calor'!S$3,Regiones[Intervalo],'Mapa Calor'!$B6,Regiones[Skill],'Mapa Calor'!$B$2)</f>
        <v>0</v>
      </c>
      <c r="T6" s="9">
        <f>+SUMIFS(Regiones[Ofrecidas],Regiones[Fecha],'Mapa Calor'!T$3,Regiones[Intervalo],'Mapa Calor'!$B6,Regiones[Skill],'Mapa Calor'!$B$2)</f>
        <v>0</v>
      </c>
      <c r="U6" s="9">
        <f>+SUMIFS(Regiones[Ofrecidas],Regiones[Fecha],'Mapa Calor'!U$3,Regiones[Intervalo],'Mapa Calor'!$B6,Regiones[Skill],'Mapa Calor'!$B$2)</f>
        <v>0</v>
      </c>
      <c r="V6" s="9">
        <f>+SUMIFS(Regiones[Ofrecidas],Regiones[Fecha],'Mapa Calor'!V$3,Regiones[Intervalo],'Mapa Calor'!$B6,Regiones[Skill],'Mapa Calor'!$B$2)</f>
        <v>0</v>
      </c>
      <c r="W6" s="9">
        <f>+SUMIFS(Regiones[Ofrecidas],Regiones[Fecha],'Mapa Calor'!W$3,Regiones[Intervalo],'Mapa Calor'!$B6,Regiones[Skill],'Mapa Calor'!$B$2)</f>
        <v>0</v>
      </c>
      <c r="X6" s="9">
        <f>+SUMIFS(Regiones[Ofrecidas],Regiones[Fecha],'Mapa Calor'!X$3,Regiones[Intervalo],'Mapa Calor'!$B6,Regiones[Skill],'Mapa Calor'!$B$2)</f>
        <v>0</v>
      </c>
      <c r="Y6" s="9">
        <f>+SUMIFS(Regiones[Ofrecidas],Regiones[Fecha],'Mapa Calor'!Y$3,Regiones[Intervalo],'Mapa Calor'!$B6,Regiones[Skill],'Mapa Calor'!$B$2)</f>
        <v>0</v>
      </c>
      <c r="Z6" s="9">
        <f>+SUMIFS(Regiones[Ofrecidas],Regiones[Fecha],'Mapa Calor'!Z$3,Regiones[Intervalo],'Mapa Calor'!$B6,Regiones[Skill],'Mapa Calor'!$B$2)</f>
        <v>0</v>
      </c>
      <c r="AA6" s="9">
        <f>+SUMIFS(Regiones[Ofrecidas],Regiones[Fecha],'Mapa Calor'!AA$3,Regiones[Intervalo],'Mapa Calor'!$B6,Regiones[Skill],'Mapa Calor'!$B$2)</f>
        <v>0</v>
      </c>
      <c r="AB6" s="9">
        <f>+SUMIFS(Regiones[Ofrecidas],Regiones[Fecha],'Mapa Calor'!AB$3,Regiones[Intervalo],'Mapa Calor'!$B6,Regiones[Skill],'Mapa Calor'!$B$2)</f>
        <v>0</v>
      </c>
      <c r="AC6" s="9">
        <f>+SUMIFS(Regiones[Ofrecidas],Regiones[Fecha],'Mapa Calor'!AC$3,Regiones[Intervalo],'Mapa Calor'!$B6,Regiones[Skill],'Mapa Calor'!$B$2)</f>
        <v>0</v>
      </c>
      <c r="AD6" s="9">
        <f>+SUMIFS(Regiones[Ofrecidas],Regiones[Fecha],'Mapa Calor'!AD$3,Regiones[Intervalo],'Mapa Calor'!$B6,Regiones[Skill],'Mapa Calor'!$B$2)</f>
        <v>0</v>
      </c>
      <c r="AE6" s="9">
        <f>+SUMIFS(Regiones[Ofrecidas],Regiones[Fecha],'Mapa Calor'!AE$3,Regiones[Intervalo],'Mapa Calor'!$B6,Regiones[Skill],'Mapa Calor'!$B$2)</f>
        <v>0</v>
      </c>
      <c r="AF6" s="9">
        <f>+SUMIFS(Regiones[Ofrecidas],Regiones[Fecha],'Mapa Calor'!AF$3,Regiones[Intervalo],'Mapa Calor'!$B6,Regiones[Skill],'Mapa Calor'!$B$2)</f>
        <v>0</v>
      </c>
      <c r="AG6" s="9">
        <f>+SUMIFS(Regiones[Ofrecidas],Regiones[Fecha],'Mapa Calor'!AG$3,Regiones[Intervalo],'Mapa Calor'!$B6,Regiones[Skill],'Mapa Calor'!$B$2)</f>
        <v>0</v>
      </c>
    </row>
    <row r="7" spans="2:33" x14ac:dyDescent="0.3">
      <c r="B7" s="8">
        <v>0.4375</v>
      </c>
      <c r="C7" s="9">
        <f>+SUMIFS(Regiones[Ofrecidas],Regiones[Fecha],'Mapa Calor'!C$3,Regiones[Intervalo],'Mapa Calor'!$B7,Regiones[Skill],'Mapa Calor'!$B$2)</f>
        <v>52</v>
      </c>
      <c r="D7" s="9">
        <f>+SUMIFS(Regiones[Ofrecidas],Regiones[Fecha],'Mapa Calor'!D$3,Regiones[Intervalo],'Mapa Calor'!$B7,Regiones[Skill],'Mapa Calor'!$B$2)</f>
        <v>43</v>
      </c>
      <c r="E7" s="9">
        <f>+SUMIFS(Regiones[Ofrecidas],Regiones[Fecha],'Mapa Calor'!E$3,Regiones[Intervalo],'Mapa Calor'!$B7,Regiones[Skill],'Mapa Calor'!$B$2)</f>
        <v>34</v>
      </c>
      <c r="F7" s="9">
        <f>+SUMIFS(Regiones[Ofrecidas],Regiones[Fecha],'Mapa Calor'!F$3,Regiones[Intervalo],'Mapa Calor'!$B7,Regiones[Skill],'Mapa Calor'!$B$2)</f>
        <v>0</v>
      </c>
      <c r="G7" s="9">
        <f>+SUMIFS(Regiones[Ofrecidas],Regiones[Fecha],'Mapa Calor'!G$3,Regiones[Intervalo],'Mapa Calor'!$B7,Regiones[Skill],'Mapa Calor'!$B$2)</f>
        <v>0</v>
      </c>
      <c r="H7" s="9">
        <f>+SUMIFS(Regiones[Ofrecidas],Regiones[Fecha],'Mapa Calor'!H$3,Regiones[Intervalo],'Mapa Calor'!$B7,Regiones[Skill],'Mapa Calor'!$B$2)</f>
        <v>0</v>
      </c>
      <c r="I7" s="9">
        <f>+SUMIFS(Regiones[Ofrecidas],Regiones[Fecha],'Mapa Calor'!I$3,Regiones[Intervalo],'Mapa Calor'!$B7,Regiones[Skill],'Mapa Calor'!$B$2)</f>
        <v>0</v>
      </c>
      <c r="J7" s="9">
        <f>+SUMIFS(Regiones[Ofrecidas],Regiones[Fecha],'Mapa Calor'!J$3,Regiones[Intervalo],'Mapa Calor'!$B7,Regiones[Skill],'Mapa Calor'!$B$2)</f>
        <v>0</v>
      </c>
      <c r="K7" s="9">
        <f>+SUMIFS(Regiones[Ofrecidas],Regiones[Fecha],'Mapa Calor'!K$3,Regiones[Intervalo],'Mapa Calor'!$B7,Regiones[Skill],'Mapa Calor'!$B$2)</f>
        <v>0</v>
      </c>
      <c r="L7" s="9">
        <f>+SUMIFS(Regiones[Ofrecidas],Regiones[Fecha],'Mapa Calor'!L$3,Regiones[Intervalo],'Mapa Calor'!$B7,Regiones[Skill],'Mapa Calor'!$B$2)</f>
        <v>0</v>
      </c>
      <c r="M7" s="9">
        <f>+SUMIFS(Regiones[Ofrecidas],Regiones[Fecha],'Mapa Calor'!M$3,Regiones[Intervalo],'Mapa Calor'!$B7,Regiones[Skill],'Mapa Calor'!$B$2)</f>
        <v>0</v>
      </c>
      <c r="N7" s="9">
        <f>+SUMIFS(Regiones[Ofrecidas],Regiones[Fecha],'Mapa Calor'!N$3,Regiones[Intervalo],'Mapa Calor'!$B7,Regiones[Skill],'Mapa Calor'!$B$2)</f>
        <v>0</v>
      </c>
      <c r="O7" s="9">
        <f>+SUMIFS(Regiones[Ofrecidas],Regiones[Fecha],'Mapa Calor'!O$3,Regiones[Intervalo],'Mapa Calor'!$B7,Regiones[Skill],'Mapa Calor'!$B$2)</f>
        <v>0</v>
      </c>
      <c r="P7" s="9">
        <f>+SUMIFS(Regiones[Ofrecidas],Regiones[Fecha],'Mapa Calor'!P$3,Regiones[Intervalo],'Mapa Calor'!$B7,Regiones[Skill],'Mapa Calor'!$B$2)</f>
        <v>0</v>
      </c>
      <c r="Q7" s="9">
        <f>+SUMIFS(Regiones[Ofrecidas],Regiones[Fecha],'Mapa Calor'!Q$3,Regiones[Intervalo],'Mapa Calor'!$B7,Regiones[Skill],'Mapa Calor'!$B$2)</f>
        <v>0</v>
      </c>
      <c r="R7" s="9">
        <f>+SUMIFS(Regiones[Ofrecidas],Regiones[Fecha],'Mapa Calor'!R$3,Regiones[Intervalo],'Mapa Calor'!$B7,Regiones[Skill],'Mapa Calor'!$B$2)</f>
        <v>0</v>
      </c>
      <c r="S7" s="9">
        <f>+SUMIFS(Regiones[Ofrecidas],Regiones[Fecha],'Mapa Calor'!S$3,Regiones[Intervalo],'Mapa Calor'!$B7,Regiones[Skill],'Mapa Calor'!$B$2)</f>
        <v>0</v>
      </c>
      <c r="T7" s="9">
        <f>+SUMIFS(Regiones[Ofrecidas],Regiones[Fecha],'Mapa Calor'!T$3,Regiones[Intervalo],'Mapa Calor'!$B7,Regiones[Skill],'Mapa Calor'!$B$2)</f>
        <v>0</v>
      </c>
      <c r="U7" s="9">
        <f>+SUMIFS(Regiones[Ofrecidas],Regiones[Fecha],'Mapa Calor'!U$3,Regiones[Intervalo],'Mapa Calor'!$B7,Regiones[Skill],'Mapa Calor'!$B$2)</f>
        <v>0</v>
      </c>
      <c r="V7" s="9">
        <f>+SUMIFS(Regiones[Ofrecidas],Regiones[Fecha],'Mapa Calor'!V$3,Regiones[Intervalo],'Mapa Calor'!$B7,Regiones[Skill],'Mapa Calor'!$B$2)</f>
        <v>0</v>
      </c>
      <c r="W7" s="9">
        <f>+SUMIFS(Regiones[Ofrecidas],Regiones[Fecha],'Mapa Calor'!W$3,Regiones[Intervalo],'Mapa Calor'!$B7,Regiones[Skill],'Mapa Calor'!$B$2)</f>
        <v>0</v>
      </c>
      <c r="X7" s="9">
        <f>+SUMIFS(Regiones[Ofrecidas],Regiones[Fecha],'Mapa Calor'!X$3,Regiones[Intervalo],'Mapa Calor'!$B7,Regiones[Skill],'Mapa Calor'!$B$2)</f>
        <v>0</v>
      </c>
      <c r="Y7" s="9">
        <f>+SUMIFS(Regiones[Ofrecidas],Regiones[Fecha],'Mapa Calor'!Y$3,Regiones[Intervalo],'Mapa Calor'!$B7,Regiones[Skill],'Mapa Calor'!$B$2)</f>
        <v>0</v>
      </c>
      <c r="Z7" s="9">
        <f>+SUMIFS(Regiones[Ofrecidas],Regiones[Fecha],'Mapa Calor'!Z$3,Regiones[Intervalo],'Mapa Calor'!$B7,Regiones[Skill],'Mapa Calor'!$B$2)</f>
        <v>0</v>
      </c>
      <c r="AA7" s="9">
        <f>+SUMIFS(Regiones[Ofrecidas],Regiones[Fecha],'Mapa Calor'!AA$3,Regiones[Intervalo],'Mapa Calor'!$B7,Regiones[Skill],'Mapa Calor'!$B$2)</f>
        <v>0</v>
      </c>
      <c r="AB7" s="9">
        <f>+SUMIFS(Regiones[Ofrecidas],Regiones[Fecha],'Mapa Calor'!AB$3,Regiones[Intervalo],'Mapa Calor'!$B7,Regiones[Skill],'Mapa Calor'!$B$2)</f>
        <v>0</v>
      </c>
      <c r="AC7" s="9">
        <f>+SUMIFS(Regiones[Ofrecidas],Regiones[Fecha],'Mapa Calor'!AC$3,Regiones[Intervalo],'Mapa Calor'!$B7,Regiones[Skill],'Mapa Calor'!$B$2)</f>
        <v>0</v>
      </c>
      <c r="AD7" s="9">
        <f>+SUMIFS(Regiones[Ofrecidas],Regiones[Fecha],'Mapa Calor'!AD$3,Regiones[Intervalo],'Mapa Calor'!$B7,Regiones[Skill],'Mapa Calor'!$B$2)</f>
        <v>0</v>
      </c>
      <c r="AE7" s="9">
        <f>+SUMIFS(Regiones[Ofrecidas],Regiones[Fecha],'Mapa Calor'!AE$3,Regiones[Intervalo],'Mapa Calor'!$B7,Regiones[Skill],'Mapa Calor'!$B$2)</f>
        <v>0</v>
      </c>
      <c r="AF7" s="9">
        <f>+SUMIFS(Regiones[Ofrecidas],Regiones[Fecha],'Mapa Calor'!AF$3,Regiones[Intervalo],'Mapa Calor'!$B7,Regiones[Skill],'Mapa Calor'!$B$2)</f>
        <v>0</v>
      </c>
      <c r="AG7" s="9">
        <f>+SUMIFS(Regiones[Ofrecidas],Regiones[Fecha],'Mapa Calor'!AG$3,Regiones[Intervalo],'Mapa Calor'!$B7,Regiones[Skill],'Mapa Calor'!$B$2)</f>
        <v>0</v>
      </c>
    </row>
    <row r="8" spans="2:33" x14ac:dyDescent="0.3">
      <c r="B8" s="8">
        <v>0.45833333333333331</v>
      </c>
      <c r="C8" s="9">
        <f>+SUMIFS(Regiones[Ofrecidas],Regiones[Fecha],'Mapa Calor'!C$3,Regiones[Intervalo],'Mapa Calor'!$B8,Regiones[Skill],'Mapa Calor'!$B$2)</f>
        <v>45</v>
      </c>
      <c r="D8" s="9">
        <f>+SUMIFS(Regiones[Ofrecidas],Regiones[Fecha],'Mapa Calor'!D$3,Regiones[Intervalo],'Mapa Calor'!$B8,Regiones[Skill],'Mapa Calor'!$B$2)</f>
        <v>27</v>
      </c>
      <c r="E8" s="9">
        <f>+SUMIFS(Regiones[Ofrecidas],Regiones[Fecha],'Mapa Calor'!E$3,Regiones[Intervalo],'Mapa Calor'!$B8,Regiones[Skill],'Mapa Calor'!$B$2)</f>
        <v>46</v>
      </c>
      <c r="F8" s="9">
        <f>+SUMIFS(Regiones[Ofrecidas],Regiones[Fecha],'Mapa Calor'!F$3,Regiones[Intervalo],'Mapa Calor'!$B8,Regiones[Skill],'Mapa Calor'!$B$2)</f>
        <v>1</v>
      </c>
      <c r="G8" s="9">
        <f>+SUMIFS(Regiones[Ofrecidas],Regiones[Fecha],'Mapa Calor'!G$3,Regiones[Intervalo],'Mapa Calor'!$B8,Regiones[Skill],'Mapa Calor'!$B$2)</f>
        <v>0</v>
      </c>
      <c r="H8" s="9">
        <f>+SUMIFS(Regiones[Ofrecidas],Regiones[Fecha],'Mapa Calor'!H$3,Regiones[Intervalo],'Mapa Calor'!$B8,Regiones[Skill],'Mapa Calor'!$B$2)</f>
        <v>0</v>
      </c>
      <c r="I8" s="9">
        <f>+SUMIFS(Regiones[Ofrecidas],Regiones[Fecha],'Mapa Calor'!I$3,Regiones[Intervalo],'Mapa Calor'!$B8,Regiones[Skill],'Mapa Calor'!$B$2)</f>
        <v>0</v>
      </c>
      <c r="J8" s="9">
        <f>+SUMIFS(Regiones[Ofrecidas],Regiones[Fecha],'Mapa Calor'!J$3,Regiones[Intervalo],'Mapa Calor'!$B8,Regiones[Skill],'Mapa Calor'!$B$2)</f>
        <v>0</v>
      </c>
      <c r="K8" s="9">
        <f>+SUMIFS(Regiones[Ofrecidas],Regiones[Fecha],'Mapa Calor'!K$3,Regiones[Intervalo],'Mapa Calor'!$B8,Regiones[Skill],'Mapa Calor'!$B$2)</f>
        <v>0</v>
      </c>
      <c r="L8" s="9">
        <f>+SUMIFS(Regiones[Ofrecidas],Regiones[Fecha],'Mapa Calor'!L$3,Regiones[Intervalo],'Mapa Calor'!$B8,Regiones[Skill],'Mapa Calor'!$B$2)</f>
        <v>0</v>
      </c>
      <c r="M8" s="9">
        <f>+SUMIFS(Regiones[Ofrecidas],Regiones[Fecha],'Mapa Calor'!M$3,Regiones[Intervalo],'Mapa Calor'!$B8,Regiones[Skill],'Mapa Calor'!$B$2)</f>
        <v>0</v>
      </c>
      <c r="N8" s="9">
        <f>+SUMIFS(Regiones[Ofrecidas],Regiones[Fecha],'Mapa Calor'!N$3,Regiones[Intervalo],'Mapa Calor'!$B8,Regiones[Skill],'Mapa Calor'!$B$2)</f>
        <v>0</v>
      </c>
      <c r="O8" s="9">
        <f>+SUMIFS(Regiones[Ofrecidas],Regiones[Fecha],'Mapa Calor'!O$3,Regiones[Intervalo],'Mapa Calor'!$B8,Regiones[Skill],'Mapa Calor'!$B$2)</f>
        <v>0</v>
      </c>
      <c r="P8" s="9">
        <f>+SUMIFS(Regiones[Ofrecidas],Regiones[Fecha],'Mapa Calor'!P$3,Regiones[Intervalo],'Mapa Calor'!$B8,Regiones[Skill],'Mapa Calor'!$B$2)</f>
        <v>0</v>
      </c>
      <c r="Q8" s="9">
        <f>+SUMIFS(Regiones[Ofrecidas],Regiones[Fecha],'Mapa Calor'!Q$3,Regiones[Intervalo],'Mapa Calor'!$B8,Regiones[Skill],'Mapa Calor'!$B$2)</f>
        <v>0</v>
      </c>
      <c r="R8" s="9">
        <f>+SUMIFS(Regiones[Ofrecidas],Regiones[Fecha],'Mapa Calor'!R$3,Regiones[Intervalo],'Mapa Calor'!$B8,Regiones[Skill],'Mapa Calor'!$B$2)</f>
        <v>0</v>
      </c>
      <c r="S8" s="9">
        <f>+SUMIFS(Regiones[Ofrecidas],Regiones[Fecha],'Mapa Calor'!S$3,Regiones[Intervalo],'Mapa Calor'!$B8,Regiones[Skill],'Mapa Calor'!$B$2)</f>
        <v>0</v>
      </c>
      <c r="T8" s="9">
        <f>+SUMIFS(Regiones[Ofrecidas],Regiones[Fecha],'Mapa Calor'!T$3,Regiones[Intervalo],'Mapa Calor'!$B8,Regiones[Skill],'Mapa Calor'!$B$2)</f>
        <v>0</v>
      </c>
      <c r="U8" s="9">
        <f>+SUMIFS(Regiones[Ofrecidas],Regiones[Fecha],'Mapa Calor'!U$3,Regiones[Intervalo],'Mapa Calor'!$B8,Regiones[Skill],'Mapa Calor'!$B$2)</f>
        <v>0</v>
      </c>
      <c r="V8" s="9">
        <f>+SUMIFS(Regiones[Ofrecidas],Regiones[Fecha],'Mapa Calor'!V$3,Regiones[Intervalo],'Mapa Calor'!$B8,Regiones[Skill],'Mapa Calor'!$B$2)</f>
        <v>0</v>
      </c>
      <c r="W8" s="9">
        <f>+SUMIFS(Regiones[Ofrecidas],Regiones[Fecha],'Mapa Calor'!W$3,Regiones[Intervalo],'Mapa Calor'!$B8,Regiones[Skill],'Mapa Calor'!$B$2)</f>
        <v>0</v>
      </c>
      <c r="X8" s="9">
        <f>+SUMIFS(Regiones[Ofrecidas],Regiones[Fecha],'Mapa Calor'!X$3,Regiones[Intervalo],'Mapa Calor'!$B8,Regiones[Skill],'Mapa Calor'!$B$2)</f>
        <v>0</v>
      </c>
      <c r="Y8" s="9">
        <f>+SUMIFS(Regiones[Ofrecidas],Regiones[Fecha],'Mapa Calor'!Y$3,Regiones[Intervalo],'Mapa Calor'!$B8,Regiones[Skill],'Mapa Calor'!$B$2)</f>
        <v>0</v>
      </c>
      <c r="Z8" s="9">
        <f>+SUMIFS(Regiones[Ofrecidas],Regiones[Fecha],'Mapa Calor'!Z$3,Regiones[Intervalo],'Mapa Calor'!$B8,Regiones[Skill],'Mapa Calor'!$B$2)</f>
        <v>0</v>
      </c>
      <c r="AA8" s="9">
        <f>+SUMIFS(Regiones[Ofrecidas],Regiones[Fecha],'Mapa Calor'!AA$3,Regiones[Intervalo],'Mapa Calor'!$B8,Regiones[Skill],'Mapa Calor'!$B$2)</f>
        <v>0</v>
      </c>
      <c r="AB8" s="9">
        <f>+SUMIFS(Regiones[Ofrecidas],Regiones[Fecha],'Mapa Calor'!AB$3,Regiones[Intervalo],'Mapa Calor'!$B8,Regiones[Skill],'Mapa Calor'!$B$2)</f>
        <v>0</v>
      </c>
      <c r="AC8" s="9">
        <f>+SUMIFS(Regiones[Ofrecidas],Regiones[Fecha],'Mapa Calor'!AC$3,Regiones[Intervalo],'Mapa Calor'!$B8,Regiones[Skill],'Mapa Calor'!$B$2)</f>
        <v>0</v>
      </c>
      <c r="AD8" s="9">
        <f>+SUMIFS(Regiones[Ofrecidas],Regiones[Fecha],'Mapa Calor'!AD$3,Regiones[Intervalo],'Mapa Calor'!$B8,Regiones[Skill],'Mapa Calor'!$B$2)</f>
        <v>0</v>
      </c>
      <c r="AE8" s="9">
        <f>+SUMIFS(Regiones[Ofrecidas],Regiones[Fecha],'Mapa Calor'!AE$3,Regiones[Intervalo],'Mapa Calor'!$B8,Regiones[Skill],'Mapa Calor'!$B$2)</f>
        <v>0</v>
      </c>
      <c r="AF8" s="9">
        <f>+SUMIFS(Regiones[Ofrecidas],Regiones[Fecha],'Mapa Calor'!AF$3,Regiones[Intervalo],'Mapa Calor'!$B8,Regiones[Skill],'Mapa Calor'!$B$2)</f>
        <v>0</v>
      </c>
      <c r="AG8" s="9">
        <f>+SUMIFS(Regiones[Ofrecidas],Regiones[Fecha],'Mapa Calor'!AG$3,Regiones[Intervalo],'Mapa Calor'!$B8,Regiones[Skill],'Mapa Calor'!$B$2)</f>
        <v>0</v>
      </c>
    </row>
    <row r="9" spans="2:33" x14ac:dyDescent="0.3">
      <c r="B9" s="8">
        <v>0.47916666666666669</v>
      </c>
      <c r="C9" s="9">
        <f>+SUMIFS(Regiones[Ofrecidas],Regiones[Fecha],'Mapa Calor'!C$3,Regiones[Intervalo],'Mapa Calor'!$B9,Regiones[Skill],'Mapa Calor'!$B$2)</f>
        <v>48</v>
      </c>
      <c r="D9" s="9">
        <f>+SUMIFS(Regiones[Ofrecidas],Regiones[Fecha],'Mapa Calor'!D$3,Regiones[Intervalo],'Mapa Calor'!$B9,Regiones[Skill],'Mapa Calor'!$B$2)</f>
        <v>42</v>
      </c>
      <c r="E9" s="9">
        <f>+SUMIFS(Regiones[Ofrecidas],Regiones[Fecha],'Mapa Calor'!E$3,Regiones[Intervalo],'Mapa Calor'!$B9,Regiones[Skill],'Mapa Calor'!$B$2)</f>
        <v>52</v>
      </c>
      <c r="F9" s="9">
        <f>+SUMIFS(Regiones[Ofrecidas],Regiones[Fecha],'Mapa Calor'!F$3,Regiones[Intervalo],'Mapa Calor'!$B9,Regiones[Skill],'Mapa Calor'!$B$2)</f>
        <v>2</v>
      </c>
      <c r="G9" s="9">
        <f>+SUMIFS(Regiones[Ofrecidas],Regiones[Fecha],'Mapa Calor'!G$3,Regiones[Intervalo],'Mapa Calor'!$B9,Regiones[Skill],'Mapa Calor'!$B$2)</f>
        <v>0</v>
      </c>
      <c r="H9" s="9">
        <f>+SUMIFS(Regiones[Ofrecidas],Regiones[Fecha],'Mapa Calor'!H$3,Regiones[Intervalo],'Mapa Calor'!$B9,Regiones[Skill],'Mapa Calor'!$B$2)</f>
        <v>0</v>
      </c>
      <c r="I9" s="9">
        <f>+SUMIFS(Regiones[Ofrecidas],Regiones[Fecha],'Mapa Calor'!I$3,Regiones[Intervalo],'Mapa Calor'!$B9,Regiones[Skill],'Mapa Calor'!$B$2)</f>
        <v>0</v>
      </c>
      <c r="J9" s="9">
        <f>+SUMIFS(Regiones[Ofrecidas],Regiones[Fecha],'Mapa Calor'!J$3,Regiones[Intervalo],'Mapa Calor'!$B9,Regiones[Skill],'Mapa Calor'!$B$2)</f>
        <v>0</v>
      </c>
      <c r="K9" s="9">
        <f>+SUMIFS(Regiones[Ofrecidas],Regiones[Fecha],'Mapa Calor'!K$3,Regiones[Intervalo],'Mapa Calor'!$B9,Regiones[Skill],'Mapa Calor'!$B$2)</f>
        <v>0</v>
      </c>
      <c r="L9" s="9">
        <f>+SUMIFS(Regiones[Ofrecidas],Regiones[Fecha],'Mapa Calor'!L$3,Regiones[Intervalo],'Mapa Calor'!$B9,Regiones[Skill],'Mapa Calor'!$B$2)</f>
        <v>0</v>
      </c>
      <c r="M9" s="9">
        <f>+SUMIFS(Regiones[Ofrecidas],Regiones[Fecha],'Mapa Calor'!M$3,Regiones[Intervalo],'Mapa Calor'!$B9,Regiones[Skill],'Mapa Calor'!$B$2)</f>
        <v>0</v>
      </c>
      <c r="N9" s="9">
        <f>+SUMIFS(Regiones[Ofrecidas],Regiones[Fecha],'Mapa Calor'!N$3,Regiones[Intervalo],'Mapa Calor'!$B9,Regiones[Skill],'Mapa Calor'!$B$2)</f>
        <v>0</v>
      </c>
      <c r="O9" s="9">
        <f>+SUMIFS(Regiones[Ofrecidas],Regiones[Fecha],'Mapa Calor'!O$3,Regiones[Intervalo],'Mapa Calor'!$B9,Regiones[Skill],'Mapa Calor'!$B$2)</f>
        <v>0</v>
      </c>
      <c r="P9" s="9">
        <f>+SUMIFS(Regiones[Ofrecidas],Regiones[Fecha],'Mapa Calor'!P$3,Regiones[Intervalo],'Mapa Calor'!$B9,Regiones[Skill],'Mapa Calor'!$B$2)</f>
        <v>0</v>
      </c>
      <c r="Q9" s="9">
        <f>+SUMIFS(Regiones[Ofrecidas],Regiones[Fecha],'Mapa Calor'!Q$3,Regiones[Intervalo],'Mapa Calor'!$B9,Regiones[Skill],'Mapa Calor'!$B$2)</f>
        <v>0</v>
      </c>
      <c r="R9" s="9">
        <f>+SUMIFS(Regiones[Ofrecidas],Regiones[Fecha],'Mapa Calor'!R$3,Regiones[Intervalo],'Mapa Calor'!$B9,Regiones[Skill],'Mapa Calor'!$B$2)</f>
        <v>0</v>
      </c>
      <c r="S9" s="9">
        <f>+SUMIFS(Regiones[Ofrecidas],Regiones[Fecha],'Mapa Calor'!S$3,Regiones[Intervalo],'Mapa Calor'!$B9,Regiones[Skill],'Mapa Calor'!$B$2)</f>
        <v>0</v>
      </c>
      <c r="T9" s="9">
        <f>+SUMIFS(Regiones[Ofrecidas],Regiones[Fecha],'Mapa Calor'!T$3,Regiones[Intervalo],'Mapa Calor'!$B9,Regiones[Skill],'Mapa Calor'!$B$2)</f>
        <v>0</v>
      </c>
      <c r="U9" s="9">
        <f>+SUMIFS(Regiones[Ofrecidas],Regiones[Fecha],'Mapa Calor'!U$3,Regiones[Intervalo],'Mapa Calor'!$B9,Regiones[Skill],'Mapa Calor'!$B$2)</f>
        <v>0</v>
      </c>
      <c r="V9" s="9">
        <f>+SUMIFS(Regiones[Ofrecidas],Regiones[Fecha],'Mapa Calor'!V$3,Regiones[Intervalo],'Mapa Calor'!$B9,Regiones[Skill],'Mapa Calor'!$B$2)</f>
        <v>0</v>
      </c>
      <c r="W9" s="9">
        <f>+SUMIFS(Regiones[Ofrecidas],Regiones[Fecha],'Mapa Calor'!W$3,Regiones[Intervalo],'Mapa Calor'!$B9,Regiones[Skill],'Mapa Calor'!$B$2)</f>
        <v>0</v>
      </c>
      <c r="X9" s="9">
        <f>+SUMIFS(Regiones[Ofrecidas],Regiones[Fecha],'Mapa Calor'!X$3,Regiones[Intervalo],'Mapa Calor'!$B9,Regiones[Skill],'Mapa Calor'!$B$2)</f>
        <v>0</v>
      </c>
      <c r="Y9" s="9">
        <f>+SUMIFS(Regiones[Ofrecidas],Regiones[Fecha],'Mapa Calor'!Y$3,Regiones[Intervalo],'Mapa Calor'!$B9,Regiones[Skill],'Mapa Calor'!$B$2)</f>
        <v>0</v>
      </c>
      <c r="Z9" s="9">
        <f>+SUMIFS(Regiones[Ofrecidas],Regiones[Fecha],'Mapa Calor'!Z$3,Regiones[Intervalo],'Mapa Calor'!$B9,Regiones[Skill],'Mapa Calor'!$B$2)</f>
        <v>0</v>
      </c>
      <c r="AA9" s="9">
        <f>+SUMIFS(Regiones[Ofrecidas],Regiones[Fecha],'Mapa Calor'!AA$3,Regiones[Intervalo],'Mapa Calor'!$B9,Regiones[Skill],'Mapa Calor'!$B$2)</f>
        <v>0</v>
      </c>
      <c r="AB9" s="9">
        <f>+SUMIFS(Regiones[Ofrecidas],Regiones[Fecha],'Mapa Calor'!AB$3,Regiones[Intervalo],'Mapa Calor'!$B9,Regiones[Skill],'Mapa Calor'!$B$2)</f>
        <v>0</v>
      </c>
      <c r="AC9" s="9">
        <f>+SUMIFS(Regiones[Ofrecidas],Regiones[Fecha],'Mapa Calor'!AC$3,Regiones[Intervalo],'Mapa Calor'!$B9,Regiones[Skill],'Mapa Calor'!$B$2)</f>
        <v>0</v>
      </c>
      <c r="AD9" s="9">
        <f>+SUMIFS(Regiones[Ofrecidas],Regiones[Fecha],'Mapa Calor'!AD$3,Regiones[Intervalo],'Mapa Calor'!$B9,Regiones[Skill],'Mapa Calor'!$B$2)</f>
        <v>0</v>
      </c>
      <c r="AE9" s="9">
        <f>+SUMIFS(Regiones[Ofrecidas],Regiones[Fecha],'Mapa Calor'!AE$3,Regiones[Intervalo],'Mapa Calor'!$B9,Regiones[Skill],'Mapa Calor'!$B$2)</f>
        <v>0</v>
      </c>
      <c r="AF9" s="9">
        <f>+SUMIFS(Regiones[Ofrecidas],Regiones[Fecha],'Mapa Calor'!AF$3,Regiones[Intervalo],'Mapa Calor'!$B9,Regiones[Skill],'Mapa Calor'!$B$2)</f>
        <v>0</v>
      </c>
      <c r="AG9" s="9">
        <f>+SUMIFS(Regiones[Ofrecidas],Regiones[Fecha],'Mapa Calor'!AG$3,Regiones[Intervalo],'Mapa Calor'!$B9,Regiones[Skill],'Mapa Calor'!$B$2)</f>
        <v>0</v>
      </c>
    </row>
    <row r="10" spans="2:33" x14ac:dyDescent="0.3">
      <c r="B10" s="8">
        <v>0.5</v>
      </c>
      <c r="C10" s="9">
        <f>+SUMIFS(Regiones[Ofrecidas],Regiones[Fecha],'Mapa Calor'!C$3,Regiones[Intervalo],'Mapa Calor'!$B10,Regiones[Skill],'Mapa Calor'!$B$2)</f>
        <v>53</v>
      </c>
      <c r="D10" s="9">
        <f>+SUMIFS(Regiones[Ofrecidas],Regiones[Fecha],'Mapa Calor'!D$3,Regiones[Intervalo],'Mapa Calor'!$B10,Regiones[Skill],'Mapa Calor'!$B$2)</f>
        <v>27</v>
      </c>
      <c r="E10" s="9">
        <f>+SUMIFS(Regiones[Ofrecidas],Regiones[Fecha],'Mapa Calor'!E$3,Regiones[Intervalo],'Mapa Calor'!$B10,Regiones[Skill],'Mapa Calor'!$B$2)</f>
        <v>46</v>
      </c>
      <c r="F10" s="9">
        <f>+SUMIFS(Regiones[Ofrecidas],Regiones[Fecha],'Mapa Calor'!F$3,Regiones[Intervalo],'Mapa Calor'!$B10,Regiones[Skill],'Mapa Calor'!$B$2)</f>
        <v>1</v>
      </c>
      <c r="G10" s="9">
        <f>+SUMIFS(Regiones[Ofrecidas],Regiones[Fecha],'Mapa Calor'!G$3,Regiones[Intervalo],'Mapa Calor'!$B10,Regiones[Skill],'Mapa Calor'!$B$2)</f>
        <v>0</v>
      </c>
      <c r="H10" s="9">
        <f>+SUMIFS(Regiones[Ofrecidas],Regiones[Fecha],'Mapa Calor'!H$3,Regiones[Intervalo],'Mapa Calor'!$B10,Regiones[Skill],'Mapa Calor'!$B$2)</f>
        <v>0</v>
      </c>
      <c r="I10" s="9">
        <f>+SUMIFS(Regiones[Ofrecidas],Regiones[Fecha],'Mapa Calor'!I$3,Regiones[Intervalo],'Mapa Calor'!$B10,Regiones[Skill],'Mapa Calor'!$B$2)</f>
        <v>0</v>
      </c>
      <c r="J10" s="9">
        <f>+SUMIFS(Regiones[Ofrecidas],Regiones[Fecha],'Mapa Calor'!J$3,Regiones[Intervalo],'Mapa Calor'!$B10,Regiones[Skill],'Mapa Calor'!$B$2)</f>
        <v>0</v>
      </c>
      <c r="K10" s="9">
        <f>+SUMIFS(Regiones[Ofrecidas],Regiones[Fecha],'Mapa Calor'!K$3,Regiones[Intervalo],'Mapa Calor'!$B10,Regiones[Skill],'Mapa Calor'!$B$2)</f>
        <v>0</v>
      </c>
      <c r="L10" s="9">
        <f>+SUMIFS(Regiones[Ofrecidas],Regiones[Fecha],'Mapa Calor'!L$3,Regiones[Intervalo],'Mapa Calor'!$B10,Regiones[Skill],'Mapa Calor'!$B$2)</f>
        <v>0</v>
      </c>
      <c r="M10" s="9">
        <f>+SUMIFS(Regiones[Ofrecidas],Regiones[Fecha],'Mapa Calor'!M$3,Regiones[Intervalo],'Mapa Calor'!$B10,Regiones[Skill],'Mapa Calor'!$B$2)</f>
        <v>0</v>
      </c>
      <c r="N10" s="9">
        <f>+SUMIFS(Regiones[Ofrecidas],Regiones[Fecha],'Mapa Calor'!N$3,Regiones[Intervalo],'Mapa Calor'!$B10,Regiones[Skill],'Mapa Calor'!$B$2)</f>
        <v>0</v>
      </c>
      <c r="O10" s="9">
        <f>+SUMIFS(Regiones[Ofrecidas],Regiones[Fecha],'Mapa Calor'!O$3,Regiones[Intervalo],'Mapa Calor'!$B10,Regiones[Skill],'Mapa Calor'!$B$2)</f>
        <v>0</v>
      </c>
      <c r="P10" s="9">
        <f>+SUMIFS(Regiones[Ofrecidas],Regiones[Fecha],'Mapa Calor'!P$3,Regiones[Intervalo],'Mapa Calor'!$B10,Regiones[Skill],'Mapa Calor'!$B$2)</f>
        <v>0</v>
      </c>
      <c r="Q10" s="9">
        <f>+SUMIFS(Regiones[Ofrecidas],Regiones[Fecha],'Mapa Calor'!Q$3,Regiones[Intervalo],'Mapa Calor'!$B10,Regiones[Skill],'Mapa Calor'!$B$2)</f>
        <v>0</v>
      </c>
      <c r="R10" s="9">
        <f>+SUMIFS(Regiones[Ofrecidas],Regiones[Fecha],'Mapa Calor'!R$3,Regiones[Intervalo],'Mapa Calor'!$B10,Regiones[Skill],'Mapa Calor'!$B$2)</f>
        <v>0</v>
      </c>
      <c r="S10" s="9">
        <f>+SUMIFS(Regiones[Ofrecidas],Regiones[Fecha],'Mapa Calor'!S$3,Regiones[Intervalo],'Mapa Calor'!$B10,Regiones[Skill],'Mapa Calor'!$B$2)</f>
        <v>0</v>
      </c>
      <c r="T10" s="9">
        <f>+SUMIFS(Regiones[Ofrecidas],Regiones[Fecha],'Mapa Calor'!T$3,Regiones[Intervalo],'Mapa Calor'!$B10,Regiones[Skill],'Mapa Calor'!$B$2)</f>
        <v>0</v>
      </c>
      <c r="U10" s="9">
        <f>+SUMIFS(Regiones[Ofrecidas],Regiones[Fecha],'Mapa Calor'!U$3,Regiones[Intervalo],'Mapa Calor'!$B10,Regiones[Skill],'Mapa Calor'!$B$2)</f>
        <v>0</v>
      </c>
      <c r="V10" s="9">
        <f>+SUMIFS(Regiones[Ofrecidas],Regiones[Fecha],'Mapa Calor'!V$3,Regiones[Intervalo],'Mapa Calor'!$B10,Regiones[Skill],'Mapa Calor'!$B$2)</f>
        <v>0</v>
      </c>
      <c r="W10" s="9">
        <f>+SUMIFS(Regiones[Ofrecidas],Regiones[Fecha],'Mapa Calor'!W$3,Regiones[Intervalo],'Mapa Calor'!$B10,Regiones[Skill],'Mapa Calor'!$B$2)</f>
        <v>0</v>
      </c>
      <c r="X10" s="9">
        <f>+SUMIFS(Regiones[Ofrecidas],Regiones[Fecha],'Mapa Calor'!X$3,Regiones[Intervalo],'Mapa Calor'!$B10,Regiones[Skill],'Mapa Calor'!$B$2)</f>
        <v>0</v>
      </c>
      <c r="Y10" s="9">
        <f>+SUMIFS(Regiones[Ofrecidas],Regiones[Fecha],'Mapa Calor'!Y$3,Regiones[Intervalo],'Mapa Calor'!$B10,Regiones[Skill],'Mapa Calor'!$B$2)</f>
        <v>0</v>
      </c>
      <c r="Z10" s="9">
        <f>+SUMIFS(Regiones[Ofrecidas],Regiones[Fecha],'Mapa Calor'!Z$3,Regiones[Intervalo],'Mapa Calor'!$B10,Regiones[Skill],'Mapa Calor'!$B$2)</f>
        <v>0</v>
      </c>
      <c r="AA10" s="9">
        <f>+SUMIFS(Regiones[Ofrecidas],Regiones[Fecha],'Mapa Calor'!AA$3,Regiones[Intervalo],'Mapa Calor'!$B10,Regiones[Skill],'Mapa Calor'!$B$2)</f>
        <v>0</v>
      </c>
      <c r="AB10" s="9">
        <f>+SUMIFS(Regiones[Ofrecidas],Regiones[Fecha],'Mapa Calor'!AB$3,Regiones[Intervalo],'Mapa Calor'!$B10,Regiones[Skill],'Mapa Calor'!$B$2)</f>
        <v>0</v>
      </c>
      <c r="AC10" s="9">
        <f>+SUMIFS(Regiones[Ofrecidas],Regiones[Fecha],'Mapa Calor'!AC$3,Regiones[Intervalo],'Mapa Calor'!$B10,Regiones[Skill],'Mapa Calor'!$B$2)</f>
        <v>0</v>
      </c>
      <c r="AD10" s="9">
        <f>+SUMIFS(Regiones[Ofrecidas],Regiones[Fecha],'Mapa Calor'!AD$3,Regiones[Intervalo],'Mapa Calor'!$B10,Regiones[Skill],'Mapa Calor'!$B$2)</f>
        <v>0</v>
      </c>
      <c r="AE10" s="9">
        <f>+SUMIFS(Regiones[Ofrecidas],Regiones[Fecha],'Mapa Calor'!AE$3,Regiones[Intervalo],'Mapa Calor'!$B10,Regiones[Skill],'Mapa Calor'!$B$2)</f>
        <v>0</v>
      </c>
      <c r="AF10" s="9">
        <f>+SUMIFS(Regiones[Ofrecidas],Regiones[Fecha],'Mapa Calor'!AF$3,Regiones[Intervalo],'Mapa Calor'!$B10,Regiones[Skill],'Mapa Calor'!$B$2)</f>
        <v>0</v>
      </c>
      <c r="AG10" s="9">
        <f>+SUMIFS(Regiones[Ofrecidas],Regiones[Fecha],'Mapa Calor'!AG$3,Regiones[Intervalo],'Mapa Calor'!$B10,Regiones[Skill],'Mapa Calor'!$B$2)</f>
        <v>0</v>
      </c>
    </row>
    <row r="11" spans="2:33" x14ac:dyDescent="0.3">
      <c r="B11" s="8">
        <v>0.52083333333333337</v>
      </c>
      <c r="C11" s="9">
        <f>+SUMIFS(Regiones[Ofrecidas],Regiones[Fecha],'Mapa Calor'!C$3,Regiones[Intervalo],'Mapa Calor'!$B11,Regiones[Skill],'Mapa Calor'!$B$2)</f>
        <v>34</v>
      </c>
      <c r="D11" s="9">
        <f>+SUMIFS(Regiones[Ofrecidas],Regiones[Fecha],'Mapa Calor'!D$3,Regiones[Intervalo],'Mapa Calor'!$B11,Regiones[Skill],'Mapa Calor'!$B$2)</f>
        <v>26</v>
      </c>
      <c r="E11" s="9">
        <f>+SUMIFS(Regiones[Ofrecidas],Regiones[Fecha],'Mapa Calor'!E$3,Regiones[Intervalo],'Mapa Calor'!$B11,Regiones[Skill],'Mapa Calor'!$B$2)</f>
        <v>34</v>
      </c>
      <c r="F11" s="9">
        <f>+SUMIFS(Regiones[Ofrecidas],Regiones[Fecha],'Mapa Calor'!F$3,Regiones[Intervalo],'Mapa Calor'!$B11,Regiones[Skill],'Mapa Calor'!$B$2)</f>
        <v>2</v>
      </c>
      <c r="G11" s="9">
        <f>+SUMIFS(Regiones[Ofrecidas],Regiones[Fecha],'Mapa Calor'!G$3,Regiones[Intervalo],'Mapa Calor'!$B11,Regiones[Skill],'Mapa Calor'!$B$2)</f>
        <v>0</v>
      </c>
      <c r="H11" s="9">
        <f>+SUMIFS(Regiones[Ofrecidas],Regiones[Fecha],'Mapa Calor'!H$3,Regiones[Intervalo],'Mapa Calor'!$B11,Regiones[Skill],'Mapa Calor'!$B$2)</f>
        <v>0</v>
      </c>
      <c r="I11" s="9">
        <f>+SUMIFS(Regiones[Ofrecidas],Regiones[Fecha],'Mapa Calor'!I$3,Regiones[Intervalo],'Mapa Calor'!$B11,Regiones[Skill],'Mapa Calor'!$B$2)</f>
        <v>0</v>
      </c>
      <c r="J11" s="9">
        <f>+SUMIFS(Regiones[Ofrecidas],Regiones[Fecha],'Mapa Calor'!J$3,Regiones[Intervalo],'Mapa Calor'!$B11,Regiones[Skill],'Mapa Calor'!$B$2)</f>
        <v>0</v>
      </c>
      <c r="K11" s="9">
        <f>+SUMIFS(Regiones[Ofrecidas],Regiones[Fecha],'Mapa Calor'!K$3,Regiones[Intervalo],'Mapa Calor'!$B11,Regiones[Skill],'Mapa Calor'!$B$2)</f>
        <v>0</v>
      </c>
      <c r="L11" s="9">
        <f>+SUMIFS(Regiones[Ofrecidas],Regiones[Fecha],'Mapa Calor'!L$3,Regiones[Intervalo],'Mapa Calor'!$B11,Regiones[Skill],'Mapa Calor'!$B$2)</f>
        <v>0</v>
      </c>
      <c r="M11" s="9">
        <f>+SUMIFS(Regiones[Ofrecidas],Regiones[Fecha],'Mapa Calor'!M$3,Regiones[Intervalo],'Mapa Calor'!$B11,Regiones[Skill],'Mapa Calor'!$B$2)</f>
        <v>0</v>
      </c>
      <c r="N11" s="9">
        <f>+SUMIFS(Regiones[Ofrecidas],Regiones[Fecha],'Mapa Calor'!N$3,Regiones[Intervalo],'Mapa Calor'!$B11,Regiones[Skill],'Mapa Calor'!$B$2)</f>
        <v>0</v>
      </c>
      <c r="O11" s="9">
        <f>+SUMIFS(Regiones[Ofrecidas],Regiones[Fecha],'Mapa Calor'!O$3,Regiones[Intervalo],'Mapa Calor'!$B11,Regiones[Skill],'Mapa Calor'!$B$2)</f>
        <v>0</v>
      </c>
      <c r="P11" s="9">
        <f>+SUMIFS(Regiones[Ofrecidas],Regiones[Fecha],'Mapa Calor'!P$3,Regiones[Intervalo],'Mapa Calor'!$B11,Regiones[Skill],'Mapa Calor'!$B$2)</f>
        <v>0</v>
      </c>
      <c r="Q11" s="9">
        <f>+SUMIFS(Regiones[Ofrecidas],Regiones[Fecha],'Mapa Calor'!Q$3,Regiones[Intervalo],'Mapa Calor'!$B11,Regiones[Skill],'Mapa Calor'!$B$2)</f>
        <v>0</v>
      </c>
      <c r="R11" s="9">
        <f>+SUMIFS(Regiones[Ofrecidas],Regiones[Fecha],'Mapa Calor'!R$3,Regiones[Intervalo],'Mapa Calor'!$B11,Regiones[Skill],'Mapa Calor'!$B$2)</f>
        <v>0</v>
      </c>
      <c r="S11" s="9">
        <f>+SUMIFS(Regiones[Ofrecidas],Regiones[Fecha],'Mapa Calor'!S$3,Regiones[Intervalo],'Mapa Calor'!$B11,Regiones[Skill],'Mapa Calor'!$B$2)</f>
        <v>0</v>
      </c>
      <c r="T11" s="9">
        <f>+SUMIFS(Regiones[Ofrecidas],Regiones[Fecha],'Mapa Calor'!T$3,Regiones[Intervalo],'Mapa Calor'!$B11,Regiones[Skill],'Mapa Calor'!$B$2)</f>
        <v>0</v>
      </c>
      <c r="U11" s="9">
        <f>+SUMIFS(Regiones[Ofrecidas],Regiones[Fecha],'Mapa Calor'!U$3,Regiones[Intervalo],'Mapa Calor'!$B11,Regiones[Skill],'Mapa Calor'!$B$2)</f>
        <v>0</v>
      </c>
      <c r="V11" s="9">
        <f>+SUMIFS(Regiones[Ofrecidas],Regiones[Fecha],'Mapa Calor'!V$3,Regiones[Intervalo],'Mapa Calor'!$B11,Regiones[Skill],'Mapa Calor'!$B$2)</f>
        <v>0</v>
      </c>
      <c r="W11" s="9">
        <f>+SUMIFS(Regiones[Ofrecidas],Regiones[Fecha],'Mapa Calor'!W$3,Regiones[Intervalo],'Mapa Calor'!$B11,Regiones[Skill],'Mapa Calor'!$B$2)</f>
        <v>0</v>
      </c>
      <c r="X11" s="9">
        <f>+SUMIFS(Regiones[Ofrecidas],Regiones[Fecha],'Mapa Calor'!X$3,Regiones[Intervalo],'Mapa Calor'!$B11,Regiones[Skill],'Mapa Calor'!$B$2)</f>
        <v>0</v>
      </c>
      <c r="Y11" s="9">
        <f>+SUMIFS(Regiones[Ofrecidas],Regiones[Fecha],'Mapa Calor'!Y$3,Regiones[Intervalo],'Mapa Calor'!$B11,Regiones[Skill],'Mapa Calor'!$B$2)</f>
        <v>0</v>
      </c>
      <c r="Z11" s="9">
        <f>+SUMIFS(Regiones[Ofrecidas],Regiones[Fecha],'Mapa Calor'!Z$3,Regiones[Intervalo],'Mapa Calor'!$B11,Regiones[Skill],'Mapa Calor'!$B$2)</f>
        <v>0</v>
      </c>
      <c r="AA11" s="9">
        <f>+SUMIFS(Regiones[Ofrecidas],Regiones[Fecha],'Mapa Calor'!AA$3,Regiones[Intervalo],'Mapa Calor'!$B11,Regiones[Skill],'Mapa Calor'!$B$2)</f>
        <v>0</v>
      </c>
      <c r="AB11" s="9">
        <f>+SUMIFS(Regiones[Ofrecidas],Regiones[Fecha],'Mapa Calor'!AB$3,Regiones[Intervalo],'Mapa Calor'!$B11,Regiones[Skill],'Mapa Calor'!$B$2)</f>
        <v>0</v>
      </c>
      <c r="AC11" s="9">
        <f>+SUMIFS(Regiones[Ofrecidas],Regiones[Fecha],'Mapa Calor'!AC$3,Regiones[Intervalo],'Mapa Calor'!$B11,Regiones[Skill],'Mapa Calor'!$B$2)</f>
        <v>0</v>
      </c>
      <c r="AD11" s="9">
        <f>+SUMIFS(Regiones[Ofrecidas],Regiones[Fecha],'Mapa Calor'!AD$3,Regiones[Intervalo],'Mapa Calor'!$B11,Regiones[Skill],'Mapa Calor'!$B$2)</f>
        <v>0</v>
      </c>
      <c r="AE11" s="9">
        <f>+SUMIFS(Regiones[Ofrecidas],Regiones[Fecha],'Mapa Calor'!AE$3,Regiones[Intervalo],'Mapa Calor'!$B11,Regiones[Skill],'Mapa Calor'!$B$2)</f>
        <v>0</v>
      </c>
      <c r="AF11" s="9">
        <f>+SUMIFS(Regiones[Ofrecidas],Regiones[Fecha],'Mapa Calor'!AF$3,Regiones[Intervalo],'Mapa Calor'!$B11,Regiones[Skill],'Mapa Calor'!$B$2)</f>
        <v>0</v>
      </c>
      <c r="AG11" s="9">
        <f>+SUMIFS(Regiones[Ofrecidas],Regiones[Fecha],'Mapa Calor'!AG$3,Regiones[Intervalo],'Mapa Calor'!$B11,Regiones[Skill],'Mapa Calor'!$B$2)</f>
        <v>0</v>
      </c>
    </row>
    <row r="12" spans="2:33" x14ac:dyDescent="0.3">
      <c r="B12" s="8">
        <v>0.54166666666666663</v>
      </c>
      <c r="C12" s="9">
        <f>+SUMIFS(Regiones[Ofrecidas],Regiones[Fecha],'Mapa Calor'!C$3,Regiones[Intervalo],'Mapa Calor'!$B12,Regiones[Skill],'Mapa Calor'!$B$2)</f>
        <v>36</v>
      </c>
      <c r="D12" s="9">
        <f>+SUMIFS(Regiones[Ofrecidas],Regiones[Fecha],'Mapa Calor'!D$3,Regiones[Intervalo],'Mapa Calor'!$B12,Regiones[Skill],'Mapa Calor'!$B$2)</f>
        <v>38</v>
      </c>
      <c r="E12" s="9">
        <f>+SUMIFS(Regiones[Ofrecidas],Regiones[Fecha],'Mapa Calor'!E$3,Regiones[Intervalo],'Mapa Calor'!$B12,Regiones[Skill],'Mapa Calor'!$B$2)</f>
        <v>24</v>
      </c>
      <c r="F12" s="9">
        <f>+SUMIFS(Regiones[Ofrecidas],Regiones[Fecha],'Mapa Calor'!F$3,Regiones[Intervalo],'Mapa Calor'!$B12,Regiones[Skill],'Mapa Calor'!$B$2)</f>
        <v>1</v>
      </c>
      <c r="G12" s="9">
        <f>+SUMIFS(Regiones[Ofrecidas],Regiones[Fecha],'Mapa Calor'!G$3,Regiones[Intervalo],'Mapa Calor'!$B12,Regiones[Skill],'Mapa Calor'!$B$2)</f>
        <v>0</v>
      </c>
      <c r="H12" s="9">
        <f>+SUMIFS(Regiones[Ofrecidas],Regiones[Fecha],'Mapa Calor'!H$3,Regiones[Intervalo],'Mapa Calor'!$B12,Regiones[Skill],'Mapa Calor'!$B$2)</f>
        <v>0</v>
      </c>
      <c r="I12" s="9">
        <f>+SUMIFS(Regiones[Ofrecidas],Regiones[Fecha],'Mapa Calor'!I$3,Regiones[Intervalo],'Mapa Calor'!$B12,Regiones[Skill],'Mapa Calor'!$B$2)</f>
        <v>0</v>
      </c>
      <c r="J12" s="9">
        <f>+SUMIFS(Regiones[Ofrecidas],Regiones[Fecha],'Mapa Calor'!J$3,Regiones[Intervalo],'Mapa Calor'!$B12,Regiones[Skill],'Mapa Calor'!$B$2)</f>
        <v>0</v>
      </c>
      <c r="K12" s="9">
        <f>+SUMIFS(Regiones[Ofrecidas],Regiones[Fecha],'Mapa Calor'!K$3,Regiones[Intervalo],'Mapa Calor'!$B12,Regiones[Skill],'Mapa Calor'!$B$2)</f>
        <v>0</v>
      </c>
      <c r="L12" s="9">
        <f>+SUMIFS(Regiones[Ofrecidas],Regiones[Fecha],'Mapa Calor'!L$3,Regiones[Intervalo],'Mapa Calor'!$B12,Regiones[Skill],'Mapa Calor'!$B$2)</f>
        <v>0</v>
      </c>
      <c r="M12" s="9">
        <f>+SUMIFS(Regiones[Ofrecidas],Regiones[Fecha],'Mapa Calor'!M$3,Regiones[Intervalo],'Mapa Calor'!$B12,Regiones[Skill],'Mapa Calor'!$B$2)</f>
        <v>0</v>
      </c>
      <c r="N12" s="9">
        <f>+SUMIFS(Regiones[Ofrecidas],Regiones[Fecha],'Mapa Calor'!N$3,Regiones[Intervalo],'Mapa Calor'!$B12,Regiones[Skill],'Mapa Calor'!$B$2)</f>
        <v>0</v>
      </c>
      <c r="O12" s="9">
        <f>+SUMIFS(Regiones[Ofrecidas],Regiones[Fecha],'Mapa Calor'!O$3,Regiones[Intervalo],'Mapa Calor'!$B12,Regiones[Skill],'Mapa Calor'!$B$2)</f>
        <v>0</v>
      </c>
      <c r="P12" s="9">
        <f>+SUMIFS(Regiones[Ofrecidas],Regiones[Fecha],'Mapa Calor'!P$3,Regiones[Intervalo],'Mapa Calor'!$B12,Regiones[Skill],'Mapa Calor'!$B$2)</f>
        <v>0</v>
      </c>
      <c r="Q12" s="9">
        <f>+SUMIFS(Regiones[Ofrecidas],Regiones[Fecha],'Mapa Calor'!Q$3,Regiones[Intervalo],'Mapa Calor'!$B12,Regiones[Skill],'Mapa Calor'!$B$2)</f>
        <v>0</v>
      </c>
      <c r="R12" s="9">
        <f>+SUMIFS(Regiones[Ofrecidas],Regiones[Fecha],'Mapa Calor'!R$3,Regiones[Intervalo],'Mapa Calor'!$B12,Regiones[Skill],'Mapa Calor'!$B$2)</f>
        <v>0</v>
      </c>
      <c r="S12" s="9">
        <f>+SUMIFS(Regiones[Ofrecidas],Regiones[Fecha],'Mapa Calor'!S$3,Regiones[Intervalo],'Mapa Calor'!$B12,Regiones[Skill],'Mapa Calor'!$B$2)</f>
        <v>0</v>
      </c>
      <c r="T12" s="9">
        <f>+SUMIFS(Regiones[Ofrecidas],Regiones[Fecha],'Mapa Calor'!T$3,Regiones[Intervalo],'Mapa Calor'!$B12,Regiones[Skill],'Mapa Calor'!$B$2)</f>
        <v>0</v>
      </c>
      <c r="U12" s="9">
        <f>+SUMIFS(Regiones[Ofrecidas],Regiones[Fecha],'Mapa Calor'!U$3,Regiones[Intervalo],'Mapa Calor'!$B12,Regiones[Skill],'Mapa Calor'!$B$2)</f>
        <v>0</v>
      </c>
      <c r="V12" s="9">
        <f>+SUMIFS(Regiones[Ofrecidas],Regiones[Fecha],'Mapa Calor'!V$3,Regiones[Intervalo],'Mapa Calor'!$B12,Regiones[Skill],'Mapa Calor'!$B$2)</f>
        <v>0</v>
      </c>
      <c r="W12" s="9">
        <f>+SUMIFS(Regiones[Ofrecidas],Regiones[Fecha],'Mapa Calor'!W$3,Regiones[Intervalo],'Mapa Calor'!$B12,Regiones[Skill],'Mapa Calor'!$B$2)</f>
        <v>0</v>
      </c>
      <c r="X12" s="9">
        <f>+SUMIFS(Regiones[Ofrecidas],Regiones[Fecha],'Mapa Calor'!X$3,Regiones[Intervalo],'Mapa Calor'!$B12,Regiones[Skill],'Mapa Calor'!$B$2)</f>
        <v>0</v>
      </c>
      <c r="Y12" s="9">
        <f>+SUMIFS(Regiones[Ofrecidas],Regiones[Fecha],'Mapa Calor'!Y$3,Regiones[Intervalo],'Mapa Calor'!$B12,Regiones[Skill],'Mapa Calor'!$B$2)</f>
        <v>0</v>
      </c>
      <c r="Z12" s="9">
        <f>+SUMIFS(Regiones[Ofrecidas],Regiones[Fecha],'Mapa Calor'!Z$3,Regiones[Intervalo],'Mapa Calor'!$B12,Regiones[Skill],'Mapa Calor'!$B$2)</f>
        <v>0</v>
      </c>
      <c r="AA12" s="9">
        <f>+SUMIFS(Regiones[Ofrecidas],Regiones[Fecha],'Mapa Calor'!AA$3,Regiones[Intervalo],'Mapa Calor'!$B12,Regiones[Skill],'Mapa Calor'!$B$2)</f>
        <v>0</v>
      </c>
      <c r="AB12" s="9">
        <f>+SUMIFS(Regiones[Ofrecidas],Regiones[Fecha],'Mapa Calor'!AB$3,Regiones[Intervalo],'Mapa Calor'!$B12,Regiones[Skill],'Mapa Calor'!$B$2)</f>
        <v>0</v>
      </c>
      <c r="AC12" s="9">
        <f>+SUMIFS(Regiones[Ofrecidas],Regiones[Fecha],'Mapa Calor'!AC$3,Regiones[Intervalo],'Mapa Calor'!$B12,Regiones[Skill],'Mapa Calor'!$B$2)</f>
        <v>0</v>
      </c>
      <c r="AD12" s="9">
        <f>+SUMIFS(Regiones[Ofrecidas],Regiones[Fecha],'Mapa Calor'!AD$3,Regiones[Intervalo],'Mapa Calor'!$B12,Regiones[Skill],'Mapa Calor'!$B$2)</f>
        <v>0</v>
      </c>
      <c r="AE12" s="9">
        <f>+SUMIFS(Regiones[Ofrecidas],Regiones[Fecha],'Mapa Calor'!AE$3,Regiones[Intervalo],'Mapa Calor'!$B12,Regiones[Skill],'Mapa Calor'!$B$2)</f>
        <v>0</v>
      </c>
      <c r="AF12" s="9">
        <f>+SUMIFS(Regiones[Ofrecidas],Regiones[Fecha],'Mapa Calor'!AF$3,Regiones[Intervalo],'Mapa Calor'!$B12,Regiones[Skill],'Mapa Calor'!$B$2)</f>
        <v>0</v>
      </c>
      <c r="AG12" s="9">
        <f>+SUMIFS(Regiones[Ofrecidas],Regiones[Fecha],'Mapa Calor'!AG$3,Regiones[Intervalo],'Mapa Calor'!$B12,Regiones[Skill],'Mapa Calor'!$B$2)</f>
        <v>0</v>
      </c>
    </row>
    <row r="13" spans="2:33" x14ac:dyDescent="0.3">
      <c r="B13" s="8">
        <v>0.5625</v>
      </c>
      <c r="C13" s="9">
        <f>+SUMIFS(Regiones[Ofrecidas],Regiones[Fecha],'Mapa Calor'!C$3,Regiones[Intervalo],'Mapa Calor'!$B13,Regiones[Skill],'Mapa Calor'!$B$2)</f>
        <v>30</v>
      </c>
      <c r="D13" s="9">
        <f>+SUMIFS(Regiones[Ofrecidas],Regiones[Fecha],'Mapa Calor'!D$3,Regiones[Intervalo],'Mapa Calor'!$B13,Regiones[Skill],'Mapa Calor'!$B$2)</f>
        <v>41</v>
      </c>
      <c r="E13" s="9">
        <f>+SUMIFS(Regiones[Ofrecidas],Regiones[Fecha],'Mapa Calor'!E$3,Regiones[Intervalo],'Mapa Calor'!$B13,Regiones[Skill],'Mapa Calor'!$B$2)</f>
        <v>34</v>
      </c>
      <c r="F13" s="9">
        <f>+SUMIFS(Regiones[Ofrecidas],Regiones[Fecha],'Mapa Calor'!F$3,Regiones[Intervalo],'Mapa Calor'!$B13,Regiones[Skill],'Mapa Calor'!$B$2)</f>
        <v>1</v>
      </c>
      <c r="G13" s="9">
        <f>+SUMIFS(Regiones[Ofrecidas],Regiones[Fecha],'Mapa Calor'!G$3,Regiones[Intervalo],'Mapa Calor'!$B13,Regiones[Skill],'Mapa Calor'!$B$2)</f>
        <v>0</v>
      </c>
      <c r="H13" s="9">
        <f>+SUMIFS(Regiones[Ofrecidas],Regiones[Fecha],'Mapa Calor'!H$3,Regiones[Intervalo],'Mapa Calor'!$B13,Regiones[Skill],'Mapa Calor'!$B$2)</f>
        <v>0</v>
      </c>
      <c r="I13" s="9">
        <f>+SUMIFS(Regiones[Ofrecidas],Regiones[Fecha],'Mapa Calor'!I$3,Regiones[Intervalo],'Mapa Calor'!$B13,Regiones[Skill],'Mapa Calor'!$B$2)</f>
        <v>0</v>
      </c>
      <c r="J13" s="9">
        <f>+SUMIFS(Regiones[Ofrecidas],Regiones[Fecha],'Mapa Calor'!J$3,Regiones[Intervalo],'Mapa Calor'!$B13,Regiones[Skill],'Mapa Calor'!$B$2)</f>
        <v>0</v>
      </c>
      <c r="K13" s="9">
        <f>+SUMIFS(Regiones[Ofrecidas],Regiones[Fecha],'Mapa Calor'!K$3,Regiones[Intervalo],'Mapa Calor'!$B13,Regiones[Skill],'Mapa Calor'!$B$2)</f>
        <v>0</v>
      </c>
      <c r="L13" s="9">
        <f>+SUMIFS(Regiones[Ofrecidas],Regiones[Fecha],'Mapa Calor'!L$3,Regiones[Intervalo],'Mapa Calor'!$B13,Regiones[Skill],'Mapa Calor'!$B$2)</f>
        <v>0</v>
      </c>
      <c r="M13" s="9">
        <f>+SUMIFS(Regiones[Ofrecidas],Regiones[Fecha],'Mapa Calor'!M$3,Regiones[Intervalo],'Mapa Calor'!$B13,Regiones[Skill],'Mapa Calor'!$B$2)</f>
        <v>0</v>
      </c>
      <c r="N13" s="9">
        <f>+SUMIFS(Regiones[Ofrecidas],Regiones[Fecha],'Mapa Calor'!N$3,Regiones[Intervalo],'Mapa Calor'!$B13,Regiones[Skill],'Mapa Calor'!$B$2)</f>
        <v>0</v>
      </c>
      <c r="O13" s="9">
        <f>+SUMIFS(Regiones[Ofrecidas],Regiones[Fecha],'Mapa Calor'!O$3,Regiones[Intervalo],'Mapa Calor'!$B13,Regiones[Skill],'Mapa Calor'!$B$2)</f>
        <v>0</v>
      </c>
      <c r="P13" s="9">
        <f>+SUMIFS(Regiones[Ofrecidas],Regiones[Fecha],'Mapa Calor'!P$3,Regiones[Intervalo],'Mapa Calor'!$B13,Regiones[Skill],'Mapa Calor'!$B$2)</f>
        <v>0</v>
      </c>
      <c r="Q13" s="9">
        <f>+SUMIFS(Regiones[Ofrecidas],Regiones[Fecha],'Mapa Calor'!Q$3,Regiones[Intervalo],'Mapa Calor'!$B13,Regiones[Skill],'Mapa Calor'!$B$2)</f>
        <v>0</v>
      </c>
      <c r="R13" s="9">
        <f>+SUMIFS(Regiones[Ofrecidas],Regiones[Fecha],'Mapa Calor'!R$3,Regiones[Intervalo],'Mapa Calor'!$B13,Regiones[Skill],'Mapa Calor'!$B$2)</f>
        <v>0</v>
      </c>
      <c r="S13" s="9">
        <f>+SUMIFS(Regiones[Ofrecidas],Regiones[Fecha],'Mapa Calor'!S$3,Regiones[Intervalo],'Mapa Calor'!$B13,Regiones[Skill],'Mapa Calor'!$B$2)</f>
        <v>0</v>
      </c>
      <c r="T13" s="9">
        <f>+SUMIFS(Regiones[Ofrecidas],Regiones[Fecha],'Mapa Calor'!T$3,Regiones[Intervalo],'Mapa Calor'!$B13,Regiones[Skill],'Mapa Calor'!$B$2)</f>
        <v>0</v>
      </c>
      <c r="U13" s="9">
        <f>+SUMIFS(Regiones[Ofrecidas],Regiones[Fecha],'Mapa Calor'!U$3,Regiones[Intervalo],'Mapa Calor'!$B13,Regiones[Skill],'Mapa Calor'!$B$2)</f>
        <v>0</v>
      </c>
      <c r="V13" s="9">
        <f>+SUMIFS(Regiones[Ofrecidas],Regiones[Fecha],'Mapa Calor'!V$3,Regiones[Intervalo],'Mapa Calor'!$B13,Regiones[Skill],'Mapa Calor'!$B$2)</f>
        <v>0</v>
      </c>
      <c r="W13" s="9">
        <f>+SUMIFS(Regiones[Ofrecidas],Regiones[Fecha],'Mapa Calor'!W$3,Regiones[Intervalo],'Mapa Calor'!$B13,Regiones[Skill],'Mapa Calor'!$B$2)</f>
        <v>0</v>
      </c>
      <c r="X13" s="9">
        <f>+SUMIFS(Regiones[Ofrecidas],Regiones[Fecha],'Mapa Calor'!X$3,Regiones[Intervalo],'Mapa Calor'!$B13,Regiones[Skill],'Mapa Calor'!$B$2)</f>
        <v>0</v>
      </c>
      <c r="Y13" s="9">
        <f>+SUMIFS(Regiones[Ofrecidas],Regiones[Fecha],'Mapa Calor'!Y$3,Regiones[Intervalo],'Mapa Calor'!$B13,Regiones[Skill],'Mapa Calor'!$B$2)</f>
        <v>0</v>
      </c>
      <c r="Z13" s="9">
        <f>+SUMIFS(Regiones[Ofrecidas],Regiones[Fecha],'Mapa Calor'!Z$3,Regiones[Intervalo],'Mapa Calor'!$B13,Regiones[Skill],'Mapa Calor'!$B$2)</f>
        <v>0</v>
      </c>
      <c r="AA13" s="9">
        <f>+SUMIFS(Regiones[Ofrecidas],Regiones[Fecha],'Mapa Calor'!AA$3,Regiones[Intervalo],'Mapa Calor'!$B13,Regiones[Skill],'Mapa Calor'!$B$2)</f>
        <v>0</v>
      </c>
      <c r="AB13" s="9">
        <f>+SUMIFS(Regiones[Ofrecidas],Regiones[Fecha],'Mapa Calor'!AB$3,Regiones[Intervalo],'Mapa Calor'!$B13,Regiones[Skill],'Mapa Calor'!$B$2)</f>
        <v>0</v>
      </c>
      <c r="AC13" s="9">
        <f>+SUMIFS(Regiones[Ofrecidas],Regiones[Fecha],'Mapa Calor'!AC$3,Regiones[Intervalo],'Mapa Calor'!$B13,Regiones[Skill],'Mapa Calor'!$B$2)</f>
        <v>0</v>
      </c>
      <c r="AD13" s="9">
        <f>+SUMIFS(Regiones[Ofrecidas],Regiones[Fecha],'Mapa Calor'!AD$3,Regiones[Intervalo],'Mapa Calor'!$B13,Regiones[Skill],'Mapa Calor'!$B$2)</f>
        <v>0</v>
      </c>
      <c r="AE13" s="9">
        <f>+SUMIFS(Regiones[Ofrecidas],Regiones[Fecha],'Mapa Calor'!AE$3,Regiones[Intervalo],'Mapa Calor'!$B13,Regiones[Skill],'Mapa Calor'!$B$2)</f>
        <v>0</v>
      </c>
      <c r="AF13" s="9">
        <f>+SUMIFS(Regiones[Ofrecidas],Regiones[Fecha],'Mapa Calor'!AF$3,Regiones[Intervalo],'Mapa Calor'!$B13,Regiones[Skill],'Mapa Calor'!$B$2)</f>
        <v>0</v>
      </c>
      <c r="AG13" s="9">
        <f>+SUMIFS(Regiones[Ofrecidas],Regiones[Fecha],'Mapa Calor'!AG$3,Regiones[Intervalo],'Mapa Calor'!$B13,Regiones[Skill],'Mapa Calor'!$B$2)</f>
        <v>0</v>
      </c>
    </row>
    <row r="14" spans="2:33" x14ac:dyDescent="0.3">
      <c r="B14" s="8">
        <v>0.58333333333333337</v>
      </c>
      <c r="C14" s="9">
        <f>+SUMIFS(Regiones[Ofrecidas],Regiones[Fecha],'Mapa Calor'!C$3,Regiones[Intervalo],'Mapa Calor'!$B14,Regiones[Skill],'Mapa Calor'!$B$2)</f>
        <v>43</v>
      </c>
      <c r="D14" s="9">
        <f>+SUMIFS(Regiones[Ofrecidas],Regiones[Fecha],'Mapa Calor'!D$3,Regiones[Intervalo],'Mapa Calor'!$B14,Regiones[Skill],'Mapa Calor'!$B$2)</f>
        <v>37</v>
      </c>
      <c r="E14" s="9">
        <f>+SUMIFS(Regiones[Ofrecidas],Regiones[Fecha],'Mapa Calor'!E$3,Regiones[Intervalo],'Mapa Calor'!$B14,Regiones[Skill],'Mapa Calor'!$B$2)</f>
        <v>27</v>
      </c>
      <c r="F14" s="9">
        <f>+SUMIFS(Regiones[Ofrecidas],Regiones[Fecha],'Mapa Calor'!F$3,Regiones[Intervalo],'Mapa Calor'!$B14,Regiones[Skill],'Mapa Calor'!$B$2)</f>
        <v>0</v>
      </c>
      <c r="G14" s="9">
        <f>+SUMIFS(Regiones[Ofrecidas],Regiones[Fecha],'Mapa Calor'!G$3,Regiones[Intervalo],'Mapa Calor'!$B14,Regiones[Skill],'Mapa Calor'!$B$2)</f>
        <v>0</v>
      </c>
      <c r="H14" s="9">
        <f>+SUMIFS(Regiones[Ofrecidas],Regiones[Fecha],'Mapa Calor'!H$3,Regiones[Intervalo],'Mapa Calor'!$B14,Regiones[Skill],'Mapa Calor'!$B$2)</f>
        <v>0</v>
      </c>
      <c r="I14" s="9">
        <f>+SUMIFS(Regiones[Ofrecidas],Regiones[Fecha],'Mapa Calor'!I$3,Regiones[Intervalo],'Mapa Calor'!$B14,Regiones[Skill],'Mapa Calor'!$B$2)</f>
        <v>0</v>
      </c>
      <c r="J14" s="9">
        <f>+SUMIFS(Regiones[Ofrecidas],Regiones[Fecha],'Mapa Calor'!J$3,Regiones[Intervalo],'Mapa Calor'!$B14,Regiones[Skill],'Mapa Calor'!$B$2)</f>
        <v>0</v>
      </c>
      <c r="K14" s="9">
        <f>+SUMIFS(Regiones[Ofrecidas],Regiones[Fecha],'Mapa Calor'!K$3,Regiones[Intervalo],'Mapa Calor'!$B14,Regiones[Skill],'Mapa Calor'!$B$2)</f>
        <v>0</v>
      </c>
      <c r="L14" s="9">
        <f>+SUMIFS(Regiones[Ofrecidas],Regiones[Fecha],'Mapa Calor'!L$3,Regiones[Intervalo],'Mapa Calor'!$B14,Regiones[Skill],'Mapa Calor'!$B$2)</f>
        <v>0</v>
      </c>
      <c r="M14" s="9">
        <f>+SUMIFS(Regiones[Ofrecidas],Regiones[Fecha],'Mapa Calor'!M$3,Regiones[Intervalo],'Mapa Calor'!$B14,Regiones[Skill],'Mapa Calor'!$B$2)</f>
        <v>0</v>
      </c>
      <c r="N14" s="9">
        <f>+SUMIFS(Regiones[Ofrecidas],Regiones[Fecha],'Mapa Calor'!N$3,Regiones[Intervalo],'Mapa Calor'!$B14,Regiones[Skill],'Mapa Calor'!$B$2)</f>
        <v>0</v>
      </c>
      <c r="O14" s="9">
        <f>+SUMIFS(Regiones[Ofrecidas],Regiones[Fecha],'Mapa Calor'!O$3,Regiones[Intervalo],'Mapa Calor'!$B14,Regiones[Skill],'Mapa Calor'!$B$2)</f>
        <v>0</v>
      </c>
      <c r="P14" s="9">
        <f>+SUMIFS(Regiones[Ofrecidas],Regiones[Fecha],'Mapa Calor'!P$3,Regiones[Intervalo],'Mapa Calor'!$B14,Regiones[Skill],'Mapa Calor'!$B$2)</f>
        <v>0</v>
      </c>
      <c r="Q14" s="9">
        <f>+SUMIFS(Regiones[Ofrecidas],Regiones[Fecha],'Mapa Calor'!Q$3,Regiones[Intervalo],'Mapa Calor'!$B14,Regiones[Skill],'Mapa Calor'!$B$2)</f>
        <v>0</v>
      </c>
      <c r="R14" s="9">
        <f>+SUMIFS(Regiones[Ofrecidas],Regiones[Fecha],'Mapa Calor'!R$3,Regiones[Intervalo],'Mapa Calor'!$B14,Regiones[Skill],'Mapa Calor'!$B$2)</f>
        <v>0</v>
      </c>
      <c r="S14" s="9">
        <f>+SUMIFS(Regiones[Ofrecidas],Regiones[Fecha],'Mapa Calor'!S$3,Regiones[Intervalo],'Mapa Calor'!$B14,Regiones[Skill],'Mapa Calor'!$B$2)</f>
        <v>0</v>
      </c>
      <c r="T14" s="9">
        <f>+SUMIFS(Regiones[Ofrecidas],Regiones[Fecha],'Mapa Calor'!T$3,Regiones[Intervalo],'Mapa Calor'!$B14,Regiones[Skill],'Mapa Calor'!$B$2)</f>
        <v>0</v>
      </c>
      <c r="U14" s="9">
        <f>+SUMIFS(Regiones[Ofrecidas],Regiones[Fecha],'Mapa Calor'!U$3,Regiones[Intervalo],'Mapa Calor'!$B14,Regiones[Skill],'Mapa Calor'!$B$2)</f>
        <v>0</v>
      </c>
      <c r="V14" s="9">
        <f>+SUMIFS(Regiones[Ofrecidas],Regiones[Fecha],'Mapa Calor'!V$3,Regiones[Intervalo],'Mapa Calor'!$B14,Regiones[Skill],'Mapa Calor'!$B$2)</f>
        <v>0</v>
      </c>
      <c r="W14" s="9">
        <f>+SUMIFS(Regiones[Ofrecidas],Regiones[Fecha],'Mapa Calor'!W$3,Regiones[Intervalo],'Mapa Calor'!$B14,Regiones[Skill],'Mapa Calor'!$B$2)</f>
        <v>0</v>
      </c>
      <c r="X14" s="9">
        <f>+SUMIFS(Regiones[Ofrecidas],Regiones[Fecha],'Mapa Calor'!X$3,Regiones[Intervalo],'Mapa Calor'!$B14,Regiones[Skill],'Mapa Calor'!$B$2)</f>
        <v>0</v>
      </c>
      <c r="Y14" s="9">
        <f>+SUMIFS(Regiones[Ofrecidas],Regiones[Fecha],'Mapa Calor'!Y$3,Regiones[Intervalo],'Mapa Calor'!$B14,Regiones[Skill],'Mapa Calor'!$B$2)</f>
        <v>0</v>
      </c>
      <c r="Z14" s="9">
        <f>+SUMIFS(Regiones[Ofrecidas],Regiones[Fecha],'Mapa Calor'!Z$3,Regiones[Intervalo],'Mapa Calor'!$B14,Regiones[Skill],'Mapa Calor'!$B$2)</f>
        <v>0</v>
      </c>
      <c r="AA14" s="9">
        <f>+SUMIFS(Regiones[Ofrecidas],Regiones[Fecha],'Mapa Calor'!AA$3,Regiones[Intervalo],'Mapa Calor'!$B14,Regiones[Skill],'Mapa Calor'!$B$2)</f>
        <v>0</v>
      </c>
      <c r="AB14" s="9">
        <f>+SUMIFS(Regiones[Ofrecidas],Regiones[Fecha],'Mapa Calor'!AB$3,Regiones[Intervalo],'Mapa Calor'!$B14,Regiones[Skill],'Mapa Calor'!$B$2)</f>
        <v>0</v>
      </c>
      <c r="AC14" s="9">
        <f>+SUMIFS(Regiones[Ofrecidas],Regiones[Fecha],'Mapa Calor'!AC$3,Regiones[Intervalo],'Mapa Calor'!$B14,Regiones[Skill],'Mapa Calor'!$B$2)</f>
        <v>0</v>
      </c>
      <c r="AD14" s="9">
        <f>+SUMIFS(Regiones[Ofrecidas],Regiones[Fecha],'Mapa Calor'!AD$3,Regiones[Intervalo],'Mapa Calor'!$B14,Regiones[Skill],'Mapa Calor'!$B$2)</f>
        <v>0</v>
      </c>
      <c r="AE14" s="9">
        <f>+SUMIFS(Regiones[Ofrecidas],Regiones[Fecha],'Mapa Calor'!AE$3,Regiones[Intervalo],'Mapa Calor'!$B14,Regiones[Skill],'Mapa Calor'!$B$2)</f>
        <v>0</v>
      </c>
      <c r="AF14" s="9">
        <f>+SUMIFS(Regiones[Ofrecidas],Regiones[Fecha],'Mapa Calor'!AF$3,Regiones[Intervalo],'Mapa Calor'!$B14,Regiones[Skill],'Mapa Calor'!$B$2)</f>
        <v>0</v>
      </c>
      <c r="AG14" s="9">
        <f>+SUMIFS(Regiones[Ofrecidas],Regiones[Fecha],'Mapa Calor'!AG$3,Regiones[Intervalo],'Mapa Calor'!$B14,Regiones[Skill],'Mapa Calor'!$B$2)</f>
        <v>0</v>
      </c>
    </row>
    <row r="15" spans="2:33" x14ac:dyDescent="0.3">
      <c r="B15" s="8">
        <v>0.60416666666666663</v>
      </c>
      <c r="C15" s="9">
        <f>+SUMIFS(Regiones[Ofrecidas],Regiones[Fecha],'Mapa Calor'!C$3,Regiones[Intervalo],'Mapa Calor'!$B15,Regiones[Skill],'Mapa Calor'!$B$2)</f>
        <v>37</v>
      </c>
      <c r="D15" s="9">
        <f>+SUMIFS(Regiones[Ofrecidas],Regiones[Fecha],'Mapa Calor'!D$3,Regiones[Intervalo],'Mapa Calor'!$B15,Regiones[Skill],'Mapa Calor'!$B$2)</f>
        <v>25</v>
      </c>
      <c r="E15" s="9">
        <f>+SUMIFS(Regiones[Ofrecidas],Regiones[Fecha],'Mapa Calor'!E$3,Regiones[Intervalo],'Mapa Calor'!$B15,Regiones[Skill],'Mapa Calor'!$B$2)</f>
        <v>17</v>
      </c>
      <c r="F15" s="9">
        <f>+SUMIFS(Regiones[Ofrecidas],Regiones[Fecha],'Mapa Calor'!F$3,Regiones[Intervalo],'Mapa Calor'!$B15,Regiones[Skill],'Mapa Calor'!$B$2)</f>
        <v>0</v>
      </c>
      <c r="G15" s="9">
        <f>+SUMIFS(Regiones[Ofrecidas],Regiones[Fecha],'Mapa Calor'!G$3,Regiones[Intervalo],'Mapa Calor'!$B15,Regiones[Skill],'Mapa Calor'!$B$2)</f>
        <v>0</v>
      </c>
      <c r="H15" s="9">
        <f>+SUMIFS(Regiones[Ofrecidas],Regiones[Fecha],'Mapa Calor'!H$3,Regiones[Intervalo],'Mapa Calor'!$B15,Regiones[Skill],'Mapa Calor'!$B$2)</f>
        <v>0</v>
      </c>
      <c r="I15" s="9">
        <f>+SUMIFS(Regiones[Ofrecidas],Regiones[Fecha],'Mapa Calor'!I$3,Regiones[Intervalo],'Mapa Calor'!$B15,Regiones[Skill],'Mapa Calor'!$B$2)</f>
        <v>0</v>
      </c>
      <c r="J15" s="9">
        <f>+SUMIFS(Regiones[Ofrecidas],Regiones[Fecha],'Mapa Calor'!J$3,Regiones[Intervalo],'Mapa Calor'!$B15,Regiones[Skill],'Mapa Calor'!$B$2)</f>
        <v>0</v>
      </c>
      <c r="K15" s="9">
        <f>+SUMIFS(Regiones[Ofrecidas],Regiones[Fecha],'Mapa Calor'!K$3,Regiones[Intervalo],'Mapa Calor'!$B15,Regiones[Skill],'Mapa Calor'!$B$2)</f>
        <v>0</v>
      </c>
      <c r="L15" s="9">
        <f>+SUMIFS(Regiones[Ofrecidas],Regiones[Fecha],'Mapa Calor'!L$3,Regiones[Intervalo],'Mapa Calor'!$B15,Regiones[Skill],'Mapa Calor'!$B$2)</f>
        <v>0</v>
      </c>
      <c r="M15" s="9">
        <f>+SUMIFS(Regiones[Ofrecidas],Regiones[Fecha],'Mapa Calor'!M$3,Regiones[Intervalo],'Mapa Calor'!$B15,Regiones[Skill],'Mapa Calor'!$B$2)</f>
        <v>0</v>
      </c>
      <c r="N15" s="9">
        <f>+SUMIFS(Regiones[Ofrecidas],Regiones[Fecha],'Mapa Calor'!N$3,Regiones[Intervalo],'Mapa Calor'!$B15,Regiones[Skill],'Mapa Calor'!$B$2)</f>
        <v>0</v>
      </c>
      <c r="O15" s="9">
        <f>+SUMIFS(Regiones[Ofrecidas],Regiones[Fecha],'Mapa Calor'!O$3,Regiones[Intervalo],'Mapa Calor'!$B15,Regiones[Skill],'Mapa Calor'!$B$2)</f>
        <v>0</v>
      </c>
      <c r="P15" s="9">
        <f>+SUMIFS(Regiones[Ofrecidas],Regiones[Fecha],'Mapa Calor'!P$3,Regiones[Intervalo],'Mapa Calor'!$B15,Regiones[Skill],'Mapa Calor'!$B$2)</f>
        <v>0</v>
      </c>
      <c r="Q15" s="9">
        <f>+SUMIFS(Regiones[Ofrecidas],Regiones[Fecha],'Mapa Calor'!Q$3,Regiones[Intervalo],'Mapa Calor'!$B15,Regiones[Skill],'Mapa Calor'!$B$2)</f>
        <v>0</v>
      </c>
      <c r="R15" s="9">
        <f>+SUMIFS(Regiones[Ofrecidas],Regiones[Fecha],'Mapa Calor'!R$3,Regiones[Intervalo],'Mapa Calor'!$B15,Regiones[Skill],'Mapa Calor'!$B$2)</f>
        <v>0</v>
      </c>
      <c r="S15" s="9">
        <f>+SUMIFS(Regiones[Ofrecidas],Regiones[Fecha],'Mapa Calor'!S$3,Regiones[Intervalo],'Mapa Calor'!$B15,Regiones[Skill],'Mapa Calor'!$B$2)</f>
        <v>0</v>
      </c>
      <c r="T15" s="9">
        <f>+SUMIFS(Regiones[Ofrecidas],Regiones[Fecha],'Mapa Calor'!T$3,Regiones[Intervalo],'Mapa Calor'!$B15,Regiones[Skill],'Mapa Calor'!$B$2)</f>
        <v>0</v>
      </c>
      <c r="U15" s="9">
        <f>+SUMIFS(Regiones[Ofrecidas],Regiones[Fecha],'Mapa Calor'!U$3,Regiones[Intervalo],'Mapa Calor'!$B15,Regiones[Skill],'Mapa Calor'!$B$2)</f>
        <v>0</v>
      </c>
      <c r="V15" s="9">
        <f>+SUMIFS(Regiones[Ofrecidas],Regiones[Fecha],'Mapa Calor'!V$3,Regiones[Intervalo],'Mapa Calor'!$B15,Regiones[Skill],'Mapa Calor'!$B$2)</f>
        <v>0</v>
      </c>
      <c r="W15" s="9">
        <f>+SUMIFS(Regiones[Ofrecidas],Regiones[Fecha],'Mapa Calor'!W$3,Regiones[Intervalo],'Mapa Calor'!$B15,Regiones[Skill],'Mapa Calor'!$B$2)</f>
        <v>0</v>
      </c>
      <c r="X15" s="9">
        <f>+SUMIFS(Regiones[Ofrecidas],Regiones[Fecha],'Mapa Calor'!X$3,Regiones[Intervalo],'Mapa Calor'!$B15,Regiones[Skill],'Mapa Calor'!$B$2)</f>
        <v>0</v>
      </c>
      <c r="Y15" s="9">
        <f>+SUMIFS(Regiones[Ofrecidas],Regiones[Fecha],'Mapa Calor'!Y$3,Regiones[Intervalo],'Mapa Calor'!$B15,Regiones[Skill],'Mapa Calor'!$B$2)</f>
        <v>0</v>
      </c>
      <c r="Z15" s="9">
        <f>+SUMIFS(Regiones[Ofrecidas],Regiones[Fecha],'Mapa Calor'!Z$3,Regiones[Intervalo],'Mapa Calor'!$B15,Regiones[Skill],'Mapa Calor'!$B$2)</f>
        <v>0</v>
      </c>
      <c r="AA15" s="9">
        <f>+SUMIFS(Regiones[Ofrecidas],Regiones[Fecha],'Mapa Calor'!AA$3,Regiones[Intervalo],'Mapa Calor'!$B15,Regiones[Skill],'Mapa Calor'!$B$2)</f>
        <v>0</v>
      </c>
      <c r="AB15" s="9">
        <f>+SUMIFS(Regiones[Ofrecidas],Regiones[Fecha],'Mapa Calor'!AB$3,Regiones[Intervalo],'Mapa Calor'!$B15,Regiones[Skill],'Mapa Calor'!$B$2)</f>
        <v>0</v>
      </c>
      <c r="AC15" s="9">
        <f>+SUMIFS(Regiones[Ofrecidas],Regiones[Fecha],'Mapa Calor'!AC$3,Regiones[Intervalo],'Mapa Calor'!$B15,Regiones[Skill],'Mapa Calor'!$B$2)</f>
        <v>0</v>
      </c>
      <c r="AD15" s="9">
        <f>+SUMIFS(Regiones[Ofrecidas],Regiones[Fecha],'Mapa Calor'!AD$3,Regiones[Intervalo],'Mapa Calor'!$B15,Regiones[Skill],'Mapa Calor'!$B$2)</f>
        <v>0</v>
      </c>
      <c r="AE15" s="9">
        <f>+SUMIFS(Regiones[Ofrecidas],Regiones[Fecha],'Mapa Calor'!AE$3,Regiones[Intervalo],'Mapa Calor'!$B15,Regiones[Skill],'Mapa Calor'!$B$2)</f>
        <v>0</v>
      </c>
      <c r="AF15" s="9">
        <f>+SUMIFS(Regiones[Ofrecidas],Regiones[Fecha],'Mapa Calor'!AF$3,Regiones[Intervalo],'Mapa Calor'!$B15,Regiones[Skill],'Mapa Calor'!$B$2)</f>
        <v>0</v>
      </c>
      <c r="AG15" s="9">
        <f>+SUMIFS(Regiones[Ofrecidas],Regiones[Fecha],'Mapa Calor'!AG$3,Regiones[Intervalo],'Mapa Calor'!$B15,Regiones[Skill],'Mapa Calor'!$B$2)</f>
        <v>0</v>
      </c>
    </row>
    <row r="16" spans="2:33" x14ac:dyDescent="0.3">
      <c r="B16" s="8">
        <v>0.625</v>
      </c>
      <c r="C16" s="9">
        <f>+SUMIFS(Regiones[Ofrecidas],Regiones[Fecha],'Mapa Calor'!C$3,Regiones[Intervalo],'Mapa Calor'!$B16,Regiones[Skill],'Mapa Calor'!$B$2)</f>
        <v>44</v>
      </c>
      <c r="D16" s="9">
        <f>+SUMIFS(Regiones[Ofrecidas],Regiones[Fecha],'Mapa Calor'!D$3,Regiones[Intervalo],'Mapa Calor'!$B16,Regiones[Skill],'Mapa Calor'!$B$2)</f>
        <v>25</v>
      </c>
      <c r="E16" s="9">
        <f>+SUMIFS(Regiones[Ofrecidas],Regiones[Fecha],'Mapa Calor'!E$3,Regiones[Intervalo],'Mapa Calor'!$B16,Regiones[Skill],'Mapa Calor'!$B$2)</f>
        <v>20</v>
      </c>
      <c r="F16" s="9">
        <f>+SUMIFS(Regiones[Ofrecidas],Regiones[Fecha],'Mapa Calor'!F$3,Regiones[Intervalo],'Mapa Calor'!$B16,Regiones[Skill],'Mapa Calor'!$B$2)</f>
        <v>0</v>
      </c>
      <c r="G16" s="9">
        <f>+SUMIFS(Regiones[Ofrecidas],Regiones[Fecha],'Mapa Calor'!G$3,Regiones[Intervalo],'Mapa Calor'!$B16,Regiones[Skill],'Mapa Calor'!$B$2)</f>
        <v>0</v>
      </c>
      <c r="H16" s="9">
        <f>+SUMIFS(Regiones[Ofrecidas],Regiones[Fecha],'Mapa Calor'!H$3,Regiones[Intervalo],'Mapa Calor'!$B16,Regiones[Skill],'Mapa Calor'!$B$2)</f>
        <v>0</v>
      </c>
      <c r="I16" s="9">
        <f>+SUMIFS(Regiones[Ofrecidas],Regiones[Fecha],'Mapa Calor'!I$3,Regiones[Intervalo],'Mapa Calor'!$B16,Regiones[Skill],'Mapa Calor'!$B$2)</f>
        <v>0</v>
      </c>
      <c r="J16" s="9">
        <f>+SUMIFS(Regiones[Ofrecidas],Regiones[Fecha],'Mapa Calor'!J$3,Regiones[Intervalo],'Mapa Calor'!$B16,Regiones[Skill],'Mapa Calor'!$B$2)</f>
        <v>0</v>
      </c>
      <c r="K16" s="9">
        <f>+SUMIFS(Regiones[Ofrecidas],Regiones[Fecha],'Mapa Calor'!K$3,Regiones[Intervalo],'Mapa Calor'!$B16,Regiones[Skill],'Mapa Calor'!$B$2)</f>
        <v>0</v>
      </c>
      <c r="L16" s="9">
        <f>+SUMIFS(Regiones[Ofrecidas],Regiones[Fecha],'Mapa Calor'!L$3,Regiones[Intervalo],'Mapa Calor'!$B16,Regiones[Skill],'Mapa Calor'!$B$2)</f>
        <v>0</v>
      </c>
      <c r="M16" s="9">
        <f>+SUMIFS(Regiones[Ofrecidas],Regiones[Fecha],'Mapa Calor'!M$3,Regiones[Intervalo],'Mapa Calor'!$B16,Regiones[Skill],'Mapa Calor'!$B$2)</f>
        <v>0</v>
      </c>
      <c r="N16" s="9">
        <f>+SUMIFS(Regiones[Ofrecidas],Regiones[Fecha],'Mapa Calor'!N$3,Regiones[Intervalo],'Mapa Calor'!$B16,Regiones[Skill],'Mapa Calor'!$B$2)</f>
        <v>0</v>
      </c>
      <c r="O16" s="9">
        <f>+SUMIFS(Regiones[Ofrecidas],Regiones[Fecha],'Mapa Calor'!O$3,Regiones[Intervalo],'Mapa Calor'!$B16,Regiones[Skill],'Mapa Calor'!$B$2)</f>
        <v>0</v>
      </c>
      <c r="P16" s="9">
        <f>+SUMIFS(Regiones[Ofrecidas],Regiones[Fecha],'Mapa Calor'!P$3,Regiones[Intervalo],'Mapa Calor'!$B16,Regiones[Skill],'Mapa Calor'!$B$2)</f>
        <v>0</v>
      </c>
      <c r="Q16" s="9">
        <f>+SUMIFS(Regiones[Ofrecidas],Regiones[Fecha],'Mapa Calor'!Q$3,Regiones[Intervalo],'Mapa Calor'!$B16,Regiones[Skill],'Mapa Calor'!$B$2)</f>
        <v>0</v>
      </c>
      <c r="R16" s="9">
        <f>+SUMIFS(Regiones[Ofrecidas],Regiones[Fecha],'Mapa Calor'!R$3,Regiones[Intervalo],'Mapa Calor'!$B16,Regiones[Skill],'Mapa Calor'!$B$2)</f>
        <v>0</v>
      </c>
      <c r="S16" s="9">
        <f>+SUMIFS(Regiones[Ofrecidas],Regiones[Fecha],'Mapa Calor'!S$3,Regiones[Intervalo],'Mapa Calor'!$B16,Regiones[Skill],'Mapa Calor'!$B$2)</f>
        <v>0</v>
      </c>
      <c r="T16" s="9">
        <f>+SUMIFS(Regiones[Ofrecidas],Regiones[Fecha],'Mapa Calor'!T$3,Regiones[Intervalo],'Mapa Calor'!$B16,Regiones[Skill],'Mapa Calor'!$B$2)</f>
        <v>0</v>
      </c>
      <c r="U16" s="9">
        <f>+SUMIFS(Regiones[Ofrecidas],Regiones[Fecha],'Mapa Calor'!U$3,Regiones[Intervalo],'Mapa Calor'!$B16,Regiones[Skill],'Mapa Calor'!$B$2)</f>
        <v>0</v>
      </c>
      <c r="V16" s="9">
        <f>+SUMIFS(Regiones[Ofrecidas],Regiones[Fecha],'Mapa Calor'!V$3,Regiones[Intervalo],'Mapa Calor'!$B16,Regiones[Skill],'Mapa Calor'!$B$2)</f>
        <v>0</v>
      </c>
      <c r="W16" s="9">
        <f>+SUMIFS(Regiones[Ofrecidas],Regiones[Fecha],'Mapa Calor'!W$3,Regiones[Intervalo],'Mapa Calor'!$B16,Regiones[Skill],'Mapa Calor'!$B$2)</f>
        <v>0</v>
      </c>
      <c r="X16" s="9">
        <f>+SUMIFS(Regiones[Ofrecidas],Regiones[Fecha],'Mapa Calor'!X$3,Regiones[Intervalo],'Mapa Calor'!$B16,Regiones[Skill],'Mapa Calor'!$B$2)</f>
        <v>0</v>
      </c>
      <c r="Y16" s="9">
        <f>+SUMIFS(Regiones[Ofrecidas],Regiones[Fecha],'Mapa Calor'!Y$3,Regiones[Intervalo],'Mapa Calor'!$B16,Regiones[Skill],'Mapa Calor'!$B$2)</f>
        <v>0</v>
      </c>
      <c r="Z16" s="9">
        <f>+SUMIFS(Regiones[Ofrecidas],Regiones[Fecha],'Mapa Calor'!Z$3,Regiones[Intervalo],'Mapa Calor'!$B16,Regiones[Skill],'Mapa Calor'!$B$2)</f>
        <v>0</v>
      </c>
      <c r="AA16" s="9">
        <f>+SUMIFS(Regiones[Ofrecidas],Regiones[Fecha],'Mapa Calor'!AA$3,Regiones[Intervalo],'Mapa Calor'!$B16,Regiones[Skill],'Mapa Calor'!$B$2)</f>
        <v>0</v>
      </c>
      <c r="AB16" s="9">
        <f>+SUMIFS(Regiones[Ofrecidas],Regiones[Fecha],'Mapa Calor'!AB$3,Regiones[Intervalo],'Mapa Calor'!$B16,Regiones[Skill],'Mapa Calor'!$B$2)</f>
        <v>0</v>
      </c>
      <c r="AC16" s="9">
        <f>+SUMIFS(Regiones[Ofrecidas],Regiones[Fecha],'Mapa Calor'!AC$3,Regiones[Intervalo],'Mapa Calor'!$B16,Regiones[Skill],'Mapa Calor'!$B$2)</f>
        <v>0</v>
      </c>
      <c r="AD16" s="9">
        <f>+SUMIFS(Regiones[Ofrecidas],Regiones[Fecha],'Mapa Calor'!AD$3,Regiones[Intervalo],'Mapa Calor'!$B16,Regiones[Skill],'Mapa Calor'!$B$2)</f>
        <v>0</v>
      </c>
      <c r="AE16" s="9">
        <f>+SUMIFS(Regiones[Ofrecidas],Regiones[Fecha],'Mapa Calor'!AE$3,Regiones[Intervalo],'Mapa Calor'!$B16,Regiones[Skill],'Mapa Calor'!$B$2)</f>
        <v>0</v>
      </c>
      <c r="AF16" s="9">
        <f>+SUMIFS(Regiones[Ofrecidas],Regiones[Fecha],'Mapa Calor'!AF$3,Regiones[Intervalo],'Mapa Calor'!$B16,Regiones[Skill],'Mapa Calor'!$B$2)</f>
        <v>0</v>
      </c>
      <c r="AG16" s="9">
        <f>+SUMIFS(Regiones[Ofrecidas],Regiones[Fecha],'Mapa Calor'!AG$3,Regiones[Intervalo],'Mapa Calor'!$B16,Regiones[Skill],'Mapa Calor'!$B$2)</f>
        <v>0</v>
      </c>
    </row>
    <row r="17" spans="2:33" x14ac:dyDescent="0.3">
      <c r="B17" s="8">
        <v>0.64583333333333337</v>
      </c>
      <c r="C17" s="9">
        <f>+SUMIFS(Regiones[Ofrecidas],Regiones[Fecha],'Mapa Calor'!C$3,Regiones[Intervalo],'Mapa Calor'!$B17,Regiones[Skill],'Mapa Calor'!$B$2)</f>
        <v>25</v>
      </c>
      <c r="D17" s="9">
        <f>+SUMIFS(Regiones[Ofrecidas],Regiones[Fecha],'Mapa Calor'!D$3,Regiones[Intervalo],'Mapa Calor'!$B17,Regiones[Skill],'Mapa Calor'!$B$2)</f>
        <v>30</v>
      </c>
      <c r="E17" s="9">
        <f>+SUMIFS(Regiones[Ofrecidas],Regiones[Fecha],'Mapa Calor'!E$3,Regiones[Intervalo],'Mapa Calor'!$B17,Regiones[Skill],'Mapa Calor'!$B$2)</f>
        <v>17</v>
      </c>
      <c r="F17" s="9">
        <f>+SUMIFS(Regiones[Ofrecidas],Regiones[Fecha],'Mapa Calor'!F$3,Regiones[Intervalo],'Mapa Calor'!$B17,Regiones[Skill],'Mapa Calor'!$B$2)</f>
        <v>0</v>
      </c>
      <c r="G17" s="9">
        <f>+SUMIFS(Regiones[Ofrecidas],Regiones[Fecha],'Mapa Calor'!G$3,Regiones[Intervalo],'Mapa Calor'!$B17,Regiones[Skill],'Mapa Calor'!$B$2)</f>
        <v>0</v>
      </c>
      <c r="H17" s="9">
        <f>+SUMIFS(Regiones[Ofrecidas],Regiones[Fecha],'Mapa Calor'!H$3,Regiones[Intervalo],'Mapa Calor'!$B17,Regiones[Skill],'Mapa Calor'!$B$2)</f>
        <v>0</v>
      </c>
      <c r="I17" s="9">
        <f>+SUMIFS(Regiones[Ofrecidas],Regiones[Fecha],'Mapa Calor'!I$3,Regiones[Intervalo],'Mapa Calor'!$B17,Regiones[Skill],'Mapa Calor'!$B$2)</f>
        <v>0</v>
      </c>
      <c r="J17" s="9">
        <f>+SUMIFS(Regiones[Ofrecidas],Regiones[Fecha],'Mapa Calor'!J$3,Regiones[Intervalo],'Mapa Calor'!$B17,Regiones[Skill],'Mapa Calor'!$B$2)</f>
        <v>0</v>
      </c>
      <c r="K17" s="9">
        <f>+SUMIFS(Regiones[Ofrecidas],Regiones[Fecha],'Mapa Calor'!K$3,Regiones[Intervalo],'Mapa Calor'!$B17,Regiones[Skill],'Mapa Calor'!$B$2)</f>
        <v>0</v>
      </c>
      <c r="L17" s="9">
        <f>+SUMIFS(Regiones[Ofrecidas],Regiones[Fecha],'Mapa Calor'!L$3,Regiones[Intervalo],'Mapa Calor'!$B17,Regiones[Skill],'Mapa Calor'!$B$2)</f>
        <v>0</v>
      </c>
      <c r="M17" s="9">
        <f>+SUMIFS(Regiones[Ofrecidas],Regiones[Fecha],'Mapa Calor'!M$3,Regiones[Intervalo],'Mapa Calor'!$B17,Regiones[Skill],'Mapa Calor'!$B$2)</f>
        <v>0</v>
      </c>
      <c r="N17" s="9">
        <f>+SUMIFS(Regiones[Ofrecidas],Regiones[Fecha],'Mapa Calor'!N$3,Regiones[Intervalo],'Mapa Calor'!$B17,Regiones[Skill],'Mapa Calor'!$B$2)</f>
        <v>0</v>
      </c>
      <c r="O17" s="9">
        <f>+SUMIFS(Regiones[Ofrecidas],Regiones[Fecha],'Mapa Calor'!O$3,Regiones[Intervalo],'Mapa Calor'!$B17,Regiones[Skill],'Mapa Calor'!$B$2)</f>
        <v>0</v>
      </c>
      <c r="P17" s="9">
        <f>+SUMIFS(Regiones[Ofrecidas],Regiones[Fecha],'Mapa Calor'!P$3,Regiones[Intervalo],'Mapa Calor'!$B17,Regiones[Skill],'Mapa Calor'!$B$2)</f>
        <v>0</v>
      </c>
      <c r="Q17" s="9">
        <f>+SUMIFS(Regiones[Ofrecidas],Regiones[Fecha],'Mapa Calor'!Q$3,Regiones[Intervalo],'Mapa Calor'!$B17,Regiones[Skill],'Mapa Calor'!$B$2)</f>
        <v>0</v>
      </c>
      <c r="R17" s="9">
        <f>+SUMIFS(Regiones[Ofrecidas],Regiones[Fecha],'Mapa Calor'!R$3,Regiones[Intervalo],'Mapa Calor'!$B17,Regiones[Skill],'Mapa Calor'!$B$2)</f>
        <v>0</v>
      </c>
      <c r="S17" s="9">
        <f>+SUMIFS(Regiones[Ofrecidas],Regiones[Fecha],'Mapa Calor'!S$3,Regiones[Intervalo],'Mapa Calor'!$B17,Regiones[Skill],'Mapa Calor'!$B$2)</f>
        <v>0</v>
      </c>
      <c r="T17" s="9">
        <f>+SUMIFS(Regiones[Ofrecidas],Regiones[Fecha],'Mapa Calor'!T$3,Regiones[Intervalo],'Mapa Calor'!$B17,Regiones[Skill],'Mapa Calor'!$B$2)</f>
        <v>0</v>
      </c>
      <c r="U17" s="9">
        <f>+SUMIFS(Regiones[Ofrecidas],Regiones[Fecha],'Mapa Calor'!U$3,Regiones[Intervalo],'Mapa Calor'!$B17,Regiones[Skill],'Mapa Calor'!$B$2)</f>
        <v>0</v>
      </c>
      <c r="V17" s="9">
        <f>+SUMIFS(Regiones[Ofrecidas],Regiones[Fecha],'Mapa Calor'!V$3,Regiones[Intervalo],'Mapa Calor'!$B17,Regiones[Skill],'Mapa Calor'!$B$2)</f>
        <v>0</v>
      </c>
      <c r="W17" s="9">
        <f>+SUMIFS(Regiones[Ofrecidas],Regiones[Fecha],'Mapa Calor'!W$3,Regiones[Intervalo],'Mapa Calor'!$B17,Regiones[Skill],'Mapa Calor'!$B$2)</f>
        <v>0</v>
      </c>
      <c r="X17" s="9">
        <f>+SUMIFS(Regiones[Ofrecidas],Regiones[Fecha],'Mapa Calor'!X$3,Regiones[Intervalo],'Mapa Calor'!$B17,Regiones[Skill],'Mapa Calor'!$B$2)</f>
        <v>0</v>
      </c>
      <c r="Y17" s="9">
        <f>+SUMIFS(Regiones[Ofrecidas],Regiones[Fecha],'Mapa Calor'!Y$3,Regiones[Intervalo],'Mapa Calor'!$B17,Regiones[Skill],'Mapa Calor'!$B$2)</f>
        <v>0</v>
      </c>
      <c r="Z17" s="9">
        <f>+SUMIFS(Regiones[Ofrecidas],Regiones[Fecha],'Mapa Calor'!Z$3,Regiones[Intervalo],'Mapa Calor'!$B17,Regiones[Skill],'Mapa Calor'!$B$2)</f>
        <v>0</v>
      </c>
      <c r="AA17" s="9">
        <f>+SUMIFS(Regiones[Ofrecidas],Regiones[Fecha],'Mapa Calor'!AA$3,Regiones[Intervalo],'Mapa Calor'!$B17,Regiones[Skill],'Mapa Calor'!$B$2)</f>
        <v>0</v>
      </c>
      <c r="AB17" s="9">
        <f>+SUMIFS(Regiones[Ofrecidas],Regiones[Fecha],'Mapa Calor'!AB$3,Regiones[Intervalo],'Mapa Calor'!$B17,Regiones[Skill],'Mapa Calor'!$B$2)</f>
        <v>0</v>
      </c>
      <c r="AC17" s="9">
        <f>+SUMIFS(Regiones[Ofrecidas],Regiones[Fecha],'Mapa Calor'!AC$3,Regiones[Intervalo],'Mapa Calor'!$B17,Regiones[Skill],'Mapa Calor'!$B$2)</f>
        <v>0</v>
      </c>
      <c r="AD17" s="9">
        <f>+SUMIFS(Regiones[Ofrecidas],Regiones[Fecha],'Mapa Calor'!AD$3,Regiones[Intervalo],'Mapa Calor'!$B17,Regiones[Skill],'Mapa Calor'!$B$2)</f>
        <v>0</v>
      </c>
      <c r="AE17" s="9">
        <f>+SUMIFS(Regiones[Ofrecidas],Regiones[Fecha],'Mapa Calor'!AE$3,Regiones[Intervalo],'Mapa Calor'!$B17,Regiones[Skill],'Mapa Calor'!$B$2)</f>
        <v>0</v>
      </c>
      <c r="AF17" s="9">
        <f>+SUMIFS(Regiones[Ofrecidas],Regiones[Fecha],'Mapa Calor'!AF$3,Regiones[Intervalo],'Mapa Calor'!$B17,Regiones[Skill],'Mapa Calor'!$B$2)</f>
        <v>0</v>
      </c>
      <c r="AG17" s="9">
        <f>+SUMIFS(Regiones[Ofrecidas],Regiones[Fecha],'Mapa Calor'!AG$3,Regiones[Intervalo],'Mapa Calor'!$B17,Regiones[Skill],'Mapa Calor'!$B$2)</f>
        <v>0</v>
      </c>
    </row>
    <row r="18" spans="2:33" x14ac:dyDescent="0.3">
      <c r="B18" s="8">
        <v>0.66666666666666663</v>
      </c>
      <c r="C18" s="9">
        <f>+SUMIFS(Regiones[Ofrecidas],Regiones[Fecha],'Mapa Calor'!C$3,Regiones[Intervalo],'Mapa Calor'!$B18,Regiones[Skill],'Mapa Calor'!$B$2)</f>
        <v>26</v>
      </c>
      <c r="D18" s="9">
        <f>+SUMIFS(Regiones[Ofrecidas],Regiones[Fecha],'Mapa Calor'!D$3,Regiones[Intervalo],'Mapa Calor'!$B18,Regiones[Skill],'Mapa Calor'!$B$2)</f>
        <v>30</v>
      </c>
      <c r="E18" s="9">
        <f>+SUMIFS(Regiones[Ofrecidas],Regiones[Fecha],'Mapa Calor'!E$3,Regiones[Intervalo],'Mapa Calor'!$B18,Regiones[Skill],'Mapa Calor'!$B$2)</f>
        <v>24</v>
      </c>
      <c r="F18" s="9">
        <f>+SUMIFS(Regiones[Ofrecidas],Regiones[Fecha],'Mapa Calor'!F$3,Regiones[Intervalo],'Mapa Calor'!$B18,Regiones[Skill],'Mapa Calor'!$B$2)</f>
        <v>0</v>
      </c>
      <c r="G18" s="9">
        <f>+SUMIFS(Regiones[Ofrecidas],Regiones[Fecha],'Mapa Calor'!G$3,Regiones[Intervalo],'Mapa Calor'!$B18,Regiones[Skill],'Mapa Calor'!$B$2)</f>
        <v>0</v>
      </c>
      <c r="H18" s="9">
        <f>+SUMIFS(Regiones[Ofrecidas],Regiones[Fecha],'Mapa Calor'!H$3,Regiones[Intervalo],'Mapa Calor'!$B18,Regiones[Skill],'Mapa Calor'!$B$2)</f>
        <v>0</v>
      </c>
      <c r="I18" s="9">
        <f>+SUMIFS(Regiones[Ofrecidas],Regiones[Fecha],'Mapa Calor'!I$3,Regiones[Intervalo],'Mapa Calor'!$B18,Regiones[Skill],'Mapa Calor'!$B$2)</f>
        <v>0</v>
      </c>
      <c r="J18" s="9">
        <f>+SUMIFS(Regiones[Ofrecidas],Regiones[Fecha],'Mapa Calor'!J$3,Regiones[Intervalo],'Mapa Calor'!$B18,Regiones[Skill],'Mapa Calor'!$B$2)</f>
        <v>0</v>
      </c>
      <c r="K18" s="9">
        <f>+SUMIFS(Regiones[Ofrecidas],Regiones[Fecha],'Mapa Calor'!K$3,Regiones[Intervalo],'Mapa Calor'!$B18,Regiones[Skill],'Mapa Calor'!$B$2)</f>
        <v>0</v>
      </c>
      <c r="L18" s="9">
        <f>+SUMIFS(Regiones[Ofrecidas],Regiones[Fecha],'Mapa Calor'!L$3,Regiones[Intervalo],'Mapa Calor'!$B18,Regiones[Skill],'Mapa Calor'!$B$2)</f>
        <v>0</v>
      </c>
      <c r="M18" s="9">
        <f>+SUMIFS(Regiones[Ofrecidas],Regiones[Fecha],'Mapa Calor'!M$3,Regiones[Intervalo],'Mapa Calor'!$B18,Regiones[Skill],'Mapa Calor'!$B$2)</f>
        <v>0</v>
      </c>
      <c r="N18" s="9">
        <f>+SUMIFS(Regiones[Ofrecidas],Regiones[Fecha],'Mapa Calor'!N$3,Regiones[Intervalo],'Mapa Calor'!$B18,Regiones[Skill],'Mapa Calor'!$B$2)</f>
        <v>0</v>
      </c>
      <c r="O18" s="9">
        <f>+SUMIFS(Regiones[Ofrecidas],Regiones[Fecha],'Mapa Calor'!O$3,Regiones[Intervalo],'Mapa Calor'!$B18,Regiones[Skill],'Mapa Calor'!$B$2)</f>
        <v>0</v>
      </c>
      <c r="P18" s="9">
        <f>+SUMIFS(Regiones[Ofrecidas],Regiones[Fecha],'Mapa Calor'!P$3,Regiones[Intervalo],'Mapa Calor'!$B18,Regiones[Skill],'Mapa Calor'!$B$2)</f>
        <v>0</v>
      </c>
      <c r="Q18" s="9">
        <f>+SUMIFS(Regiones[Ofrecidas],Regiones[Fecha],'Mapa Calor'!Q$3,Regiones[Intervalo],'Mapa Calor'!$B18,Regiones[Skill],'Mapa Calor'!$B$2)</f>
        <v>0</v>
      </c>
      <c r="R18" s="9">
        <f>+SUMIFS(Regiones[Ofrecidas],Regiones[Fecha],'Mapa Calor'!R$3,Regiones[Intervalo],'Mapa Calor'!$B18,Regiones[Skill],'Mapa Calor'!$B$2)</f>
        <v>0</v>
      </c>
      <c r="S18" s="9">
        <f>+SUMIFS(Regiones[Ofrecidas],Regiones[Fecha],'Mapa Calor'!S$3,Regiones[Intervalo],'Mapa Calor'!$B18,Regiones[Skill],'Mapa Calor'!$B$2)</f>
        <v>0</v>
      </c>
      <c r="T18" s="9">
        <f>+SUMIFS(Regiones[Ofrecidas],Regiones[Fecha],'Mapa Calor'!T$3,Regiones[Intervalo],'Mapa Calor'!$B18,Regiones[Skill],'Mapa Calor'!$B$2)</f>
        <v>0</v>
      </c>
      <c r="U18" s="9">
        <f>+SUMIFS(Regiones[Ofrecidas],Regiones[Fecha],'Mapa Calor'!U$3,Regiones[Intervalo],'Mapa Calor'!$B18,Regiones[Skill],'Mapa Calor'!$B$2)</f>
        <v>0</v>
      </c>
      <c r="V18" s="9">
        <f>+SUMIFS(Regiones[Ofrecidas],Regiones[Fecha],'Mapa Calor'!V$3,Regiones[Intervalo],'Mapa Calor'!$B18,Regiones[Skill],'Mapa Calor'!$B$2)</f>
        <v>0</v>
      </c>
      <c r="W18" s="9">
        <f>+SUMIFS(Regiones[Ofrecidas],Regiones[Fecha],'Mapa Calor'!W$3,Regiones[Intervalo],'Mapa Calor'!$B18,Regiones[Skill],'Mapa Calor'!$B$2)</f>
        <v>0</v>
      </c>
      <c r="X18" s="9">
        <f>+SUMIFS(Regiones[Ofrecidas],Regiones[Fecha],'Mapa Calor'!X$3,Regiones[Intervalo],'Mapa Calor'!$B18,Regiones[Skill],'Mapa Calor'!$B$2)</f>
        <v>0</v>
      </c>
      <c r="Y18" s="9">
        <f>+SUMIFS(Regiones[Ofrecidas],Regiones[Fecha],'Mapa Calor'!Y$3,Regiones[Intervalo],'Mapa Calor'!$B18,Regiones[Skill],'Mapa Calor'!$B$2)</f>
        <v>0</v>
      </c>
      <c r="Z18" s="9">
        <f>+SUMIFS(Regiones[Ofrecidas],Regiones[Fecha],'Mapa Calor'!Z$3,Regiones[Intervalo],'Mapa Calor'!$B18,Regiones[Skill],'Mapa Calor'!$B$2)</f>
        <v>0</v>
      </c>
      <c r="AA18" s="9">
        <f>+SUMIFS(Regiones[Ofrecidas],Regiones[Fecha],'Mapa Calor'!AA$3,Regiones[Intervalo],'Mapa Calor'!$B18,Regiones[Skill],'Mapa Calor'!$B$2)</f>
        <v>0</v>
      </c>
      <c r="AB18" s="9">
        <f>+SUMIFS(Regiones[Ofrecidas],Regiones[Fecha],'Mapa Calor'!AB$3,Regiones[Intervalo],'Mapa Calor'!$B18,Regiones[Skill],'Mapa Calor'!$B$2)</f>
        <v>0</v>
      </c>
      <c r="AC18" s="9">
        <f>+SUMIFS(Regiones[Ofrecidas],Regiones[Fecha],'Mapa Calor'!AC$3,Regiones[Intervalo],'Mapa Calor'!$B18,Regiones[Skill],'Mapa Calor'!$B$2)</f>
        <v>0</v>
      </c>
      <c r="AD18" s="9">
        <f>+SUMIFS(Regiones[Ofrecidas],Regiones[Fecha],'Mapa Calor'!AD$3,Regiones[Intervalo],'Mapa Calor'!$B18,Regiones[Skill],'Mapa Calor'!$B$2)</f>
        <v>0</v>
      </c>
      <c r="AE18" s="9">
        <f>+SUMIFS(Regiones[Ofrecidas],Regiones[Fecha],'Mapa Calor'!AE$3,Regiones[Intervalo],'Mapa Calor'!$B18,Regiones[Skill],'Mapa Calor'!$B$2)</f>
        <v>0</v>
      </c>
      <c r="AF18" s="9">
        <f>+SUMIFS(Regiones[Ofrecidas],Regiones[Fecha],'Mapa Calor'!AF$3,Regiones[Intervalo],'Mapa Calor'!$B18,Regiones[Skill],'Mapa Calor'!$B$2)</f>
        <v>0</v>
      </c>
      <c r="AG18" s="9">
        <f>+SUMIFS(Regiones[Ofrecidas],Regiones[Fecha],'Mapa Calor'!AG$3,Regiones[Intervalo],'Mapa Calor'!$B18,Regiones[Skill],'Mapa Calor'!$B$2)</f>
        <v>0</v>
      </c>
    </row>
    <row r="19" spans="2:33" x14ac:dyDescent="0.3">
      <c r="B19" s="8">
        <v>0.6875</v>
      </c>
      <c r="C19" s="9">
        <f>+SUMIFS(Regiones[Ofrecidas],Regiones[Fecha],'Mapa Calor'!C$3,Regiones[Intervalo],'Mapa Calor'!$B19,Regiones[Skill],'Mapa Calor'!$B$2)</f>
        <v>33</v>
      </c>
      <c r="D19" s="9">
        <f>+SUMIFS(Regiones[Ofrecidas],Regiones[Fecha],'Mapa Calor'!D$3,Regiones[Intervalo],'Mapa Calor'!$B19,Regiones[Skill],'Mapa Calor'!$B$2)</f>
        <v>20</v>
      </c>
      <c r="E19" s="9">
        <f>+SUMIFS(Regiones[Ofrecidas],Regiones[Fecha],'Mapa Calor'!E$3,Regiones[Intervalo],'Mapa Calor'!$B19,Regiones[Skill],'Mapa Calor'!$B$2)</f>
        <v>15</v>
      </c>
      <c r="F19" s="9">
        <f>+SUMIFS(Regiones[Ofrecidas],Regiones[Fecha],'Mapa Calor'!F$3,Regiones[Intervalo],'Mapa Calor'!$B19,Regiones[Skill],'Mapa Calor'!$B$2)</f>
        <v>0</v>
      </c>
      <c r="G19" s="9">
        <f>+SUMIFS(Regiones[Ofrecidas],Regiones[Fecha],'Mapa Calor'!G$3,Regiones[Intervalo],'Mapa Calor'!$B19,Regiones[Skill],'Mapa Calor'!$B$2)</f>
        <v>0</v>
      </c>
      <c r="H19" s="9">
        <f>+SUMIFS(Regiones[Ofrecidas],Regiones[Fecha],'Mapa Calor'!H$3,Regiones[Intervalo],'Mapa Calor'!$B19,Regiones[Skill],'Mapa Calor'!$B$2)</f>
        <v>0</v>
      </c>
      <c r="I19" s="9">
        <f>+SUMIFS(Regiones[Ofrecidas],Regiones[Fecha],'Mapa Calor'!I$3,Regiones[Intervalo],'Mapa Calor'!$B19,Regiones[Skill],'Mapa Calor'!$B$2)</f>
        <v>0</v>
      </c>
      <c r="J19" s="9">
        <f>+SUMIFS(Regiones[Ofrecidas],Regiones[Fecha],'Mapa Calor'!J$3,Regiones[Intervalo],'Mapa Calor'!$B19,Regiones[Skill],'Mapa Calor'!$B$2)</f>
        <v>0</v>
      </c>
      <c r="K19" s="9">
        <f>+SUMIFS(Regiones[Ofrecidas],Regiones[Fecha],'Mapa Calor'!K$3,Regiones[Intervalo],'Mapa Calor'!$B19,Regiones[Skill],'Mapa Calor'!$B$2)</f>
        <v>0</v>
      </c>
      <c r="L19" s="9">
        <f>+SUMIFS(Regiones[Ofrecidas],Regiones[Fecha],'Mapa Calor'!L$3,Regiones[Intervalo],'Mapa Calor'!$B19,Regiones[Skill],'Mapa Calor'!$B$2)</f>
        <v>0</v>
      </c>
      <c r="M19" s="9">
        <f>+SUMIFS(Regiones[Ofrecidas],Regiones[Fecha],'Mapa Calor'!M$3,Regiones[Intervalo],'Mapa Calor'!$B19,Regiones[Skill],'Mapa Calor'!$B$2)</f>
        <v>0</v>
      </c>
      <c r="N19" s="9">
        <f>+SUMIFS(Regiones[Ofrecidas],Regiones[Fecha],'Mapa Calor'!N$3,Regiones[Intervalo],'Mapa Calor'!$B19,Regiones[Skill],'Mapa Calor'!$B$2)</f>
        <v>0</v>
      </c>
      <c r="O19" s="9">
        <f>+SUMIFS(Regiones[Ofrecidas],Regiones[Fecha],'Mapa Calor'!O$3,Regiones[Intervalo],'Mapa Calor'!$B19,Regiones[Skill],'Mapa Calor'!$B$2)</f>
        <v>0</v>
      </c>
      <c r="P19" s="9">
        <f>+SUMIFS(Regiones[Ofrecidas],Regiones[Fecha],'Mapa Calor'!P$3,Regiones[Intervalo],'Mapa Calor'!$B19,Regiones[Skill],'Mapa Calor'!$B$2)</f>
        <v>0</v>
      </c>
      <c r="Q19" s="9">
        <f>+SUMIFS(Regiones[Ofrecidas],Regiones[Fecha],'Mapa Calor'!Q$3,Regiones[Intervalo],'Mapa Calor'!$B19,Regiones[Skill],'Mapa Calor'!$B$2)</f>
        <v>0</v>
      </c>
      <c r="R19" s="9">
        <f>+SUMIFS(Regiones[Ofrecidas],Regiones[Fecha],'Mapa Calor'!R$3,Regiones[Intervalo],'Mapa Calor'!$B19,Regiones[Skill],'Mapa Calor'!$B$2)</f>
        <v>0</v>
      </c>
      <c r="S19" s="9">
        <f>+SUMIFS(Regiones[Ofrecidas],Regiones[Fecha],'Mapa Calor'!S$3,Regiones[Intervalo],'Mapa Calor'!$B19,Regiones[Skill],'Mapa Calor'!$B$2)</f>
        <v>0</v>
      </c>
      <c r="T19" s="9">
        <f>+SUMIFS(Regiones[Ofrecidas],Regiones[Fecha],'Mapa Calor'!T$3,Regiones[Intervalo],'Mapa Calor'!$B19,Regiones[Skill],'Mapa Calor'!$B$2)</f>
        <v>0</v>
      </c>
      <c r="U19" s="9">
        <f>+SUMIFS(Regiones[Ofrecidas],Regiones[Fecha],'Mapa Calor'!U$3,Regiones[Intervalo],'Mapa Calor'!$B19,Regiones[Skill],'Mapa Calor'!$B$2)</f>
        <v>0</v>
      </c>
      <c r="V19" s="9">
        <f>+SUMIFS(Regiones[Ofrecidas],Regiones[Fecha],'Mapa Calor'!V$3,Regiones[Intervalo],'Mapa Calor'!$B19,Regiones[Skill],'Mapa Calor'!$B$2)</f>
        <v>0</v>
      </c>
      <c r="W19" s="9">
        <f>+SUMIFS(Regiones[Ofrecidas],Regiones[Fecha],'Mapa Calor'!W$3,Regiones[Intervalo],'Mapa Calor'!$B19,Regiones[Skill],'Mapa Calor'!$B$2)</f>
        <v>0</v>
      </c>
      <c r="X19" s="9">
        <f>+SUMIFS(Regiones[Ofrecidas],Regiones[Fecha],'Mapa Calor'!X$3,Regiones[Intervalo],'Mapa Calor'!$B19,Regiones[Skill],'Mapa Calor'!$B$2)</f>
        <v>0</v>
      </c>
      <c r="Y19" s="9">
        <f>+SUMIFS(Regiones[Ofrecidas],Regiones[Fecha],'Mapa Calor'!Y$3,Regiones[Intervalo],'Mapa Calor'!$B19,Regiones[Skill],'Mapa Calor'!$B$2)</f>
        <v>0</v>
      </c>
      <c r="Z19" s="9">
        <f>+SUMIFS(Regiones[Ofrecidas],Regiones[Fecha],'Mapa Calor'!Z$3,Regiones[Intervalo],'Mapa Calor'!$B19,Regiones[Skill],'Mapa Calor'!$B$2)</f>
        <v>0</v>
      </c>
      <c r="AA19" s="9">
        <f>+SUMIFS(Regiones[Ofrecidas],Regiones[Fecha],'Mapa Calor'!AA$3,Regiones[Intervalo],'Mapa Calor'!$B19,Regiones[Skill],'Mapa Calor'!$B$2)</f>
        <v>0</v>
      </c>
      <c r="AB19" s="9">
        <f>+SUMIFS(Regiones[Ofrecidas],Regiones[Fecha],'Mapa Calor'!AB$3,Regiones[Intervalo],'Mapa Calor'!$B19,Regiones[Skill],'Mapa Calor'!$B$2)</f>
        <v>0</v>
      </c>
      <c r="AC19" s="9">
        <f>+SUMIFS(Regiones[Ofrecidas],Regiones[Fecha],'Mapa Calor'!AC$3,Regiones[Intervalo],'Mapa Calor'!$B19,Regiones[Skill],'Mapa Calor'!$B$2)</f>
        <v>0</v>
      </c>
      <c r="AD19" s="9">
        <f>+SUMIFS(Regiones[Ofrecidas],Regiones[Fecha],'Mapa Calor'!AD$3,Regiones[Intervalo],'Mapa Calor'!$B19,Regiones[Skill],'Mapa Calor'!$B$2)</f>
        <v>0</v>
      </c>
      <c r="AE19" s="9">
        <f>+SUMIFS(Regiones[Ofrecidas],Regiones[Fecha],'Mapa Calor'!AE$3,Regiones[Intervalo],'Mapa Calor'!$B19,Regiones[Skill],'Mapa Calor'!$B$2)</f>
        <v>0</v>
      </c>
      <c r="AF19" s="9">
        <f>+SUMIFS(Regiones[Ofrecidas],Regiones[Fecha],'Mapa Calor'!AF$3,Regiones[Intervalo],'Mapa Calor'!$B19,Regiones[Skill],'Mapa Calor'!$B$2)</f>
        <v>0</v>
      </c>
      <c r="AG19" s="9">
        <f>+SUMIFS(Regiones[Ofrecidas],Regiones[Fecha],'Mapa Calor'!AG$3,Regiones[Intervalo],'Mapa Calor'!$B19,Regiones[Skill],'Mapa Calor'!$B$2)</f>
        <v>0</v>
      </c>
    </row>
    <row r="20" spans="2:33" x14ac:dyDescent="0.3">
      <c r="B20" s="8">
        <v>0.70833333333333337</v>
      </c>
      <c r="C20" s="9">
        <f>+SUMIFS(Regiones[Ofrecidas],Regiones[Fecha],'Mapa Calor'!C$3,Regiones[Intervalo],'Mapa Calor'!$B20,Regiones[Skill],'Mapa Calor'!$B$2)</f>
        <v>18</v>
      </c>
      <c r="D20" s="9">
        <f>+SUMIFS(Regiones[Ofrecidas],Regiones[Fecha],'Mapa Calor'!D$3,Regiones[Intervalo],'Mapa Calor'!$B20,Regiones[Skill],'Mapa Calor'!$B$2)</f>
        <v>21</v>
      </c>
      <c r="E20" s="9">
        <f>+SUMIFS(Regiones[Ofrecidas],Regiones[Fecha],'Mapa Calor'!E$3,Regiones[Intervalo],'Mapa Calor'!$B20,Regiones[Skill],'Mapa Calor'!$B$2)</f>
        <v>29</v>
      </c>
      <c r="F20" s="9">
        <f>+SUMIFS(Regiones[Ofrecidas],Regiones[Fecha],'Mapa Calor'!F$3,Regiones[Intervalo],'Mapa Calor'!$B20,Regiones[Skill],'Mapa Calor'!$B$2)</f>
        <v>0</v>
      </c>
      <c r="G20" s="9">
        <f>+SUMIFS(Regiones[Ofrecidas],Regiones[Fecha],'Mapa Calor'!G$3,Regiones[Intervalo],'Mapa Calor'!$B20,Regiones[Skill],'Mapa Calor'!$B$2)</f>
        <v>0</v>
      </c>
      <c r="H20" s="9">
        <f>+SUMIFS(Regiones[Ofrecidas],Regiones[Fecha],'Mapa Calor'!H$3,Regiones[Intervalo],'Mapa Calor'!$B20,Regiones[Skill],'Mapa Calor'!$B$2)</f>
        <v>0</v>
      </c>
      <c r="I20" s="9">
        <f>+SUMIFS(Regiones[Ofrecidas],Regiones[Fecha],'Mapa Calor'!I$3,Regiones[Intervalo],'Mapa Calor'!$B20,Regiones[Skill],'Mapa Calor'!$B$2)</f>
        <v>0</v>
      </c>
      <c r="J20" s="9">
        <f>+SUMIFS(Regiones[Ofrecidas],Regiones[Fecha],'Mapa Calor'!J$3,Regiones[Intervalo],'Mapa Calor'!$B20,Regiones[Skill],'Mapa Calor'!$B$2)</f>
        <v>0</v>
      </c>
      <c r="K20" s="9">
        <f>+SUMIFS(Regiones[Ofrecidas],Regiones[Fecha],'Mapa Calor'!K$3,Regiones[Intervalo],'Mapa Calor'!$B20,Regiones[Skill],'Mapa Calor'!$B$2)</f>
        <v>0</v>
      </c>
      <c r="L20" s="9">
        <f>+SUMIFS(Regiones[Ofrecidas],Regiones[Fecha],'Mapa Calor'!L$3,Regiones[Intervalo],'Mapa Calor'!$B20,Regiones[Skill],'Mapa Calor'!$B$2)</f>
        <v>0</v>
      </c>
      <c r="M20" s="9">
        <f>+SUMIFS(Regiones[Ofrecidas],Regiones[Fecha],'Mapa Calor'!M$3,Regiones[Intervalo],'Mapa Calor'!$B20,Regiones[Skill],'Mapa Calor'!$B$2)</f>
        <v>0</v>
      </c>
      <c r="N20" s="9">
        <f>+SUMIFS(Regiones[Ofrecidas],Regiones[Fecha],'Mapa Calor'!N$3,Regiones[Intervalo],'Mapa Calor'!$B20,Regiones[Skill],'Mapa Calor'!$B$2)</f>
        <v>0</v>
      </c>
      <c r="O20" s="9">
        <f>+SUMIFS(Regiones[Ofrecidas],Regiones[Fecha],'Mapa Calor'!O$3,Regiones[Intervalo],'Mapa Calor'!$B20,Regiones[Skill],'Mapa Calor'!$B$2)</f>
        <v>0</v>
      </c>
      <c r="P20" s="9">
        <f>+SUMIFS(Regiones[Ofrecidas],Regiones[Fecha],'Mapa Calor'!P$3,Regiones[Intervalo],'Mapa Calor'!$B20,Regiones[Skill],'Mapa Calor'!$B$2)</f>
        <v>0</v>
      </c>
      <c r="Q20" s="9">
        <f>+SUMIFS(Regiones[Ofrecidas],Regiones[Fecha],'Mapa Calor'!Q$3,Regiones[Intervalo],'Mapa Calor'!$B20,Regiones[Skill],'Mapa Calor'!$B$2)</f>
        <v>0</v>
      </c>
      <c r="R20" s="9">
        <f>+SUMIFS(Regiones[Ofrecidas],Regiones[Fecha],'Mapa Calor'!R$3,Regiones[Intervalo],'Mapa Calor'!$B20,Regiones[Skill],'Mapa Calor'!$B$2)</f>
        <v>0</v>
      </c>
      <c r="S20" s="9">
        <f>+SUMIFS(Regiones[Ofrecidas],Regiones[Fecha],'Mapa Calor'!S$3,Regiones[Intervalo],'Mapa Calor'!$B20,Regiones[Skill],'Mapa Calor'!$B$2)</f>
        <v>0</v>
      </c>
      <c r="T20" s="9">
        <f>+SUMIFS(Regiones[Ofrecidas],Regiones[Fecha],'Mapa Calor'!T$3,Regiones[Intervalo],'Mapa Calor'!$B20,Regiones[Skill],'Mapa Calor'!$B$2)</f>
        <v>0</v>
      </c>
      <c r="U20" s="9">
        <f>+SUMIFS(Regiones[Ofrecidas],Regiones[Fecha],'Mapa Calor'!U$3,Regiones[Intervalo],'Mapa Calor'!$B20,Regiones[Skill],'Mapa Calor'!$B$2)</f>
        <v>0</v>
      </c>
      <c r="V20" s="9">
        <f>+SUMIFS(Regiones[Ofrecidas],Regiones[Fecha],'Mapa Calor'!V$3,Regiones[Intervalo],'Mapa Calor'!$B20,Regiones[Skill],'Mapa Calor'!$B$2)</f>
        <v>0</v>
      </c>
      <c r="W20" s="9">
        <f>+SUMIFS(Regiones[Ofrecidas],Regiones[Fecha],'Mapa Calor'!W$3,Regiones[Intervalo],'Mapa Calor'!$B20,Regiones[Skill],'Mapa Calor'!$B$2)</f>
        <v>0</v>
      </c>
      <c r="X20" s="9">
        <f>+SUMIFS(Regiones[Ofrecidas],Regiones[Fecha],'Mapa Calor'!X$3,Regiones[Intervalo],'Mapa Calor'!$B20,Regiones[Skill],'Mapa Calor'!$B$2)</f>
        <v>0</v>
      </c>
      <c r="Y20" s="9">
        <f>+SUMIFS(Regiones[Ofrecidas],Regiones[Fecha],'Mapa Calor'!Y$3,Regiones[Intervalo],'Mapa Calor'!$B20,Regiones[Skill],'Mapa Calor'!$B$2)</f>
        <v>0</v>
      </c>
      <c r="Z20" s="9">
        <f>+SUMIFS(Regiones[Ofrecidas],Regiones[Fecha],'Mapa Calor'!Z$3,Regiones[Intervalo],'Mapa Calor'!$B20,Regiones[Skill],'Mapa Calor'!$B$2)</f>
        <v>0</v>
      </c>
      <c r="AA20" s="9">
        <f>+SUMIFS(Regiones[Ofrecidas],Regiones[Fecha],'Mapa Calor'!AA$3,Regiones[Intervalo],'Mapa Calor'!$B20,Regiones[Skill],'Mapa Calor'!$B$2)</f>
        <v>0</v>
      </c>
      <c r="AB20" s="9">
        <f>+SUMIFS(Regiones[Ofrecidas],Regiones[Fecha],'Mapa Calor'!AB$3,Regiones[Intervalo],'Mapa Calor'!$B20,Regiones[Skill],'Mapa Calor'!$B$2)</f>
        <v>0</v>
      </c>
      <c r="AC20" s="9">
        <f>+SUMIFS(Regiones[Ofrecidas],Regiones[Fecha],'Mapa Calor'!AC$3,Regiones[Intervalo],'Mapa Calor'!$B20,Regiones[Skill],'Mapa Calor'!$B$2)</f>
        <v>0</v>
      </c>
      <c r="AD20" s="9">
        <f>+SUMIFS(Regiones[Ofrecidas],Regiones[Fecha],'Mapa Calor'!AD$3,Regiones[Intervalo],'Mapa Calor'!$B20,Regiones[Skill],'Mapa Calor'!$B$2)</f>
        <v>0</v>
      </c>
      <c r="AE20" s="9">
        <f>+SUMIFS(Regiones[Ofrecidas],Regiones[Fecha],'Mapa Calor'!AE$3,Regiones[Intervalo],'Mapa Calor'!$B20,Regiones[Skill],'Mapa Calor'!$B$2)</f>
        <v>0</v>
      </c>
      <c r="AF20" s="9">
        <f>+SUMIFS(Regiones[Ofrecidas],Regiones[Fecha],'Mapa Calor'!AF$3,Regiones[Intervalo],'Mapa Calor'!$B20,Regiones[Skill],'Mapa Calor'!$B$2)</f>
        <v>0</v>
      </c>
      <c r="AG20" s="9">
        <f>+SUMIFS(Regiones[Ofrecidas],Regiones[Fecha],'Mapa Calor'!AG$3,Regiones[Intervalo],'Mapa Calor'!$B20,Regiones[Skill],'Mapa Calor'!$B$2)</f>
        <v>0</v>
      </c>
    </row>
    <row r="21" spans="2:33" x14ac:dyDescent="0.3">
      <c r="B21" s="8">
        <v>0.72916666666666663</v>
      </c>
      <c r="C21" s="9">
        <f>+SUMIFS(Regiones[Ofrecidas],Regiones[Fecha],'Mapa Calor'!C$3,Regiones[Intervalo],'Mapa Calor'!$B21,Regiones[Skill],'Mapa Calor'!$B$2)</f>
        <v>30</v>
      </c>
      <c r="D21" s="9">
        <f>+SUMIFS(Regiones[Ofrecidas],Regiones[Fecha],'Mapa Calor'!D$3,Regiones[Intervalo],'Mapa Calor'!$B21,Regiones[Skill],'Mapa Calor'!$B$2)</f>
        <v>16</v>
      </c>
      <c r="E21" s="9">
        <f>+SUMIFS(Regiones[Ofrecidas],Regiones[Fecha],'Mapa Calor'!E$3,Regiones[Intervalo],'Mapa Calor'!$B21,Regiones[Skill],'Mapa Calor'!$B$2)</f>
        <v>21</v>
      </c>
      <c r="F21" s="9">
        <f>+SUMIFS(Regiones[Ofrecidas],Regiones[Fecha],'Mapa Calor'!F$3,Regiones[Intervalo],'Mapa Calor'!$B21,Regiones[Skill],'Mapa Calor'!$B$2)</f>
        <v>0</v>
      </c>
      <c r="G21" s="9">
        <f>+SUMIFS(Regiones[Ofrecidas],Regiones[Fecha],'Mapa Calor'!G$3,Regiones[Intervalo],'Mapa Calor'!$B21,Regiones[Skill],'Mapa Calor'!$B$2)</f>
        <v>0</v>
      </c>
      <c r="H21" s="9">
        <f>+SUMIFS(Regiones[Ofrecidas],Regiones[Fecha],'Mapa Calor'!H$3,Regiones[Intervalo],'Mapa Calor'!$B21,Regiones[Skill],'Mapa Calor'!$B$2)</f>
        <v>0</v>
      </c>
      <c r="I21" s="9">
        <f>+SUMIFS(Regiones[Ofrecidas],Regiones[Fecha],'Mapa Calor'!I$3,Regiones[Intervalo],'Mapa Calor'!$B21,Regiones[Skill],'Mapa Calor'!$B$2)</f>
        <v>0</v>
      </c>
      <c r="J21" s="9">
        <f>+SUMIFS(Regiones[Ofrecidas],Regiones[Fecha],'Mapa Calor'!J$3,Regiones[Intervalo],'Mapa Calor'!$B21,Regiones[Skill],'Mapa Calor'!$B$2)</f>
        <v>0</v>
      </c>
      <c r="K21" s="9">
        <f>+SUMIFS(Regiones[Ofrecidas],Regiones[Fecha],'Mapa Calor'!K$3,Regiones[Intervalo],'Mapa Calor'!$B21,Regiones[Skill],'Mapa Calor'!$B$2)</f>
        <v>0</v>
      </c>
      <c r="L21" s="9">
        <f>+SUMIFS(Regiones[Ofrecidas],Regiones[Fecha],'Mapa Calor'!L$3,Regiones[Intervalo],'Mapa Calor'!$B21,Regiones[Skill],'Mapa Calor'!$B$2)</f>
        <v>0</v>
      </c>
      <c r="M21" s="9">
        <f>+SUMIFS(Regiones[Ofrecidas],Regiones[Fecha],'Mapa Calor'!M$3,Regiones[Intervalo],'Mapa Calor'!$B21,Regiones[Skill],'Mapa Calor'!$B$2)</f>
        <v>0</v>
      </c>
      <c r="N21" s="9">
        <f>+SUMIFS(Regiones[Ofrecidas],Regiones[Fecha],'Mapa Calor'!N$3,Regiones[Intervalo],'Mapa Calor'!$B21,Regiones[Skill],'Mapa Calor'!$B$2)</f>
        <v>0</v>
      </c>
      <c r="O21" s="9">
        <f>+SUMIFS(Regiones[Ofrecidas],Regiones[Fecha],'Mapa Calor'!O$3,Regiones[Intervalo],'Mapa Calor'!$B21,Regiones[Skill],'Mapa Calor'!$B$2)</f>
        <v>0</v>
      </c>
      <c r="P21" s="9">
        <f>+SUMIFS(Regiones[Ofrecidas],Regiones[Fecha],'Mapa Calor'!P$3,Regiones[Intervalo],'Mapa Calor'!$B21,Regiones[Skill],'Mapa Calor'!$B$2)</f>
        <v>0</v>
      </c>
      <c r="Q21" s="9">
        <f>+SUMIFS(Regiones[Ofrecidas],Regiones[Fecha],'Mapa Calor'!Q$3,Regiones[Intervalo],'Mapa Calor'!$B21,Regiones[Skill],'Mapa Calor'!$B$2)</f>
        <v>0</v>
      </c>
      <c r="R21" s="9">
        <f>+SUMIFS(Regiones[Ofrecidas],Regiones[Fecha],'Mapa Calor'!R$3,Regiones[Intervalo],'Mapa Calor'!$B21,Regiones[Skill],'Mapa Calor'!$B$2)</f>
        <v>0</v>
      </c>
      <c r="S21" s="9">
        <f>+SUMIFS(Regiones[Ofrecidas],Regiones[Fecha],'Mapa Calor'!S$3,Regiones[Intervalo],'Mapa Calor'!$B21,Regiones[Skill],'Mapa Calor'!$B$2)</f>
        <v>0</v>
      </c>
      <c r="T21" s="9">
        <f>+SUMIFS(Regiones[Ofrecidas],Regiones[Fecha],'Mapa Calor'!T$3,Regiones[Intervalo],'Mapa Calor'!$B21,Regiones[Skill],'Mapa Calor'!$B$2)</f>
        <v>0</v>
      </c>
      <c r="U21" s="9">
        <f>+SUMIFS(Regiones[Ofrecidas],Regiones[Fecha],'Mapa Calor'!U$3,Regiones[Intervalo],'Mapa Calor'!$B21,Regiones[Skill],'Mapa Calor'!$B$2)</f>
        <v>0</v>
      </c>
      <c r="V21" s="9">
        <f>+SUMIFS(Regiones[Ofrecidas],Regiones[Fecha],'Mapa Calor'!V$3,Regiones[Intervalo],'Mapa Calor'!$B21,Regiones[Skill],'Mapa Calor'!$B$2)</f>
        <v>0</v>
      </c>
      <c r="W21" s="9">
        <f>+SUMIFS(Regiones[Ofrecidas],Regiones[Fecha],'Mapa Calor'!W$3,Regiones[Intervalo],'Mapa Calor'!$B21,Regiones[Skill],'Mapa Calor'!$B$2)</f>
        <v>0</v>
      </c>
      <c r="X21" s="9">
        <f>+SUMIFS(Regiones[Ofrecidas],Regiones[Fecha],'Mapa Calor'!X$3,Regiones[Intervalo],'Mapa Calor'!$B21,Regiones[Skill],'Mapa Calor'!$B$2)</f>
        <v>0</v>
      </c>
      <c r="Y21" s="9">
        <f>+SUMIFS(Regiones[Ofrecidas],Regiones[Fecha],'Mapa Calor'!Y$3,Regiones[Intervalo],'Mapa Calor'!$B21,Regiones[Skill],'Mapa Calor'!$B$2)</f>
        <v>0</v>
      </c>
      <c r="Z21" s="9">
        <f>+SUMIFS(Regiones[Ofrecidas],Regiones[Fecha],'Mapa Calor'!Z$3,Regiones[Intervalo],'Mapa Calor'!$B21,Regiones[Skill],'Mapa Calor'!$B$2)</f>
        <v>0</v>
      </c>
      <c r="AA21" s="9">
        <f>+SUMIFS(Regiones[Ofrecidas],Regiones[Fecha],'Mapa Calor'!AA$3,Regiones[Intervalo],'Mapa Calor'!$B21,Regiones[Skill],'Mapa Calor'!$B$2)</f>
        <v>0</v>
      </c>
      <c r="AB21" s="9">
        <f>+SUMIFS(Regiones[Ofrecidas],Regiones[Fecha],'Mapa Calor'!AB$3,Regiones[Intervalo],'Mapa Calor'!$B21,Regiones[Skill],'Mapa Calor'!$B$2)</f>
        <v>0</v>
      </c>
      <c r="AC21" s="9">
        <f>+SUMIFS(Regiones[Ofrecidas],Regiones[Fecha],'Mapa Calor'!AC$3,Regiones[Intervalo],'Mapa Calor'!$B21,Regiones[Skill],'Mapa Calor'!$B$2)</f>
        <v>0</v>
      </c>
      <c r="AD21" s="9">
        <f>+SUMIFS(Regiones[Ofrecidas],Regiones[Fecha],'Mapa Calor'!AD$3,Regiones[Intervalo],'Mapa Calor'!$B21,Regiones[Skill],'Mapa Calor'!$B$2)</f>
        <v>0</v>
      </c>
      <c r="AE21" s="9">
        <f>+SUMIFS(Regiones[Ofrecidas],Regiones[Fecha],'Mapa Calor'!AE$3,Regiones[Intervalo],'Mapa Calor'!$B21,Regiones[Skill],'Mapa Calor'!$B$2)</f>
        <v>0</v>
      </c>
      <c r="AF21" s="9">
        <f>+SUMIFS(Regiones[Ofrecidas],Regiones[Fecha],'Mapa Calor'!AF$3,Regiones[Intervalo],'Mapa Calor'!$B21,Regiones[Skill],'Mapa Calor'!$B$2)</f>
        <v>0</v>
      </c>
      <c r="AG21" s="9">
        <f>+SUMIFS(Regiones[Ofrecidas],Regiones[Fecha],'Mapa Calor'!AG$3,Regiones[Intervalo],'Mapa Calor'!$B21,Regiones[Skill],'Mapa Calor'!$B$2)</f>
        <v>0</v>
      </c>
    </row>
    <row r="22" spans="2:33" x14ac:dyDescent="0.3">
      <c r="B22" s="8">
        <v>0.75</v>
      </c>
      <c r="C22" s="9">
        <f>+SUMIFS(Regiones[Ofrecidas],Regiones[Fecha],'Mapa Calor'!C$3,Regiones[Intervalo],'Mapa Calor'!$B22,Regiones[Skill],'Mapa Calor'!$B$2)</f>
        <v>0</v>
      </c>
      <c r="D22" s="9">
        <f>+SUMIFS(Regiones[Ofrecidas],Regiones[Fecha],'Mapa Calor'!D$3,Regiones[Intervalo],'Mapa Calor'!$B22,Regiones[Skill],'Mapa Calor'!$B$2)</f>
        <v>1</v>
      </c>
      <c r="E22" s="9">
        <f>+SUMIFS(Regiones[Ofrecidas],Regiones[Fecha],'Mapa Calor'!E$3,Regiones[Intervalo],'Mapa Calor'!$B22,Regiones[Skill],'Mapa Calor'!$B$2)</f>
        <v>0</v>
      </c>
      <c r="F22" s="9">
        <f>+SUMIFS(Regiones[Ofrecidas],Regiones[Fecha],'Mapa Calor'!F$3,Regiones[Intervalo],'Mapa Calor'!$B22,Regiones[Skill],'Mapa Calor'!$B$2)</f>
        <v>0</v>
      </c>
      <c r="G22" s="9">
        <f>+SUMIFS(Regiones[Ofrecidas],Regiones[Fecha],'Mapa Calor'!G$3,Regiones[Intervalo],'Mapa Calor'!$B22,Regiones[Skill],'Mapa Calor'!$B$2)</f>
        <v>0</v>
      </c>
      <c r="H22" s="9">
        <f>+SUMIFS(Regiones[Ofrecidas],Regiones[Fecha],'Mapa Calor'!H$3,Regiones[Intervalo],'Mapa Calor'!$B22,Regiones[Skill],'Mapa Calor'!$B$2)</f>
        <v>0</v>
      </c>
      <c r="I22" s="9">
        <f>+SUMIFS(Regiones[Ofrecidas],Regiones[Fecha],'Mapa Calor'!I$3,Regiones[Intervalo],'Mapa Calor'!$B22,Regiones[Skill],'Mapa Calor'!$B$2)</f>
        <v>0</v>
      </c>
      <c r="J22" s="9">
        <f>+SUMIFS(Regiones[Ofrecidas],Regiones[Fecha],'Mapa Calor'!J$3,Regiones[Intervalo],'Mapa Calor'!$B22,Regiones[Skill],'Mapa Calor'!$B$2)</f>
        <v>0</v>
      </c>
      <c r="K22" s="9">
        <f>+SUMIFS(Regiones[Ofrecidas],Regiones[Fecha],'Mapa Calor'!K$3,Regiones[Intervalo],'Mapa Calor'!$B22,Regiones[Skill],'Mapa Calor'!$B$2)</f>
        <v>0</v>
      </c>
      <c r="L22" s="9">
        <f>+SUMIFS(Regiones[Ofrecidas],Regiones[Fecha],'Mapa Calor'!L$3,Regiones[Intervalo],'Mapa Calor'!$B22,Regiones[Skill],'Mapa Calor'!$B$2)</f>
        <v>0</v>
      </c>
      <c r="M22" s="9">
        <f>+SUMIFS(Regiones[Ofrecidas],Regiones[Fecha],'Mapa Calor'!M$3,Regiones[Intervalo],'Mapa Calor'!$B22,Regiones[Skill],'Mapa Calor'!$B$2)</f>
        <v>0</v>
      </c>
      <c r="N22" s="9">
        <f>+SUMIFS(Regiones[Ofrecidas],Regiones[Fecha],'Mapa Calor'!N$3,Regiones[Intervalo],'Mapa Calor'!$B22,Regiones[Skill],'Mapa Calor'!$B$2)</f>
        <v>0</v>
      </c>
      <c r="O22" s="9">
        <f>+SUMIFS(Regiones[Ofrecidas],Regiones[Fecha],'Mapa Calor'!O$3,Regiones[Intervalo],'Mapa Calor'!$B22,Regiones[Skill],'Mapa Calor'!$B$2)</f>
        <v>0</v>
      </c>
      <c r="P22" s="9">
        <f>+SUMIFS(Regiones[Ofrecidas],Regiones[Fecha],'Mapa Calor'!P$3,Regiones[Intervalo],'Mapa Calor'!$B22,Regiones[Skill],'Mapa Calor'!$B$2)</f>
        <v>0</v>
      </c>
      <c r="Q22" s="9">
        <f>+SUMIFS(Regiones[Ofrecidas],Regiones[Fecha],'Mapa Calor'!Q$3,Regiones[Intervalo],'Mapa Calor'!$B22,Regiones[Skill],'Mapa Calor'!$B$2)</f>
        <v>0</v>
      </c>
      <c r="R22" s="9">
        <f>+SUMIFS(Regiones[Ofrecidas],Regiones[Fecha],'Mapa Calor'!R$3,Regiones[Intervalo],'Mapa Calor'!$B22,Regiones[Skill],'Mapa Calor'!$B$2)</f>
        <v>0</v>
      </c>
      <c r="S22" s="9">
        <f>+SUMIFS(Regiones[Ofrecidas],Regiones[Fecha],'Mapa Calor'!S$3,Regiones[Intervalo],'Mapa Calor'!$B22,Regiones[Skill],'Mapa Calor'!$B$2)</f>
        <v>0</v>
      </c>
      <c r="T22" s="9">
        <f>+SUMIFS(Regiones[Ofrecidas],Regiones[Fecha],'Mapa Calor'!T$3,Regiones[Intervalo],'Mapa Calor'!$B22,Regiones[Skill],'Mapa Calor'!$B$2)</f>
        <v>0</v>
      </c>
      <c r="U22" s="9">
        <f>+SUMIFS(Regiones[Ofrecidas],Regiones[Fecha],'Mapa Calor'!U$3,Regiones[Intervalo],'Mapa Calor'!$B22,Regiones[Skill],'Mapa Calor'!$B$2)</f>
        <v>0</v>
      </c>
      <c r="V22" s="9">
        <f>+SUMIFS(Regiones[Ofrecidas],Regiones[Fecha],'Mapa Calor'!V$3,Regiones[Intervalo],'Mapa Calor'!$B22,Regiones[Skill],'Mapa Calor'!$B$2)</f>
        <v>0</v>
      </c>
      <c r="W22" s="9">
        <f>+SUMIFS(Regiones[Ofrecidas],Regiones[Fecha],'Mapa Calor'!W$3,Regiones[Intervalo],'Mapa Calor'!$B22,Regiones[Skill],'Mapa Calor'!$B$2)</f>
        <v>0</v>
      </c>
      <c r="X22" s="9">
        <f>+SUMIFS(Regiones[Ofrecidas],Regiones[Fecha],'Mapa Calor'!X$3,Regiones[Intervalo],'Mapa Calor'!$B22,Regiones[Skill],'Mapa Calor'!$B$2)</f>
        <v>0</v>
      </c>
      <c r="Y22" s="9">
        <f>+SUMIFS(Regiones[Ofrecidas],Regiones[Fecha],'Mapa Calor'!Y$3,Regiones[Intervalo],'Mapa Calor'!$B22,Regiones[Skill],'Mapa Calor'!$B$2)</f>
        <v>0</v>
      </c>
      <c r="Z22" s="9">
        <f>+SUMIFS(Regiones[Ofrecidas],Regiones[Fecha],'Mapa Calor'!Z$3,Regiones[Intervalo],'Mapa Calor'!$B22,Regiones[Skill],'Mapa Calor'!$B$2)</f>
        <v>0</v>
      </c>
      <c r="AA22" s="9">
        <f>+SUMIFS(Regiones[Ofrecidas],Regiones[Fecha],'Mapa Calor'!AA$3,Regiones[Intervalo],'Mapa Calor'!$B22,Regiones[Skill],'Mapa Calor'!$B$2)</f>
        <v>0</v>
      </c>
      <c r="AB22" s="9">
        <f>+SUMIFS(Regiones[Ofrecidas],Regiones[Fecha],'Mapa Calor'!AB$3,Regiones[Intervalo],'Mapa Calor'!$B22,Regiones[Skill],'Mapa Calor'!$B$2)</f>
        <v>0</v>
      </c>
      <c r="AC22" s="9">
        <f>+SUMIFS(Regiones[Ofrecidas],Regiones[Fecha],'Mapa Calor'!AC$3,Regiones[Intervalo],'Mapa Calor'!$B22,Regiones[Skill],'Mapa Calor'!$B$2)</f>
        <v>0</v>
      </c>
      <c r="AD22" s="9">
        <f>+SUMIFS(Regiones[Ofrecidas],Regiones[Fecha],'Mapa Calor'!AD$3,Regiones[Intervalo],'Mapa Calor'!$B22,Regiones[Skill],'Mapa Calor'!$B$2)</f>
        <v>0</v>
      </c>
      <c r="AE22" s="9">
        <f>+SUMIFS(Regiones[Ofrecidas],Regiones[Fecha],'Mapa Calor'!AE$3,Regiones[Intervalo],'Mapa Calor'!$B22,Regiones[Skill],'Mapa Calor'!$B$2)</f>
        <v>0</v>
      </c>
      <c r="AF22" s="9">
        <f>+SUMIFS(Regiones[Ofrecidas],Regiones[Fecha],'Mapa Calor'!AF$3,Regiones[Intervalo],'Mapa Calor'!$B22,Regiones[Skill],'Mapa Calor'!$B$2)</f>
        <v>0</v>
      </c>
      <c r="AG22" s="9">
        <f>+SUMIFS(Regiones[Ofrecidas],Regiones[Fecha],'Mapa Calor'!AG$3,Regiones[Intervalo],'Mapa Calor'!$B22,Regiones[Skill],'Mapa Calor'!$B$2)</f>
        <v>0</v>
      </c>
    </row>
    <row r="23" spans="2:33" x14ac:dyDescent="0.3">
      <c r="B23" s="8"/>
      <c r="C23" s="9">
        <f>+SUMIFS(Regiones[Ofrecidas],Regiones[Fecha],'Mapa Calor'!C$3,Regiones[Intervalo],'Mapa Calor'!$B23,Regiones[Skill],'Mapa Calor'!$B$2)</f>
        <v>0</v>
      </c>
      <c r="D23" s="9">
        <f>+SUMIFS(Regiones[Ofrecidas],Regiones[Fecha],'Mapa Calor'!D$3,Regiones[Intervalo],'Mapa Calor'!$B23,Regiones[Skill],'Mapa Calor'!$B$2)</f>
        <v>0</v>
      </c>
      <c r="E23" s="9">
        <f>+SUMIFS(Regiones[Ofrecidas],Regiones[Fecha],'Mapa Calor'!E$3,Regiones[Intervalo],'Mapa Calor'!$B23,Regiones[Skill],'Mapa Calor'!$B$2)</f>
        <v>0</v>
      </c>
      <c r="F23" s="9">
        <f>+SUMIFS(Regiones[Ofrecidas],Regiones[Fecha],'Mapa Calor'!F$3,Regiones[Intervalo],'Mapa Calor'!$B23,Regiones[Skill],'Mapa Calor'!$B$2)</f>
        <v>0</v>
      </c>
      <c r="G23" s="9">
        <f>+SUMIFS(Regiones[Ofrecidas],Regiones[Fecha],'Mapa Calor'!G$3,Regiones[Intervalo],'Mapa Calor'!$B23,Regiones[Skill],'Mapa Calor'!$B$2)</f>
        <v>0</v>
      </c>
      <c r="H23" s="9">
        <f>+SUMIFS(Regiones[Ofrecidas],Regiones[Fecha],'Mapa Calor'!H$3,Regiones[Intervalo],'Mapa Calor'!$B23,Regiones[Skill],'Mapa Calor'!$B$2)</f>
        <v>0</v>
      </c>
      <c r="I23" s="9">
        <f>+SUMIFS(Regiones[Ofrecidas],Regiones[Fecha],'Mapa Calor'!I$3,Regiones[Intervalo],'Mapa Calor'!$B23,Regiones[Skill],'Mapa Calor'!$B$2)</f>
        <v>0</v>
      </c>
      <c r="J23" s="9">
        <f>+SUMIFS(Regiones[Ofrecidas],Regiones[Fecha],'Mapa Calor'!J$3,Regiones[Intervalo],'Mapa Calor'!$B23,Regiones[Skill],'Mapa Calor'!$B$2)</f>
        <v>0</v>
      </c>
      <c r="K23" s="9">
        <f>+SUMIFS(Regiones[Ofrecidas],Regiones[Fecha],'Mapa Calor'!K$3,Regiones[Intervalo],'Mapa Calor'!$B23,Regiones[Skill],'Mapa Calor'!$B$2)</f>
        <v>0</v>
      </c>
      <c r="L23" s="9">
        <f>+SUMIFS(Regiones[Ofrecidas],Regiones[Fecha],'Mapa Calor'!L$3,Regiones[Intervalo],'Mapa Calor'!$B23,Regiones[Skill],'Mapa Calor'!$B$2)</f>
        <v>0</v>
      </c>
      <c r="M23" s="9">
        <f>+SUMIFS(Regiones[Ofrecidas],Regiones[Fecha],'Mapa Calor'!M$3,Regiones[Intervalo],'Mapa Calor'!$B23,Regiones[Skill],'Mapa Calor'!$B$2)</f>
        <v>0</v>
      </c>
      <c r="N23" s="9">
        <f>+SUMIFS(Regiones[Ofrecidas],Regiones[Fecha],'Mapa Calor'!N$3,Regiones[Intervalo],'Mapa Calor'!$B23,Regiones[Skill],'Mapa Calor'!$B$2)</f>
        <v>0</v>
      </c>
      <c r="O23" s="9">
        <f>+SUMIFS(Regiones[Ofrecidas],Regiones[Fecha],'Mapa Calor'!O$3,Regiones[Intervalo],'Mapa Calor'!$B23,Regiones[Skill],'Mapa Calor'!$B$2)</f>
        <v>0</v>
      </c>
      <c r="P23" s="9">
        <f>+SUMIFS(Regiones[Ofrecidas],Regiones[Fecha],'Mapa Calor'!P$3,Regiones[Intervalo],'Mapa Calor'!$B23,Regiones[Skill],'Mapa Calor'!$B$2)</f>
        <v>0</v>
      </c>
      <c r="Q23" s="9">
        <f>+SUMIFS(Regiones[Ofrecidas],Regiones[Fecha],'Mapa Calor'!Q$3,Regiones[Intervalo],'Mapa Calor'!$B23,Regiones[Skill],'Mapa Calor'!$B$2)</f>
        <v>0</v>
      </c>
      <c r="R23" s="9">
        <f>+SUMIFS(Regiones[Ofrecidas],Regiones[Fecha],'Mapa Calor'!R$3,Regiones[Intervalo],'Mapa Calor'!$B23,Regiones[Skill],'Mapa Calor'!$B$2)</f>
        <v>0</v>
      </c>
      <c r="S23" s="9">
        <f>+SUMIFS(Regiones[Ofrecidas],Regiones[Fecha],'Mapa Calor'!S$3,Regiones[Intervalo],'Mapa Calor'!$B23,Regiones[Skill],'Mapa Calor'!$B$2)</f>
        <v>0</v>
      </c>
      <c r="T23" s="9">
        <f>+SUMIFS(Regiones[Ofrecidas],Regiones[Fecha],'Mapa Calor'!T$3,Regiones[Intervalo],'Mapa Calor'!$B23,Regiones[Skill],'Mapa Calor'!$B$2)</f>
        <v>0</v>
      </c>
      <c r="U23" s="9">
        <f>+SUMIFS(Regiones[Ofrecidas],Regiones[Fecha],'Mapa Calor'!U$3,Regiones[Intervalo],'Mapa Calor'!$B23,Regiones[Skill],'Mapa Calor'!$B$2)</f>
        <v>0</v>
      </c>
      <c r="V23" s="9">
        <f>+SUMIFS(Regiones[Ofrecidas],Regiones[Fecha],'Mapa Calor'!V$3,Regiones[Intervalo],'Mapa Calor'!$B23,Regiones[Skill],'Mapa Calor'!$B$2)</f>
        <v>0</v>
      </c>
      <c r="W23" s="9">
        <f>+SUMIFS(Regiones[Ofrecidas],Regiones[Fecha],'Mapa Calor'!W$3,Regiones[Intervalo],'Mapa Calor'!$B23,Regiones[Skill],'Mapa Calor'!$B$2)</f>
        <v>0</v>
      </c>
      <c r="X23" s="9">
        <f>+SUMIFS(Regiones[Ofrecidas],Regiones[Fecha],'Mapa Calor'!X$3,Regiones[Intervalo],'Mapa Calor'!$B23,Regiones[Skill],'Mapa Calor'!$B$2)</f>
        <v>0</v>
      </c>
      <c r="Y23" s="9">
        <f>+SUMIFS(Regiones[Ofrecidas],Regiones[Fecha],'Mapa Calor'!Y$3,Regiones[Intervalo],'Mapa Calor'!$B23,Regiones[Skill],'Mapa Calor'!$B$2)</f>
        <v>0</v>
      </c>
      <c r="Z23" s="9">
        <f>+SUMIFS(Regiones[Ofrecidas],Regiones[Fecha],'Mapa Calor'!Z$3,Regiones[Intervalo],'Mapa Calor'!$B23,Regiones[Skill],'Mapa Calor'!$B$2)</f>
        <v>0</v>
      </c>
      <c r="AA23" s="9">
        <f>+SUMIFS(Regiones[Ofrecidas],Regiones[Fecha],'Mapa Calor'!AA$3,Regiones[Intervalo],'Mapa Calor'!$B23,Regiones[Skill],'Mapa Calor'!$B$2)</f>
        <v>0</v>
      </c>
      <c r="AB23" s="9">
        <f>+SUMIFS(Regiones[Ofrecidas],Regiones[Fecha],'Mapa Calor'!AB$3,Regiones[Intervalo],'Mapa Calor'!$B23,Regiones[Skill],'Mapa Calor'!$B$2)</f>
        <v>0</v>
      </c>
      <c r="AC23" s="9">
        <f>+SUMIFS(Regiones[Ofrecidas],Regiones[Fecha],'Mapa Calor'!AC$3,Regiones[Intervalo],'Mapa Calor'!$B23,Regiones[Skill],'Mapa Calor'!$B$2)</f>
        <v>0</v>
      </c>
      <c r="AD23" s="9">
        <f>+SUMIFS(Regiones[Ofrecidas],Regiones[Fecha],'Mapa Calor'!AD$3,Regiones[Intervalo],'Mapa Calor'!$B23,Regiones[Skill],'Mapa Calor'!$B$2)</f>
        <v>0</v>
      </c>
      <c r="AE23" s="9">
        <f>+SUMIFS(Regiones[Ofrecidas],Regiones[Fecha],'Mapa Calor'!AE$3,Regiones[Intervalo],'Mapa Calor'!$B23,Regiones[Skill],'Mapa Calor'!$B$2)</f>
        <v>0</v>
      </c>
      <c r="AF23" s="9">
        <f>+SUMIFS(Regiones[Ofrecidas],Regiones[Fecha],'Mapa Calor'!AF$3,Regiones[Intervalo],'Mapa Calor'!$B23,Regiones[Skill],'Mapa Calor'!$B$2)</f>
        <v>0</v>
      </c>
      <c r="AG23" s="9">
        <f>+SUMIFS(Regiones[Ofrecidas],Regiones[Fecha],'Mapa Calor'!AG$3,Regiones[Intervalo],'Mapa Calor'!$B23,Regiones[Skill],'Mapa Calor'!$B$2)</f>
        <v>0</v>
      </c>
    </row>
  </sheetData>
  <conditionalFormatting sqref="C4:AG23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BDD</vt:lpstr>
      <vt:lpstr>BUPA Seguros</vt:lpstr>
      <vt:lpstr>Mapa Calor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Fabian Morales Inostroza</dc:creator>
  <cp:keywords/>
  <dc:description/>
  <cp:lastModifiedBy>Richard Morales I</cp:lastModifiedBy>
  <cp:revision/>
  <dcterms:created xsi:type="dcterms:W3CDTF">2020-03-30T16:39:07Z</dcterms:created>
  <dcterms:modified xsi:type="dcterms:W3CDTF">2026-07-07T17:38:50Z</dcterms:modified>
  <cp:category/>
  <cp:contentStatus/>
</cp:coreProperties>
</file>