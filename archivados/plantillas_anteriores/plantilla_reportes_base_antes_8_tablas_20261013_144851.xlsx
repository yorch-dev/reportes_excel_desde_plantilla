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edservvirtualessalud-my.sharepoint.com/personal/jtapia_sercomed_cl/Documents/Documentos/desarrollos_python/librerías/xlwings/reportes_excel_desde_plantilla/archivos/"/>
    </mc:Choice>
  </mc:AlternateContent>
  <xr:revisionPtr revIDLastSave="27" documentId="8_{9E7ABDB1-011E-404C-BE3E-7202F9A318C7}" xr6:coauthVersionLast="47" xr6:coauthVersionMax="47" xr10:uidLastSave="{0CE8B6DD-7121-4D73-88A1-533AB1FDE2E8}"/>
  <bookViews>
    <workbookView xWindow="-28920" yWindow="-120" windowWidth="29040" windowHeight="15720" activeTab="6" xr2:uid="{24824EB3-DA2C-4EE3-836B-2F817B95352A}"/>
  </bookViews>
  <sheets>
    <sheet name="t_colas_diario" sheetId="1" r:id="rId1"/>
    <sheet name="t_colas_intervalo" sheetId="2" r:id="rId2"/>
    <sheet name="t_workloads_diario" sheetId="3" r:id="rId3"/>
    <sheet name="t_workloads_intervalo" sheetId="4" r:id="rId4"/>
    <sheet name="t_ejecutivos_diario" sheetId="5" r:id="rId5"/>
    <sheet name="t_estados_agentes_intervalo" sheetId="6" r:id="rId6"/>
    <sheet name="Hoja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7" l="1" a="1"/>
  <c r="E6" i="7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<sst xmlns="http://schemas.openxmlformats.org/spreadsheetml/2006/main" count="264" uniqueCount="158">
  <si>
    <t>rendimiento_id</t>
  </si>
  <si>
    <t>fecha</t>
  </si>
  <si>
    <t>tipo_medios</t>
  </si>
  <si>
    <t>cola_id</t>
  </si>
  <si>
    <t>id_cola</t>
  </si>
  <si>
    <t>nombre_cola</t>
  </si>
  <si>
    <t>nombre_cola_dimension</t>
  </si>
  <si>
    <t>id_division</t>
  </si>
  <si>
    <t>nombre_division</t>
  </si>
  <si>
    <t>porcentaje_objetivo_nivel_servicio</t>
  </si>
  <si>
    <t>oferta</t>
  </si>
  <si>
    <t>contestadas</t>
  </si>
  <si>
    <t>abandono_rapido</t>
  </si>
  <si>
    <t>abandono_no_rapido</t>
  </si>
  <si>
    <t>flujo_saliente</t>
  </si>
  <si>
    <t>cumplen_sla</t>
  </si>
  <si>
    <t>velocidad_media_respuesta_seg</t>
  </si>
  <si>
    <t>abandono_medio_seg</t>
  </si>
  <si>
    <t>manejo</t>
  </si>
  <si>
    <t>tiempo_manejo_total</t>
  </si>
  <si>
    <t>conversacion</t>
  </si>
  <si>
    <t>tiempo_conversacion_total</t>
  </si>
  <si>
    <t>retener</t>
  </si>
  <si>
    <t>tiempo_retencion_total</t>
  </si>
  <si>
    <t>acw</t>
  </si>
  <si>
    <t>tiempo_acw_total</t>
  </si>
  <si>
    <t>contactando</t>
  </si>
  <si>
    <t>tiempo_contactando_total</t>
  </si>
  <si>
    <t>marcando</t>
  </si>
  <si>
    <t>tiempo_marcando_total</t>
  </si>
  <si>
    <t>saliente</t>
  </si>
  <si>
    <t>espera</t>
  </si>
  <si>
    <t>tiempo_espera_total</t>
  </si>
  <si>
    <t>transferencia_sin_consulta</t>
  </si>
  <si>
    <t>transferencia_con_consulta</t>
  </si>
  <si>
    <t>consultar</t>
  </si>
  <si>
    <t>devoluciones_llamadas_activas</t>
  </si>
  <si>
    <t>tiempo_devoluciones_llamadas_activas_total</t>
  </si>
  <si>
    <t>medios_entrantes</t>
  </si>
  <si>
    <t>medios_salientes</t>
  </si>
  <si>
    <t>campana_id</t>
  </si>
  <si>
    <t>nombre_campana</t>
  </si>
  <si>
    <t>tmo_objetivo</t>
  </si>
  <si>
    <t>nivel_atencion_objetivo</t>
  </si>
  <si>
    <t>nivel_servicio_objetivo</t>
  </si>
  <si>
    <t>tiempo_maximo_espera_objetivo</t>
  </si>
  <si>
    <t>observaciones_campana</t>
  </si>
  <si>
    <t>cliente_id</t>
  </si>
  <si>
    <t>horario_id</t>
  </si>
  <si>
    <t>plataforma_operacion_id</t>
  </si>
  <si>
    <t>jefe_negocio_id</t>
  </si>
  <si>
    <t>unidad_negocio_id</t>
  </si>
  <si>
    <t>grupo_facturacion_id</t>
  </si>
  <si>
    <t>tipo_campana_id</t>
  </si>
  <si>
    <t>tipo_campana</t>
  </si>
  <si>
    <t>cliente</t>
  </si>
  <si>
    <t>plataforma_operacion</t>
  </si>
  <si>
    <t>unidad_negocio</t>
  </si>
  <si>
    <t>jefe_negocio</t>
  </si>
  <si>
    <t>supervisores</t>
  </si>
  <si>
    <t>intervalo</t>
  </si>
  <si>
    <t>nombre_cola_2</t>
  </si>
  <si>
    <t>abandonadas</t>
  </si>
  <si>
    <t>porcentaje_nivel_servicio</t>
  </si>
  <si>
    <t>espera_media_seg</t>
  </si>
  <si>
    <t>manejo_medio_seg</t>
  </si>
  <si>
    <t>conversacion_media_seg</t>
  </si>
  <si>
    <t>retencion_media_seg</t>
  </si>
  <si>
    <t>acw_medio_seg</t>
  </si>
  <si>
    <t>transferir</t>
  </si>
  <si>
    <t>salientes_intentadas</t>
  </si>
  <si>
    <t>planning_unit_id</t>
  </si>
  <si>
    <t>unidad_planificacion</t>
  </si>
  <si>
    <t>workload_id</t>
  </si>
  <si>
    <t>workload</t>
  </si>
  <si>
    <t>canal</t>
  </si>
  <si>
    <t>zona_horaria</t>
  </si>
  <si>
    <t>activity_id</t>
  </si>
  <si>
    <t>actividad</t>
  </si>
  <si>
    <t>curve_id</t>
  </si>
  <si>
    <t>estado_historico</t>
  </si>
  <si>
    <t>estado_requerido</t>
  </si>
  <si>
    <t>llamadas_historicas</t>
  </si>
  <si>
    <t>contestadas_historicas</t>
  </si>
  <si>
    <t>tmo_historico</t>
  </si>
  <si>
    <t>forecast_raw_auto</t>
  </si>
  <si>
    <t>tmo_raw_auto</t>
  </si>
  <si>
    <t>forecast_auto</t>
  </si>
  <si>
    <t>tmo_auto</t>
  </si>
  <si>
    <t>forecast_import</t>
  </si>
  <si>
    <t>tmo_import</t>
  </si>
  <si>
    <t>forecast_strategic</t>
  </si>
  <si>
    <t>tmo_strategic</t>
  </si>
  <si>
    <t>forecast_adjustments</t>
  </si>
  <si>
    <t>tmo_adjustments</t>
  </si>
  <si>
    <t>forecast_operational</t>
  </si>
  <si>
    <t>tmo_operational</t>
  </si>
  <si>
    <t>forecast_version3</t>
  </si>
  <si>
    <t>tmo_version3</t>
  </si>
  <si>
    <t>forecast_version4</t>
  </si>
  <si>
    <t>tmo_version4</t>
  </si>
  <si>
    <t>requerido_horas</t>
  </si>
  <si>
    <t>utc_offset_minutos</t>
  </si>
  <si>
    <t>requerido</t>
  </si>
  <si>
    <t>unidad_planificación</t>
  </si>
  <si>
    <t>rut</t>
  </si>
  <si>
    <t>identificador</t>
  </si>
  <si>
    <t>texto_turno</t>
  </si>
  <si>
    <t>tiempo_turno</t>
  </si>
  <si>
    <t>tiempo_conectado</t>
  </si>
  <si>
    <t>tiempo_en_la_cola</t>
  </si>
  <si>
    <t>tiempo_comida</t>
  </si>
  <si>
    <t>tiempo_conversación_total</t>
  </si>
  <si>
    <t>tiempo_descanso</t>
  </si>
  <si>
    <t>tiempo_capacitación</t>
  </si>
  <si>
    <t>tiempo_ausente</t>
  </si>
  <si>
    <t>tiempo_inactivo</t>
  </si>
  <si>
    <t>tiempo_ocupado</t>
  </si>
  <si>
    <t>llamadas_contestadas</t>
  </si>
  <si>
    <t>llamadas_salientes</t>
  </si>
  <si>
    <t>tmo_seg</t>
  </si>
  <si>
    <t>lic_vac_d_adm</t>
  </si>
  <si>
    <t>tramo_jornada</t>
  </si>
  <si>
    <t>tiempo_disponible</t>
  </si>
  <si>
    <t>tiempo_comida_programada</t>
  </si>
  <si>
    <t>tiempo_reunión</t>
  </si>
  <si>
    <t>tiempo_interactuando</t>
  </si>
  <si>
    <t>ocupación_gen</t>
  </si>
  <si>
    <t>tiempo_no_responde</t>
  </si>
  <si>
    <t>tiempo_total_acd</t>
  </si>
  <si>
    <t>tiempo_en_comunicacion</t>
  </si>
  <si>
    <t>tiempo_fuera_de_la_cola</t>
  </si>
  <si>
    <t>Aux objetivo</t>
  </si>
  <si>
    <t>ausencia_de_conexion</t>
  </si>
  <si>
    <t>fecha (índice de meses)</t>
  </si>
  <si>
    <t>fecha (mes)</t>
  </si>
  <si>
    <t>supervisor</t>
  </si>
  <si>
    <t>id</t>
  </si>
  <si>
    <t>id_agente</t>
  </si>
  <si>
    <t>nombre_agente</t>
  </si>
  <si>
    <t>conectado</t>
  </si>
  <si>
    <t>en_la_cola</t>
  </si>
  <si>
    <t>inactivo</t>
  </si>
  <si>
    <t>no_responde</t>
  </si>
  <si>
    <t>fuera_de_la_cola</t>
  </si>
  <si>
    <t>disponible</t>
  </si>
  <si>
    <t>ocupado</t>
  </si>
  <si>
    <t>ausente</t>
  </si>
  <si>
    <t>descanso</t>
  </si>
  <si>
    <t>comida</t>
  </si>
  <si>
    <t>capacitacion</t>
  </si>
  <si>
    <t>interactuando</t>
  </si>
  <si>
    <t>Bupa Seguros</t>
  </si>
  <si>
    <t>d68d6e9e-439a-42b4-ba84-38209c04ff6a</t>
  </si>
  <si>
    <t>calls</t>
  </si>
  <si>
    <t>America/Santiago</t>
  </si>
  <si>
    <t>exportacion_automatica_nombre_unico</t>
  </si>
  <si>
    <t>actividad_asociada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</si>
</sst>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hh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0" fillId="0" borderId="0" xfId="0" quotePrefix="1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3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165" formatCode="hh:mm"/>
    </dxf>
    <dxf>
      <numFmt numFmtId="19" formatCode="dd/mm/yyyy"/>
    </dxf>
    <dxf>
      <numFmt numFmtId="1" formatCode="0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font>
        <b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5" formatCode="hh:mm"/>
    </dxf>
    <dxf>
      <numFmt numFmtId="19" formatCode="dd/mm/yyyy"/>
    </dxf>
    <dxf>
      <font>
        <b/>
      </font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3" formatCode="#,##0"/>
    </dxf>
    <dxf>
      <numFmt numFmtId="3" formatCode="#,##0"/>
    </dxf>
    <dxf>
      <numFmt numFmtId="164" formatCode="0.0000"/>
    </dxf>
    <dxf>
      <numFmt numFmtId="164" formatCode="0.000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hh:mm"/>
    </dxf>
    <dxf>
      <numFmt numFmtId="19" formatCode="dd/mm/yyyy"/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0" formatCode="@"/>
    </dxf>
    <dxf>
      <numFmt numFmtId="1" formatCode="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164" formatCode="0.00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9" formatCode="dd/mm/yyyy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532C1-971E-47E2-A853-7D04AE608F68}" name="t_colas_diario" displayName="t_colas_diario" ref="A1:BH2" insertRow="1" totalsRowShown="0" headerRowDxfId="229">
  <autoFilter ref="A1:BH2" xr:uid="{BE9532C1-971E-47E2-A853-7D04AE608F68}"/>
  <tableColumns count="60">
    <tableColumn id="1" xr3:uid="{E5AFA41C-E6A3-4AE4-9159-2F01A30BE4D9}" name="rendimiento_id" dataDxfId="228"/>
    <tableColumn id="2" xr3:uid="{2DE8CAF9-8683-4E56-AF43-78197BFC82F6}" name="fecha" dataDxfId="227"/>
    <tableColumn id="3" xr3:uid="{B96318B9-8ED5-4FEE-8F4E-AD60AA00D12F}" name="tipo_medios" dataDxfId="226"/>
    <tableColumn id="4" xr3:uid="{A88035FD-9265-406A-9F1B-8AE23B316287}" name="cola_id" dataDxfId="225"/>
    <tableColumn id="5" xr3:uid="{E719FDFD-1407-4E8B-98D9-C334129797BE}" name="id_cola" dataDxfId="224"/>
    <tableColumn id="6" xr3:uid="{A0A994E1-973C-421E-BC70-A01C58EEA064}" name="nombre_cola" dataDxfId="223"/>
    <tableColumn id="7" xr3:uid="{5A7363F8-D2B1-448A-A2E5-F7A1A4606BAC}" name="nombre_cola_dimension" dataDxfId="222"/>
    <tableColumn id="8" xr3:uid="{398E01A9-B6BD-4E6C-A0F3-C12C1DBCEAF5}" name="id_division" dataDxfId="221"/>
    <tableColumn id="9" xr3:uid="{AF52E142-B559-44DD-B5C4-D12A66AE86CB}" name="nombre_division" dataDxfId="220"/>
    <tableColumn id="10" xr3:uid="{387326A3-5701-47FB-857F-7C0C57E46D1E}" name="porcentaje_objetivo_nivel_servicio" dataDxfId="219"/>
    <tableColumn id="11" xr3:uid="{52B0395B-1405-4B73-95CA-5A6277EDED7D}" name="oferta" dataDxfId="218"/>
    <tableColumn id="12" xr3:uid="{D2B5B362-0A86-41FF-B228-4898914A31AA}" name="contestadas" dataDxfId="217"/>
    <tableColumn id="13" xr3:uid="{24DF2182-F0CF-4B29-9E45-95A43B09679D}" name="abandono_rapido" dataDxfId="216"/>
    <tableColumn id="14" xr3:uid="{AAA65452-B9B1-451A-B5E2-BBD4DC6851AF}" name="abandono_no_rapido" dataDxfId="215"/>
    <tableColumn id="15" xr3:uid="{FCB37309-82D6-4667-8411-F9ADA59FEF3F}" name="flujo_saliente" dataDxfId="214"/>
    <tableColumn id="16" xr3:uid="{CD02DD35-FC18-4E14-8D07-0A24B820041F}" name="cumplen_sla" dataDxfId="213"/>
    <tableColumn id="17" xr3:uid="{760B5999-16CB-4EAB-9A60-E97E9433CE04}" name="velocidad_media_respuesta_seg" dataDxfId="212"/>
    <tableColumn id="18" xr3:uid="{178562BE-1410-44CA-A954-B4C5F218EAFB}" name="abandono_medio_seg" dataDxfId="211"/>
    <tableColumn id="19" xr3:uid="{D9420EBE-DF28-4675-B4C6-80EA6432528E}" name="manejo" dataDxfId="210"/>
    <tableColumn id="20" xr3:uid="{DF6C1474-BEF4-4FD1-BD75-D1C81BD9E788}" name="tiempo_manejo_total" dataDxfId="209"/>
    <tableColumn id="21" xr3:uid="{97B8195E-7A77-4BD7-A579-E306440D96E7}" name="conversacion" dataDxfId="208"/>
    <tableColumn id="22" xr3:uid="{9E8D6F7D-959A-409B-8241-EF52701D6002}" name="tiempo_conversacion_total" dataDxfId="207"/>
    <tableColumn id="23" xr3:uid="{70E5013A-A52A-4C72-BF7A-5E3DAD0D3738}" name="retener" dataDxfId="206"/>
    <tableColumn id="24" xr3:uid="{09089892-6FB5-4635-8EBE-F80EC1451C32}" name="tiempo_retencion_total" dataDxfId="205"/>
    <tableColumn id="25" xr3:uid="{E590A432-AB7A-4784-B910-96CFD185C234}" name="acw" dataDxfId="204"/>
    <tableColumn id="26" xr3:uid="{2040C7E0-DC7A-4E1F-B73C-46BB90B6B9AF}" name="tiempo_acw_total" dataDxfId="203"/>
    <tableColumn id="27" xr3:uid="{C68A7424-85F7-4AAD-AB29-12029808E940}" name="contactando" dataDxfId="202"/>
    <tableColumn id="28" xr3:uid="{5EBE3873-A8A9-4B17-A1B5-89DF3881F14B}" name="tiempo_contactando_total" dataDxfId="201"/>
    <tableColumn id="29" xr3:uid="{913E2D3A-B403-4DA1-BBAC-E87CDA918BE5}" name="marcando" dataDxfId="200"/>
    <tableColumn id="30" xr3:uid="{950E1097-C3A6-40A7-B5DA-33668C9AFD66}" name="tiempo_marcando_total" dataDxfId="199"/>
    <tableColumn id="31" xr3:uid="{5E62AC5F-8D4B-4318-A92D-DB32AD0996F0}" name="saliente" dataDxfId="198"/>
    <tableColumn id="32" xr3:uid="{4B3C8AAF-C261-4044-A9D7-7FBE5CFD7FA1}" name="espera" dataDxfId="197"/>
    <tableColumn id="33" xr3:uid="{A1A7F02D-DE34-4E43-8CD0-01876BFD9904}" name="tiempo_espera_total" dataDxfId="196"/>
    <tableColumn id="34" xr3:uid="{C02DF9DA-270D-420C-966D-E33C646A6C40}" name="transferencia_sin_consulta" dataDxfId="195"/>
    <tableColumn id="35" xr3:uid="{B282C157-91CE-4577-B271-8F36A2ECB729}" name="transferencia_con_consulta" dataDxfId="194"/>
    <tableColumn id="36" xr3:uid="{D18844EC-F0E9-4F64-8241-EA0FC723D636}" name="consultar" dataDxfId="193"/>
    <tableColumn id="37" xr3:uid="{2AAC5760-6741-49F6-B318-FE25B062F658}" name="devoluciones_llamadas_activas" dataDxfId="192"/>
    <tableColumn id="38" xr3:uid="{F07A499C-6259-4D91-B3F2-C5DC395B07BA}" name="tiempo_devoluciones_llamadas_activas_total" dataDxfId="191"/>
    <tableColumn id="39" xr3:uid="{9DCC1B75-3D81-457B-8028-9B0456C79757}" name="medios_entrantes" dataDxfId="190"/>
    <tableColumn id="40" xr3:uid="{791CD07D-A590-4DA9-886E-39D328DB90E3}" name="medios_salientes" dataDxfId="189"/>
    <tableColumn id="41" xr3:uid="{468BF45D-A7B8-4E06-BCDB-39C413A21209}" name="campana_id" dataDxfId="188"/>
    <tableColumn id="42" xr3:uid="{ACAC766E-46C9-4252-82AA-96EC6B970BE0}" name="nombre_campana" dataDxfId="187"/>
    <tableColumn id="43" xr3:uid="{8348AE3D-077E-440D-968A-287FE0703D90}" name="tmo_objetivo" dataDxfId="186"/>
    <tableColumn id="44" xr3:uid="{B8FF9BB4-235D-4976-B4EC-D9E8A4DFD0E3}" name="nivel_atencion_objetivo" dataDxfId="185"/>
    <tableColumn id="45" xr3:uid="{BFB5B479-0382-4CA4-8D18-BA63C2A36C62}" name="nivel_servicio_objetivo" dataDxfId="184"/>
    <tableColumn id="46" xr3:uid="{6CDB3D75-F13C-4910-BC09-67EAEED96F57}" name="tiempo_maximo_espera_objetivo" dataDxfId="183"/>
    <tableColumn id="47" xr3:uid="{42216AEA-09DE-477E-956A-B42E87A682CE}" name="observaciones_campana" dataDxfId="182"/>
    <tableColumn id="48" xr3:uid="{9E4AC7A7-E944-4D5E-AFA8-0BCA4B912248}" name="cliente_id" dataDxfId="181"/>
    <tableColumn id="49" xr3:uid="{AA2204B5-CD4F-473F-8A3A-7FBF1C49402F}" name="horario_id" dataDxfId="180"/>
    <tableColumn id="50" xr3:uid="{833ED507-F6AE-464A-83A6-76ED6A519331}" name="plataforma_operacion_id" dataDxfId="179"/>
    <tableColumn id="51" xr3:uid="{834343EA-4361-498A-9FED-4D82532DE9D0}" name="jefe_negocio_id" dataDxfId="178"/>
    <tableColumn id="52" xr3:uid="{D8C06804-5012-4842-8009-BB051F772954}" name="unidad_negocio_id" dataDxfId="177"/>
    <tableColumn id="53" xr3:uid="{09A94FDD-7B61-4426-861B-01253B6D609F}" name="grupo_facturacion_id" dataDxfId="176"/>
    <tableColumn id="54" xr3:uid="{4494B8AF-1951-43AF-99DF-378EA2AEDC43}" name="tipo_campana_id" dataDxfId="175"/>
    <tableColumn id="55" xr3:uid="{A750E81B-251B-4785-9FFC-8AE1967409A4}" name="tipo_campana" dataDxfId="174"/>
    <tableColumn id="56" xr3:uid="{FE5326E6-2B41-46D0-9BB0-E82F228B2992}" name="cliente" dataDxfId="173"/>
    <tableColumn id="57" xr3:uid="{1653FB3B-27E6-49EF-B8DF-53C908118EEF}" name="plataforma_operacion" dataDxfId="172"/>
    <tableColumn id="58" xr3:uid="{3E5FC2F2-C737-4A07-889F-62B2BD8010B7}" name="unidad_negocio" dataDxfId="171"/>
    <tableColumn id="59" xr3:uid="{69859518-DC81-478C-AF46-443666B65AF8}" name="jefe_negocio" dataDxfId="170"/>
    <tableColumn id="60" xr3:uid="{944F9737-9468-4620-A83E-671056D15FFA}" name="supervisores" dataDxfId="169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44BBA-BDF9-4A1C-9D4B-F4ED97C9D456}" name="t_colas_intervalo" displayName="t_colas_intervalo" ref="A1:AN2" insertRow="1" totalsRowShown="0" headerRowDxfId="168">
  <autoFilter ref="A1:AN2" xr:uid="{07A44BBA-BDF9-4A1C-9D4B-F4ED97C9D456}"/>
  <tableColumns count="40">
    <tableColumn id="1" xr3:uid="{3001CF09-BFC3-4351-BC77-11253B171E30}" name="fecha" dataDxfId="167"/>
    <tableColumn id="2" xr3:uid="{C7DCB288-066D-467F-81B8-494AE9BE5FDE}" name="intervalo" dataDxfId="166"/>
    <tableColumn id="3" xr3:uid="{AF6A6EB2-CF98-4013-82FF-FF040159572A}" name="tipo_medios" dataDxfId="165"/>
    <tableColumn id="4" xr3:uid="{0EA220A0-CD41-4AFD-95E4-8DD825210C30}" name="id_cola" dataDxfId="164"/>
    <tableColumn id="5" xr3:uid="{D703DAD4-CF9F-4626-9E1C-51D3FBC75BDF}" name="nombre_cola" dataDxfId="163"/>
    <tableColumn id="6" xr3:uid="{38B94E2E-022D-40E7-BFC8-B1C2B5A393F9}" name="nombre_cola_2" dataDxfId="162"/>
    <tableColumn id="7" xr3:uid="{C912E20A-FCE8-4E07-9559-5219CDDD7411}" name="oferta" dataDxfId="161"/>
    <tableColumn id="8" xr3:uid="{E7256C07-2864-4DB7-9647-76E0C6F699D8}" name="contestadas" dataDxfId="160"/>
    <tableColumn id="9" xr3:uid="{29B60A04-5575-4A9A-8229-0755CB500E3A}" name="abandonadas" dataDxfId="159"/>
    <tableColumn id="10" xr3:uid="{1D19043F-77CA-4D9A-A4EC-A637BBF64FE3}" name="saliente" dataDxfId="158"/>
    <tableColumn id="11" xr3:uid="{1D9EA0A5-3586-4740-982E-4015CBA4131A}" name="flujo_saliente" dataDxfId="157"/>
    <tableColumn id="12" xr3:uid="{653A81D9-C00F-4BCD-8D71-8B61B33BF17C}" name="velocidad_media_respuesta_seg" dataDxfId="156"/>
    <tableColumn id="13" xr3:uid="{1E4471D9-68A3-4339-859D-11D99A35559B}" name="porcentaje_nivel_servicio" dataDxfId="155"/>
    <tableColumn id="14" xr3:uid="{DEDBEAA4-384B-454F-8A23-28FE3114800A}" name="porcentaje_objetivo_nivel_servicio" dataDxfId="154"/>
    <tableColumn id="15" xr3:uid="{6C3B1222-97EA-4FC6-8E7C-BC380226B52A}" name="espera_media_seg" dataDxfId="153"/>
    <tableColumn id="16" xr3:uid="{81117F7F-1065-4359-8DDB-F367410815F2}" name="manejo_medio_seg" dataDxfId="152"/>
    <tableColumn id="17" xr3:uid="{6D157F53-7600-4EE5-911C-54F72B5417BF}" name="conversacion_media_seg" dataDxfId="151"/>
    <tableColumn id="18" xr3:uid="{808A644F-03AC-455F-893B-1DC53B498D54}" name="retencion_media_seg" dataDxfId="150"/>
    <tableColumn id="19" xr3:uid="{003EE034-40FF-4066-BAA3-1730EEC3BC75}" name="acw_medio_seg" dataDxfId="149"/>
    <tableColumn id="20" xr3:uid="{4C279A6B-F7A7-4EE2-9AFF-51D2C7FD57B0}" name="abandono_medio_seg" dataDxfId="148"/>
    <tableColumn id="21" xr3:uid="{03415EF8-BBB4-48F1-BD58-53B0CA7E95AF}" name="manejo" dataDxfId="147"/>
    <tableColumn id="22" xr3:uid="{C0E24188-00C4-4634-B937-9DB8B554603F}" name="retener" dataDxfId="146"/>
    <tableColumn id="23" xr3:uid="{79478EFE-9124-4CD0-BAD1-FE539619666A}" name="transferir" dataDxfId="145"/>
    <tableColumn id="24" xr3:uid="{7679E011-76B8-4F58-8FCF-3D7A2EAFB5D1}" name="tiempo_manejo_total" dataDxfId="144"/>
    <tableColumn id="25" xr3:uid="{C59BAA24-D057-47D7-9F02-A40AE137EF44}" name="cumplen_sla" dataDxfId="143"/>
    <tableColumn id="26" xr3:uid="{F02DC03C-2342-4E5D-9F75-19A350BA2CA7}" name="tiempo_conversacion_total" dataDxfId="142"/>
    <tableColumn id="27" xr3:uid="{21B90D48-7CF0-4426-ABF0-6AFD5243B353}" name="tiempo_retencion_total" dataDxfId="141"/>
    <tableColumn id="28" xr3:uid="{A410FBD6-6763-4901-BBB4-FD8BFF864A37}" name="tiempo_acw_total" dataDxfId="140"/>
    <tableColumn id="29" xr3:uid="{46E99516-ACD1-4C44-8E1A-ED33376DB2C9}" name="abandono_rapido" dataDxfId="139"/>
    <tableColumn id="30" xr3:uid="{6247C7CB-8649-4574-9013-0A1A3C6F152A}" name="salientes_intentadas" dataDxfId="138"/>
    <tableColumn id="31" xr3:uid="{E6594EED-E4CE-41C1-B4D4-A7D74FB0BA1A}" name="nombre_campana" dataDxfId="137"/>
    <tableColumn id="32" xr3:uid="{9EB2301B-BF83-4BF5-9B5B-EAEDF9562600}" name="tmo_objetivo" dataDxfId="136"/>
    <tableColumn id="33" xr3:uid="{79282437-0112-42CD-BE2A-00B36561113C}" name="nivel_atencion_objetivo" dataDxfId="135"/>
    <tableColumn id="34" xr3:uid="{6D7FCD43-7F85-4E48-A344-5851A264692D}" name="nivel_servicio_objetivo" dataDxfId="134"/>
    <tableColumn id="35" xr3:uid="{B929ED07-7568-4FEF-81B5-C27A9B2A78BB}" name="tiempo_maximo_espera_objetivo" dataDxfId="133"/>
    <tableColumn id="36" xr3:uid="{1F474029-771B-4817-A39E-256D4A24C099}" name="tipo_campana" dataDxfId="132"/>
    <tableColumn id="37" xr3:uid="{3C9769A1-4F71-4AAE-894D-F41927728AFA}" name="cliente" dataDxfId="131"/>
    <tableColumn id="38" xr3:uid="{2857E125-72E4-4E1A-B703-F6C9FCE9F0D7}" name="unidad_negocio" dataDxfId="130"/>
    <tableColumn id="39" xr3:uid="{122E11C8-5383-449B-9E89-F5F17EAB6BD6}" name="jefe_negocio" dataDxfId="129"/>
    <tableColumn id="40" xr3:uid="{6FFB3085-7AC0-46A8-A71D-E35BA5BFAC6F}" name="supervisores" dataDxfId="12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16F11B-0BDF-45C3-9B7D-2B08E1782623}" name="t_workloads_diario" displayName="t_workloads_diario" ref="A1:AF6" totalsRowShown="0" headerRowDxfId="127">
  <autoFilter ref="A1:AF6" xr:uid="{1116F11B-0BDF-45C3-9B7D-2B08E1782623}"/>
  <tableColumns count="32">
    <tableColumn id="1" xr3:uid="{F6C34225-6A1C-4255-A08A-961CEFCA3508}" name="fecha" dataDxfId="126"/>
    <tableColumn id="2" xr3:uid="{5099C59D-1947-455E-A6B8-7AD3D948EF50}" name="planning_unit_id" dataDxfId="125"/>
    <tableColumn id="3" xr3:uid="{AE8FAC2C-0E29-4E1B-B86E-A30A8F3055F7}" name="unidad_planificacion" dataDxfId="124"/>
    <tableColumn id="4" xr3:uid="{E8119808-7B5F-4259-A63D-858C55548223}" name="workload_id" dataDxfId="123"/>
    <tableColumn id="5" xr3:uid="{5710432F-BEBE-446C-A0E4-760D7A9645D7}" name="workload" dataDxfId="122"/>
    <tableColumn id="6" xr3:uid="{6A73CF67-6BD4-448A-8947-F1FB455EC9DF}" name="canal" dataDxfId="121"/>
    <tableColumn id="7" xr3:uid="{340DBA8F-3B3D-4FD0-8E42-63CC119888FF}" name="zona_horaria" dataDxfId="120"/>
    <tableColumn id="8" xr3:uid="{95E8CAA4-B92A-41A9-87DE-5CF2F2F7EAAB}" name="activity_id" dataDxfId="119"/>
    <tableColumn id="9" xr3:uid="{F36BE889-7639-40F0-9942-F0F2D96B1612}" name="actividad" dataDxfId="118"/>
    <tableColumn id="10" xr3:uid="{5004971A-15C2-42D5-AEF9-ED77EC490CFB}" name="curve_id" dataDxfId="117"/>
    <tableColumn id="11" xr3:uid="{4F60C347-1E68-478C-9CB3-3D279E6A340F}" name="estado_historico" dataDxfId="116"/>
    <tableColumn id="12" xr3:uid="{A32A4DA4-A6DE-47CB-874E-BAD16466347E}" name="estado_requerido" dataDxfId="115"/>
    <tableColumn id="13" xr3:uid="{4F67EE61-25AF-4D08-8F10-AAB00CBD403C}" name="llamadas_historicas" dataDxfId="114"/>
    <tableColumn id="14" xr3:uid="{4ACC3B74-79D4-4F8F-AF83-13114E5D9523}" name="contestadas_historicas" dataDxfId="113"/>
    <tableColumn id="15" xr3:uid="{6CF6DC0C-79BF-4AB9-AE51-415530512732}" name="tmo_historico" dataDxfId="112"/>
    <tableColumn id="16" xr3:uid="{A1885187-6B65-4EFE-ABBD-12D41B6F2988}" name="forecast_raw_auto" dataDxfId="111"/>
    <tableColumn id="17" xr3:uid="{16E3BF38-F79F-47BF-A458-E68F0380A321}" name="tmo_raw_auto" dataDxfId="110"/>
    <tableColumn id="18" xr3:uid="{E85F2829-E468-41C2-BAAB-69804E00FB0E}" name="forecast_auto" dataDxfId="109"/>
    <tableColumn id="19" xr3:uid="{0CC8B145-2C88-4C3A-991D-EFCF26EF6D6E}" name="tmo_auto" dataDxfId="108"/>
    <tableColumn id="20" xr3:uid="{158C9DD2-0764-4E1A-83F9-116C9C74A62B}" name="forecast_import" dataDxfId="107"/>
    <tableColumn id="21" xr3:uid="{B238201B-D894-44BF-BD5B-3FE52A887345}" name="tmo_import" dataDxfId="106"/>
    <tableColumn id="22" xr3:uid="{77384B16-C14A-4659-ADD3-F5EA0CDA659B}" name="forecast_strategic" dataDxfId="105"/>
    <tableColumn id="23" xr3:uid="{6D46E609-2819-4F26-B817-B0426B27B41F}" name="tmo_strategic" dataDxfId="104"/>
    <tableColumn id="24" xr3:uid="{51A1BC75-A448-4DBE-AD78-29408E81C2E3}" name="forecast_adjustments" dataDxfId="103"/>
    <tableColumn id="25" xr3:uid="{BE947167-272A-4FE1-A7C2-9F011D3C1436}" name="tmo_adjustments" dataDxfId="102"/>
    <tableColumn id="26" xr3:uid="{1B56C35F-DDB4-4D5C-A23C-B654B8683A4E}" name="forecast_operational" dataDxfId="101"/>
    <tableColumn id="27" xr3:uid="{7C6125FA-A045-4AA0-AB6C-BC1A061B028F}" name="tmo_operational" dataDxfId="100"/>
    <tableColumn id="28" xr3:uid="{BD46B7AF-19D4-4F73-BE0F-230D21EB868E}" name="forecast_version3" dataDxfId="99"/>
    <tableColumn id="29" xr3:uid="{6230DA00-1F5F-4CC6-ADDA-5A1C63549BD0}" name="tmo_version3" dataDxfId="98"/>
    <tableColumn id="30" xr3:uid="{3A658C5C-697C-45B4-AFA2-ADEB35629F84}" name="forecast_version4" dataDxfId="97"/>
    <tableColumn id="31" xr3:uid="{B429288A-6D6C-45C3-A0A4-12B193EE5773}" name="tmo_version4" dataDxfId="96"/>
    <tableColumn id="32" xr3:uid="{965061A2-CEE2-420D-8DB2-31BAEF3681FA}" name="requerido_horas" dataDxfId="95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4720D9-0FC1-4FEF-A17A-EEE9D8273A1F}" name="t_workloads_intervalo" displayName="t_workloads_intervalo" ref="A1:AH2" insertRow="1" totalsRowShown="0" headerRowDxfId="94">
  <autoFilter ref="A1:AH2" xr:uid="{7E4720D9-0FC1-4FEF-A17A-EEE9D8273A1F}"/>
  <tableColumns count="34">
    <tableColumn id="1" xr3:uid="{B4690368-0CD8-46A9-AECC-41A24BF52BCC}" name="fecha" dataDxfId="93"/>
    <tableColumn id="2" xr3:uid="{9BAC00FC-3761-4CD8-A233-0E6209F78E67}" name="intervalo" dataDxfId="92"/>
    <tableColumn id="3" xr3:uid="{69FA04E1-4F85-440F-A341-28873C0E0C78}" name="utc_offset_minutos" dataDxfId="91"/>
    <tableColumn id="4" xr3:uid="{8FCCBEDA-3B35-41D6-9F08-1F78519AC88F}" name="planning_unit_id" dataDxfId="90"/>
    <tableColumn id="5" xr3:uid="{0A5B1350-96CA-4077-BB49-BD68886A5474}" name="unidad_planificacion" dataDxfId="89"/>
    <tableColumn id="6" xr3:uid="{FE0A8811-633C-419E-83D3-1CFD4D195396}" name="workload_id" dataDxfId="88"/>
    <tableColumn id="7" xr3:uid="{E08EB740-3967-4A60-849D-D966A03D0DC0}" name="workload" dataDxfId="87"/>
    <tableColumn id="8" xr3:uid="{C21A3C1D-F82D-4AA6-97E0-CCFD3A7F322B}" name="canal" dataDxfId="86"/>
    <tableColumn id="9" xr3:uid="{3B91A181-60CB-45EB-B3A7-953FE3B3435F}" name="zona_horaria" dataDxfId="85"/>
    <tableColumn id="10" xr3:uid="{2B02C984-4851-4F50-AC9C-26025CE39010}" name="activity_id" dataDxfId="84"/>
    <tableColumn id="11" xr3:uid="{776D7557-08EE-4EC4-91F3-FB3203609845}" name="actividad" dataDxfId="83"/>
    <tableColumn id="12" xr3:uid="{17143215-EF9E-4E98-8A36-0EC4EEBAA81F}" name="curve_id" dataDxfId="82"/>
    <tableColumn id="13" xr3:uid="{EA818D63-79A1-405E-BE2B-FFB6A1C23852}" name="estado_historico" dataDxfId="81"/>
    <tableColumn id="14" xr3:uid="{372B509C-43A8-4B3F-BE8A-231440758E1B}" name="estado_requerido" dataDxfId="80"/>
    <tableColumn id="15" xr3:uid="{14CA6491-1E58-473E-BCF6-8466E0E3C8E5}" name="llamadas_historicas" dataDxfId="79"/>
    <tableColumn id="16" xr3:uid="{6E853448-7E4A-4154-96D6-E46C917CCFD2}" name="contestadas_historicas" dataDxfId="78"/>
    <tableColumn id="17" xr3:uid="{E22C1E9A-18A6-4321-91C0-80D32BCADE7F}" name="tmo_historico" dataDxfId="77"/>
    <tableColumn id="18" xr3:uid="{4F16C9BB-56B1-498C-AFD8-6A90014ABD76}" name="forecast_raw_auto" dataDxfId="76"/>
    <tableColumn id="19" xr3:uid="{F2DE49B1-C26B-47F2-B5FE-1025D59BACB8}" name="tmo_raw_auto" dataDxfId="75"/>
    <tableColumn id="20" xr3:uid="{E6E224AA-3F98-4C62-8CCE-D47A8542BCC3}" name="forecast_auto" dataDxfId="74"/>
    <tableColumn id="21" xr3:uid="{91FF33DB-2868-4C0D-B48C-435D1B67C05E}" name="tmo_auto" dataDxfId="73"/>
    <tableColumn id="22" xr3:uid="{BA2F2A46-7131-4E61-97E0-B90D0B367565}" name="forecast_import" dataDxfId="72"/>
    <tableColumn id="23" xr3:uid="{ACC5D371-2277-4F17-AFC5-0C0AAADE869F}" name="tmo_import" dataDxfId="71"/>
    <tableColumn id="24" xr3:uid="{B5153B72-3F47-49C7-9E0C-87EC4D32CF29}" name="forecast_strategic" dataDxfId="70"/>
    <tableColumn id="25" xr3:uid="{63D5D901-B736-46F0-8296-BC1C5416798A}" name="tmo_strategic" dataDxfId="69"/>
    <tableColumn id="26" xr3:uid="{51F7A6E9-3FDC-41CD-A730-5C3A47D3903D}" name="forecast_adjustments" dataDxfId="68"/>
    <tableColumn id="27" xr3:uid="{176FB0CA-7C25-4BE4-8055-1C02F65E6064}" name="tmo_adjustments" dataDxfId="67"/>
    <tableColumn id="28" xr3:uid="{D3F8FE4D-6C84-4A14-AB77-21BAD2B08E85}" name="forecast_operational" dataDxfId="66"/>
    <tableColumn id="29" xr3:uid="{EB074848-7777-49D3-A522-B17592060196}" name="tmo_operational" dataDxfId="65"/>
    <tableColumn id="30" xr3:uid="{E71C9158-79B9-4148-B004-CDE447CD0371}" name="forecast_version3" dataDxfId="64"/>
    <tableColumn id="31" xr3:uid="{81B42D39-CB01-4D3A-9316-81EF5CF9C9AC}" name="tmo_version3" dataDxfId="63"/>
    <tableColumn id="32" xr3:uid="{373CD5AA-1CA2-4424-ACA7-25DA747A7A51}" name="forecast_version4" dataDxfId="62"/>
    <tableColumn id="33" xr3:uid="{AAA34A73-82E8-4658-899E-6426DF025E6A}" name="tmo_version4" dataDxfId="61"/>
    <tableColumn id="34" xr3:uid="{EA6A7B66-CBA8-4FE1-8421-EDD4463374E0}" name="requerido" dataDxfId="60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76309E-7438-4166-813C-68E584C3BE39}" name="t_ejecutivos_diario" displayName="t_ejecutivos_diario" ref="A1:AK2" insertRow="1" totalsRowShown="0" headerRowDxfId="59">
  <autoFilter ref="A1:AK2" xr:uid="{BA76309E-7438-4166-813C-68E584C3BE39}"/>
  <tableColumns count="37">
    <tableColumn id="1" xr3:uid="{F8159D65-B800-4B7C-82EB-5B32375E62F8}" name="unidad_planificación" dataDxfId="58"/>
    <tableColumn id="2" xr3:uid="{6391713F-BC77-40A2-9BDE-19F9CCED4602}" name="rut" dataDxfId="57"/>
    <tableColumn id="3" xr3:uid="{B8ED7533-0EF4-41CA-ADE8-795A794C19AC}" name="identificador" dataDxfId="56"/>
    <tableColumn id="4" xr3:uid="{6B757802-E519-4CE1-8EFD-2DB677332214}" name="fecha" dataDxfId="55"/>
    <tableColumn id="5" xr3:uid="{1F1D7943-F844-4792-9204-FE639E1C51FC}" name="texto_turno" dataDxfId="54"/>
    <tableColumn id="6" xr3:uid="{E9038A09-4CCD-474A-B3F2-F6FC59436F92}" name="tiempo_turno" dataDxfId="53"/>
    <tableColumn id="7" xr3:uid="{9250F640-F075-40DF-86CA-DECDD3E76413}" name="tiempo_conectado" dataDxfId="52"/>
    <tableColumn id="8" xr3:uid="{9295D57F-4939-4CC4-9453-675B6ACD0D89}" name="tiempo_en_la_cola" dataDxfId="51"/>
    <tableColumn id="9" xr3:uid="{2D59BB67-8DA3-40D9-A0E7-768C602F6DF5}" name="tiempo_comida" dataDxfId="50"/>
    <tableColumn id="10" xr3:uid="{38683558-64FC-421E-B682-1DCB3B11C6B5}" name="tiempo_conversación_total" dataDxfId="49"/>
    <tableColumn id="11" xr3:uid="{5F172CF5-38B8-45E7-96E4-6C050B9924D4}" name="tiempo_descanso" dataDxfId="48"/>
    <tableColumn id="12" xr3:uid="{248FB3F7-04C9-448F-8AE3-FF50E6B3BF0A}" name="tiempo_capacitación" dataDxfId="47"/>
    <tableColumn id="13" xr3:uid="{281F3170-B4DC-45D7-999C-09E3BE1D0FC3}" name="tiempo_ausente" dataDxfId="46"/>
    <tableColumn id="14" xr3:uid="{C46F0E4F-9DF8-440F-A29A-590F7E400539}" name="tiempo_inactivo" dataDxfId="45"/>
    <tableColumn id="15" xr3:uid="{D9908E94-4141-47EF-9F13-DE8F671B5760}" name="tiempo_ocupado" dataDxfId="44"/>
    <tableColumn id="16" xr3:uid="{4DCDE651-DBAD-426F-8942-45DD7A2B3CED}" name="llamadas_contestadas" dataDxfId="43"/>
    <tableColumn id="17" xr3:uid="{92D0D681-CB5C-402C-8659-995330428EFF}" name="llamadas_salientes" dataDxfId="42"/>
    <tableColumn id="18" xr3:uid="{668B187C-87FE-45DF-A96E-20B84F76E5D0}" name="tmo_seg" dataDxfId="41"/>
    <tableColumn id="19" xr3:uid="{B7BDF4A5-F43E-4ED7-B388-40CE958554E9}" name="lic_vac_d_adm" dataDxfId="40"/>
    <tableColumn id="20" xr3:uid="{968DDE9B-FDBD-44ED-AED8-B4852F0B9377}" name="tramo_jornada" dataDxfId="39"/>
    <tableColumn id="21" xr3:uid="{1A01D78B-87F2-4662-89E4-FB97E48CF038}" name="tiempo_disponible" dataDxfId="38"/>
    <tableColumn id="22" xr3:uid="{1BE5B59A-5737-4D66-A22F-5F44B263A0D0}" name="tiempo_comida_programada" dataDxfId="37"/>
    <tableColumn id="23" xr3:uid="{7EE0CC78-7F47-4C2B-8C11-431BF3467E9B}" name="tiempo_reunión" dataDxfId="36"/>
    <tableColumn id="24" xr3:uid="{832268AA-122D-4315-9486-851A905FD128}" name="tiempo_interactuando" dataDxfId="35"/>
    <tableColumn id="25" xr3:uid="{EA525133-58B5-4ABE-B008-1A532502516A}" name="ocupación_gen" dataDxfId="34"/>
    <tableColumn id="26" xr3:uid="{CE97B1CB-750D-4011-9DA8-79B3D0BEF93D}" name="tiempo_no_responde" dataDxfId="33"/>
    <tableColumn id="27" xr3:uid="{B4CD2882-D5C9-45AA-BD30-DA1C628716F5}" name="tiempo_total_acd" dataDxfId="32"/>
    <tableColumn id="28" xr3:uid="{A1130B77-F837-4467-826A-4A94975776E6}" name="tiempo_en_comunicacion" dataDxfId="31"/>
    <tableColumn id="29" xr3:uid="{D472EBBC-FFF0-4689-841C-4836A127D5B7}" name="tiempo_fuera_de_la_cola" dataDxfId="30"/>
    <tableColumn id="30" xr3:uid="{853E0240-C2A5-4A8D-99FA-EC9CF39518E1}" name="manejo" dataDxfId="29"/>
    <tableColumn id="31" xr3:uid="{E7777B3F-1C87-4A9F-AF80-1B1DC2F77F83}" name="tiempo_manejo_total" dataDxfId="28"/>
    <tableColumn id="32" xr3:uid="{D22DCA12-3A05-497B-AB97-1EF57C98850B}" name="Aux objetivo" dataDxfId="27"/>
    <tableColumn id="33" xr3:uid="{D16E7493-5862-49D5-B2F8-3E391222FFA2}" name="ausencia_de_conexion" dataDxfId="26"/>
    <tableColumn id="34" xr3:uid="{046635A3-1A22-40D4-9A3F-C0DE0CE1311B}" name="fecha (índice de meses)" dataDxfId="25"/>
    <tableColumn id="35" xr3:uid="{04D4E136-03FF-488A-A9CD-102F7B07FCAC}" name="fecha (mes)" dataDxfId="24"/>
    <tableColumn id="36" xr3:uid="{ACABC58E-B18E-4BF3-8E41-C76A39010A73}" name="supervisor" dataDxfId="23"/>
    <tableColumn id="37" xr3:uid="{15E3F42C-DFC8-4A7A-B6A9-6FEA0F710C9B}" name="jefe_negocio" dataDxfId="2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DF0996-ED24-45CB-8970-32E6C065F1C4}" name="t_estados_agentes_intervalo" displayName="t_estados_agentes_intervalo" ref="A1:U2" insertRow="1" totalsRowShown="0" headerRowDxfId="21">
  <autoFilter ref="A1:U2" xr:uid="{AFDF0996-ED24-45CB-8970-32E6C065F1C4}"/>
  <tableColumns count="21">
    <tableColumn id="1" xr3:uid="{57F37D37-2B68-4F25-88D9-D7282A9DDA8F}" name="id" dataDxfId="20"/>
    <tableColumn id="2" xr3:uid="{B04E6863-690A-46D6-9703-DDC4E8DB21BE}" name="fecha" dataDxfId="19"/>
    <tableColumn id="3" xr3:uid="{751DC320-F8FF-4E89-88EC-F13B0AF1030B}" name="intervalo" dataDxfId="18"/>
    <tableColumn id="4" xr3:uid="{0FD52A60-2CDD-403C-8CA8-7D17D98A5827}" name="id_agente" dataDxfId="17"/>
    <tableColumn id="5" xr3:uid="{8CF9D51C-978C-4712-971B-67AA909B8E48}" name="nombre_agente" dataDxfId="16"/>
    <tableColumn id="6" xr3:uid="{06B15854-B024-4041-9E21-F30C5AEBF298}" name="conectado" dataDxfId="15"/>
    <tableColumn id="7" xr3:uid="{0F5BDFEE-878E-46E9-9F43-6E2AB0F5B95A}" name="en_la_cola" dataDxfId="14"/>
    <tableColumn id="8" xr3:uid="{85BD0A17-8AC3-4320-88D0-AF33045856FB}" name="inactivo" dataDxfId="13"/>
    <tableColumn id="9" xr3:uid="{EA6DA808-B100-4A9C-9132-AA70F11F84F2}" name="no_responde" dataDxfId="12"/>
    <tableColumn id="10" xr3:uid="{80A8ACA9-52AE-42AF-BA6D-2D050C720C5E}" name="fuera_de_la_cola" dataDxfId="11"/>
    <tableColumn id="11" xr3:uid="{A407BADE-2D7F-45A4-92DA-C8E1AD27EF60}" name="disponible" dataDxfId="10"/>
    <tableColumn id="12" xr3:uid="{8E44A0CF-1929-4323-973E-539A41FDCACF}" name="ocupado" dataDxfId="9"/>
    <tableColumn id="13" xr3:uid="{1D0174B9-C099-4FD7-B616-209F4CA08D58}" name="ausente" dataDxfId="8"/>
    <tableColumn id="14" xr3:uid="{74BE2879-4B87-4D3A-8CFF-114D8591E858}" name="descanso" dataDxfId="7"/>
    <tableColumn id="15" xr3:uid="{DF4600B6-8746-4F03-A9D0-F138434CEDF4}" name="comida" dataDxfId="6"/>
    <tableColumn id="16" xr3:uid="{D25ED21C-0053-4904-9848-784D0061BDCB}" name="capacitacion" dataDxfId="5"/>
    <tableColumn id="17" xr3:uid="{308F2B37-792C-4674-987B-5074E2B16FAB}" name="interactuando" dataDxfId="4"/>
    <tableColumn id="18" xr3:uid="{C6977D4A-5D13-471F-A0E7-82F366C106C1}" name="rut" dataDxfId="3"/>
    <tableColumn id="19" xr3:uid="{68EA8826-BF3B-4E76-9937-6934E3EFEAEA}" name="supervisor" dataDxfId="2"/>
    <tableColumn id="20" xr3:uid="{F98A8206-5513-4898-A28D-7A3E74CF09AF}" name="jefe_negocio" dataDxfId="1"/>
    <tableColumn id="21" xr3:uid="{DF9C2D8D-57AE-498E-A90C-51058733BD1D}" name="unidad_planificacion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BCE5-55C9-4A2D-83A4-5DCF430217A5}">
  <dimension ref="A1:BH2"/>
  <sheetViews>
    <sheetView workbookViewId="0"/>
  </sheetViews>
  <sheetFormatPr baseColWidth="10" defaultRowHeight="15" x14ac:dyDescent="0.25"/>
  <cols>
    <col min="1" max="1" width="17" customWidth="1"/>
    <col min="2" max="2" width="10.7109375" customWidth="1"/>
    <col min="3" max="3" width="21.42578125" customWidth="1"/>
    <col min="4" max="4" width="10.7109375" customWidth="1"/>
    <col min="5" max="5" width="37.7109375" customWidth="1"/>
    <col min="6" max="7" width="37.85546875" customWidth="1"/>
    <col min="8" max="8" width="35.85546875" customWidth="1"/>
    <col min="9" max="9" width="18.42578125" customWidth="1"/>
    <col min="10" max="10" width="35.140625" customWidth="1"/>
    <col min="11" max="11" width="10.7109375" customWidth="1"/>
    <col min="12" max="12" width="14.28515625" customWidth="1"/>
    <col min="13" max="13" width="18.85546875" customWidth="1"/>
    <col min="14" max="14" width="22" customWidth="1"/>
    <col min="15" max="15" width="15.5703125" customWidth="1"/>
    <col min="16" max="16" width="14.5703125" customWidth="1"/>
    <col min="17" max="17" width="32.7109375" customWidth="1"/>
    <col min="18" max="18" width="22.85546875" customWidth="1"/>
    <col min="19" max="19" width="10.7109375" customWidth="1"/>
    <col min="20" max="20" width="22.42578125" customWidth="1"/>
    <col min="21" max="21" width="15.28515625" customWidth="1"/>
    <col min="22" max="22" width="27.85546875" customWidth="1"/>
    <col min="23" max="23" width="10.7109375" customWidth="1"/>
    <col min="24" max="24" width="24.5703125" customWidth="1"/>
    <col min="25" max="25" width="10.7109375" customWidth="1"/>
    <col min="26" max="26" width="19.140625" customWidth="1"/>
    <col min="27" max="27" width="14.42578125" customWidth="1"/>
    <col min="28" max="28" width="27" customWidth="1"/>
    <col min="29" max="29" width="12.140625" customWidth="1"/>
    <col min="30" max="30" width="24.7109375" customWidth="1"/>
    <col min="31" max="32" width="10.7109375" customWidth="1"/>
    <col min="33" max="33" width="21.85546875" customWidth="1"/>
    <col min="34" max="34" width="27.7109375" customWidth="1"/>
    <col min="35" max="35" width="28.28515625" customWidth="1"/>
    <col min="36" max="36" width="11.7109375" customWidth="1"/>
    <col min="37" max="37" width="31.85546875" customWidth="1"/>
    <col min="38" max="38" width="44.5703125" customWidth="1"/>
    <col min="39" max="39" width="19.7109375" customWidth="1"/>
    <col min="40" max="40" width="19.28515625" customWidth="1"/>
    <col min="41" max="41" width="13.85546875" customWidth="1"/>
    <col min="42" max="42" width="19.28515625" customWidth="1"/>
    <col min="43" max="43" width="15.140625" customWidth="1"/>
    <col min="44" max="44" width="25" customWidth="1"/>
    <col min="45" max="45" width="24.28515625" customWidth="1"/>
    <col min="46" max="46" width="33.42578125" customWidth="1"/>
    <col min="47" max="47" width="25.5703125" customWidth="1"/>
    <col min="48" max="48" width="12.140625" customWidth="1"/>
    <col min="49" max="49" width="12.28515625" customWidth="1"/>
    <col min="50" max="50" width="25.7109375" customWidth="1"/>
    <col min="51" max="51" width="17.42578125" customWidth="1"/>
    <col min="52" max="52" width="20.140625" customWidth="1"/>
    <col min="53" max="53" width="22.140625" customWidth="1"/>
    <col min="54" max="54" width="18.42578125" customWidth="1"/>
    <col min="55" max="55" width="15.7109375" customWidth="1"/>
    <col min="56" max="56" width="10.7109375" customWidth="1"/>
    <col min="57" max="57" width="23" customWidth="1"/>
    <col min="58" max="58" width="17.42578125" customWidth="1"/>
    <col min="59" max="59" width="14.85546875" customWidth="1"/>
    <col min="60" max="60" width="15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2"/>
      <c r="B2" s="3"/>
      <c r="C2" s="9"/>
      <c r="D2" s="2"/>
      <c r="E2" s="9"/>
      <c r="F2" s="9"/>
      <c r="G2" s="9"/>
      <c r="H2" s="9"/>
      <c r="I2" s="9"/>
      <c r="J2" s="5"/>
      <c r="K2" s="6"/>
      <c r="L2" s="6"/>
      <c r="M2" s="6"/>
      <c r="N2" s="6"/>
      <c r="O2" s="6"/>
      <c r="P2" s="6"/>
      <c r="Q2" s="7"/>
      <c r="R2" s="7"/>
      <c r="S2" s="6"/>
      <c r="T2" s="8"/>
      <c r="U2" s="6"/>
      <c r="V2" s="8"/>
      <c r="W2" s="6"/>
      <c r="X2" s="8"/>
      <c r="Y2" s="6"/>
      <c r="Z2" s="8"/>
      <c r="AA2" s="6"/>
      <c r="AB2" s="8"/>
      <c r="AC2" s="6"/>
      <c r="AD2" s="8"/>
      <c r="AE2" s="6"/>
      <c r="AF2" s="6"/>
      <c r="AG2" s="8"/>
      <c r="AH2" s="6"/>
      <c r="AI2" s="6"/>
      <c r="AJ2" s="6"/>
      <c r="AK2" s="6"/>
      <c r="AL2" s="8"/>
      <c r="AM2" s="6"/>
      <c r="AN2" s="6"/>
      <c r="AO2" s="2"/>
      <c r="AP2" s="9"/>
      <c r="AQ2" s="6"/>
      <c r="AR2" s="5"/>
      <c r="AS2" s="5"/>
      <c r="AT2" s="6"/>
      <c r="AU2" s="9"/>
      <c r="AV2" s="2"/>
      <c r="AW2" s="2"/>
      <c r="AX2" s="2"/>
      <c r="AY2" s="2"/>
      <c r="AZ2" s="2"/>
      <c r="BA2" s="2"/>
      <c r="BB2" s="2"/>
      <c r="BC2" s="4"/>
      <c r="BD2" s="9"/>
      <c r="BE2" s="9"/>
      <c r="BF2" s="9"/>
      <c r="BG2" s="9"/>
      <c r="BH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98CD-FBD6-48F5-B19D-0542E764B8F1}">
  <dimension ref="A1:AN2"/>
  <sheetViews>
    <sheetView workbookViewId="0"/>
  </sheetViews>
  <sheetFormatPr baseColWidth="10" defaultRowHeight="15" x14ac:dyDescent="0.25"/>
  <cols>
    <col min="1" max="1" width="10.7109375" customWidth="1"/>
    <col min="2" max="2" width="11.28515625" customWidth="1"/>
    <col min="3" max="3" width="14.42578125" customWidth="1"/>
    <col min="4" max="4" width="38.28515625" customWidth="1"/>
    <col min="5" max="6" width="45.7109375" customWidth="1"/>
    <col min="7" max="7" width="10.7109375" customWidth="1"/>
    <col min="8" max="8" width="14.28515625" customWidth="1"/>
    <col min="9" max="9" width="15.140625" customWidth="1"/>
    <col min="10" max="10" width="10.7109375" customWidth="1"/>
    <col min="11" max="11" width="15.5703125" customWidth="1"/>
    <col min="12" max="12" width="32.7109375" customWidth="1"/>
    <col min="13" max="13" width="26.5703125" customWidth="1"/>
    <col min="14" max="14" width="35.140625" customWidth="1"/>
    <col min="15" max="15" width="20" customWidth="1"/>
    <col min="16" max="16" width="20.7109375" customWidth="1"/>
    <col min="17" max="17" width="26" customWidth="1"/>
    <col min="18" max="18" width="22.5703125" customWidth="1"/>
    <col min="19" max="19" width="17.28515625" customWidth="1"/>
    <col min="20" max="20" width="22.85546875" customWidth="1"/>
    <col min="21" max="22" width="10.7109375" customWidth="1"/>
    <col min="23" max="23" width="11.7109375" customWidth="1"/>
    <col min="24" max="24" width="22.42578125" customWidth="1"/>
    <col min="25" max="25" width="14.5703125" customWidth="1"/>
    <col min="26" max="26" width="27.85546875" customWidth="1"/>
    <col min="27" max="27" width="24.5703125" customWidth="1"/>
    <col min="28" max="28" width="19.140625" customWidth="1"/>
    <col min="29" max="29" width="18.85546875" customWidth="1"/>
    <col min="30" max="30" width="22.140625" customWidth="1"/>
    <col min="31" max="31" width="31" customWidth="1"/>
    <col min="32" max="32" width="15.140625" customWidth="1"/>
    <col min="33" max="33" width="25" customWidth="1"/>
    <col min="34" max="34" width="24.28515625" customWidth="1"/>
    <col min="35" max="35" width="33.42578125" customWidth="1"/>
    <col min="36" max="36" width="15.7109375" customWidth="1"/>
    <col min="37" max="37" width="18.42578125" customWidth="1"/>
    <col min="38" max="38" width="17.42578125" customWidth="1"/>
    <col min="39" max="39" width="14.85546875" customWidth="1"/>
    <col min="40" max="40" width="45.7109375" customWidth="1"/>
  </cols>
  <sheetData>
    <row r="1" spans="1:40" x14ac:dyDescent="0.25">
      <c r="A1" s="1" t="s">
        <v>1</v>
      </c>
      <c r="B1" s="1" t="s">
        <v>60</v>
      </c>
      <c r="C1" s="1" t="s">
        <v>2</v>
      </c>
      <c r="D1" s="1" t="s">
        <v>4</v>
      </c>
      <c r="E1" s="1" t="s">
        <v>5</v>
      </c>
      <c r="F1" s="1" t="s">
        <v>61</v>
      </c>
      <c r="G1" s="1" t="s">
        <v>10</v>
      </c>
      <c r="H1" s="1" t="s">
        <v>11</v>
      </c>
      <c r="I1" s="1" t="s">
        <v>62</v>
      </c>
      <c r="J1" s="1" t="s">
        <v>30</v>
      </c>
      <c r="K1" s="1" t="s">
        <v>14</v>
      </c>
      <c r="L1" s="1" t="s">
        <v>16</v>
      </c>
      <c r="M1" s="1" t="s">
        <v>63</v>
      </c>
      <c r="N1" s="1" t="s">
        <v>9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17</v>
      </c>
      <c r="U1" s="1" t="s">
        <v>18</v>
      </c>
      <c r="V1" s="1" t="s">
        <v>22</v>
      </c>
      <c r="W1" s="1" t="s">
        <v>69</v>
      </c>
      <c r="X1" s="1" t="s">
        <v>19</v>
      </c>
      <c r="Y1" s="1" t="s">
        <v>15</v>
      </c>
      <c r="Z1" s="1" t="s">
        <v>21</v>
      </c>
      <c r="AA1" s="1" t="s">
        <v>23</v>
      </c>
      <c r="AB1" s="1" t="s">
        <v>25</v>
      </c>
      <c r="AC1" s="1" t="s">
        <v>12</v>
      </c>
      <c r="AD1" s="1" t="s">
        <v>70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54</v>
      </c>
      <c r="AK1" s="1" t="s">
        <v>55</v>
      </c>
      <c r="AL1" s="1" t="s">
        <v>57</v>
      </c>
      <c r="AM1" s="1" t="s">
        <v>58</v>
      </c>
      <c r="AN1" s="1" t="s">
        <v>59</v>
      </c>
    </row>
    <row r="2" spans="1:40" x14ac:dyDescent="0.25">
      <c r="A2" s="3"/>
      <c r="B2" s="10"/>
      <c r="C2" s="9"/>
      <c r="D2" s="9"/>
      <c r="E2" s="9"/>
      <c r="F2" s="9"/>
      <c r="G2" s="6"/>
      <c r="H2" s="6"/>
      <c r="I2" s="6"/>
      <c r="J2" s="6"/>
      <c r="K2" s="6"/>
      <c r="L2" s="7"/>
      <c r="M2" s="5"/>
      <c r="N2" s="5"/>
      <c r="O2" s="7"/>
      <c r="P2" s="7"/>
      <c r="Q2" s="7"/>
      <c r="R2" s="7"/>
      <c r="S2" s="7"/>
      <c r="T2" s="7"/>
      <c r="U2" s="6"/>
      <c r="V2" s="6"/>
      <c r="W2" s="6"/>
      <c r="X2" s="8"/>
      <c r="Y2" s="6"/>
      <c r="Z2" s="8"/>
      <c r="AA2" s="8"/>
      <c r="AB2" s="8"/>
      <c r="AC2" s="6"/>
      <c r="AD2" s="6"/>
      <c r="AE2" s="9"/>
      <c r="AF2" s="6"/>
      <c r="AG2" s="5"/>
      <c r="AH2" s="5"/>
      <c r="AI2" s="6"/>
      <c r="AJ2" s="4"/>
      <c r="AK2" s="9"/>
      <c r="AL2" s="9"/>
      <c r="AM2" s="9"/>
      <c r="AN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4EBE-1564-4F01-91C7-58B0C1663B92}">
  <dimension ref="A1:AF6"/>
  <sheetViews>
    <sheetView workbookViewId="0"/>
  </sheetViews>
  <sheetFormatPr baseColWidth="10" defaultRowHeight="15" x14ac:dyDescent="0.25"/>
  <cols>
    <col min="1" max="1" width="10.7109375" customWidth="1"/>
    <col min="2" max="2" width="18" customWidth="1"/>
    <col min="3" max="3" width="22" customWidth="1"/>
    <col min="4" max="4" width="36.7109375" customWidth="1"/>
    <col min="5" max="5" width="13" customWidth="1"/>
    <col min="6" max="6" width="10.7109375" customWidth="1"/>
    <col min="7" max="7" width="16.85546875" customWidth="1"/>
    <col min="8" max="8" width="12.42578125" customWidth="1"/>
    <col min="9" max="9" width="13" customWidth="1"/>
    <col min="10" max="10" width="10.85546875" customWidth="1"/>
    <col min="11" max="11" width="36.7109375" customWidth="1"/>
    <col min="12" max="12" width="19.28515625" customWidth="1"/>
    <col min="13" max="13" width="21.140625" customWidth="1"/>
    <col min="14" max="14" width="24.28515625" customWidth="1"/>
    <col min="15" max="15" width="15.7109375" customWidth="1"/>
    <col min="16" max="16" width="19.7109375" customWidth="1"/>
    <col min="17" max="17" width="15.7109375" customWidth="1"/>
    <col min="18" max="18" width="15.5703125" customWidth="1"/>
    <col min="19" max="19" width="11.7109375" customWidth="1"/>
    <col min="20" max="20" width="17.5703125" customWidth="1"/>
    <col min="21" max="21" width="13.7109375" customWidth="1"/>
    <col min="22" max="22" width="19.5703125" customWidth="1"/>
    <col min="23" max="23" width="15.5703125" customWidth="1"/>
    <col min="24" max="24" width="23" customWidth="1"/>
    <col min="25" max="25" width="19.140625" customWidth="1"/>
    <col min="26" max="26" width="22" customWidth="1"/>
    <col min="27" max="27" width="18" customWidth="1"/>
    <col min="28" max="28" width="19.42578125" customWidth="1"/>
    <col min="29" max="29" width="15.42578125" customWidth="1"/>
    <col min="30" max="30" width="19.42578125" customWidth="1"/>
    <col min="31" max="31" width="15.42578125" customWidth="1"/>
    <col min="32" max="32" width="18" customWidth="1"/>
  </cols>
  <sheetData>
    <row r="1" spans="1:32" x14ac:dyDescent="0.25">
      <c r="A1" s="1" t="s">
        <v>1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</row>
    <row r="2" spans="1:32" x14ac:dyDescent="0.25">
      <c r="A2" s="3">
        <v>45929</v>
      </c>
      <c r="B2" s="2">
        <v>1036</v>
      </c>
      <c r="C2" s="9" t="s">
        <v>152</v>
      </c>
      <c r="D2" s="9" t="s">
        <v>153</v>
      </c>
      <c r="E2" s="9" t="s">
        <v>152</v>
      </c>
      <c r="F2" s="9" t="s">
        <v>154</v>
      </c>
      <c r="G2" s="9" t="s">
        <v>155</v>
      </c>
      <c r="H2" s="2">
        <v>70766</v>
      </c>
      <c r="I2" s="9" t="s">
        <v>152</v>
      </c>
      <c r="J2" s="2">
        <v>1031</v>
      </c>
      <c r="K2" s="9" t="s">
        <v>156</v>
      </c>
      <c r="L2" s="9" t="s">
        <v>157</v>
      </c>
      <c r="M2" s="11">
        <v>575</v>
      </c>
      <c r="N2" s="11">
        <v>557</v>
      </c>
      <c r="O2" s="11">
        <v>432.08974865350086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8">
        <v>100.545</v>
      </c>
    </row>
    <row r="3" spans="1:32" x14ac:dyDescent="0.25">
      <c r="A3" s="3">
        <v>45930</v>
      </c>
      <c r="B3" s="2">
        <v>1036</v>
      </c>
      <c r="C3" s="9" t="s">
        <v>152</v>
      </c>
      <c r="D3" s="9" t="s">
        <v>153</v>
      </c>
      <c r="E3" s="9" t="s">
        <v>152</v>
      </c>
      <c r="F3" s="9" t="s">
        <v>154</v>
      </c>
      <c r="G3" s="9" t="s">
        <v>155</v>
      </c>
      <c r="H3" s="2">
        <v>70766</v>
      </c>
      <c r="I3" s="9" t="s">
        <v>152</v>
      </c>
      <c r="J3" s="2">
        <v>1031</v>
      </c>
      <c r="K3" s="9" t="s">
        <v>156</v>
      </c>
      <c r="L3" s="9" t="s">
        <v>157</v>
      </c>
      <c r="M3" s="11">
        <v>604</v>
      </c>
      <c r="N3" s="11">
        <v>582</v>
      </c>
      <c r="O3" s="11">
        <v>418.43338487972511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8">
        <v>86.392499999999998</v>
      </c>
    </row>
    <row r="4" spans="1:32" x14ac:dyDescent="0.25">
      <c r="A4" s="3">
        <v>45931</v>
      </c>
      <c r="B4" s="2">
        <v>1036</v>
      </c>
      <c r="C4" s="9" t="s">
        <v>152</v>
      </c>
      <c r="D4" s="9" t="s">
        <v>153</v>
      </c>
      <c r="E4" s="9" t="s">
        <v>152</v>
      </c>
      <c r="F4" s="9" t="s">
        <v>154</v>
      </c>
      <c r="G4" s="9" t="s">
        <v>155</v>
      </c>
      <c r="H4" s="2">
        <v>70766</v>
      </c>
      <c r="I4" s="9" t="s">
        <v>152</v>
      </c>
      <c r="J4" s="2">
        <v>1031</v>
      </c>
      <c r="K4" s="9" t="s">
        <v>156</v>
      </c>
      <c r="L4" s="9" t="s">
        <v>157</v>
      </c>
      <c r="M4" s="11">
        <v>586</v>
      </c>
      <c r="N4" s="11">
        <v>572</v>
      </c>
      <c r="O4" s="11">
        <v>453.85260489510489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8">
        <v>92.775000000000006</v>
      </c>
    </row>
    <row r="5" spans="1:32" x14ac:dyDescent="0.25">
      <c r="A5" s="3">
        <v>45932</v>
      </c>
      <c r="B5" s="2">
        <v>1036</v>
      </c>
      <c r="C5" s="9" t="s">
        <v>152</v>
      </c>
      <c r="D5" s="9" t="s">
        <v>153</v>
      </c>
      <c r="E5" s="9" t="s">
        <v>152</v>
      </c>
      <c r="F5" s="9" t="s">
        <v>154</v>
      </c>
      <c r="G5" s="9" t="s">
        <v>155</v>
      </c>
      <c r="H5" s="2">
        <v>70766</v>
      </c>
      <c r="I5" s="9" t="s">
        <v>152</v>
      </c>
      <c r="J5" s="2">
        <v>1031</v>
      </c>
      <c r="K5" s="9" t="s">
        <v>156</v>
      </c>
      <c r="L5" s="9" t="s">
        <v>157</v>
      </c>
      <c r="M5" s="11">
        <v>525</v>
      </c>
      <c r="N5" s="11">
        <v>513</v>
      </c>
      <c r="O5" s="11">
        <v>435.09025341130604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8">
        <v>93.885000000000005</v>
      </c>
    </row>
    <row r="6" spans="1:32" x14ac:dyDescent="0.25">
      <c r="A6" s="3">
        <v>45933</v>
      </c>
      <c r="B6" s="2">
        <v>1036</v>
      </c>
      <c r="C6" s="9" t="s">
        <v>152</v>
      </c>
      <c r="D6" s="9" t="s">
        <v>153</v>
      </c>
      <c r="E6" s="9" t="s">
        <v>152</v>
      </c>
      <c r="F6" s="9" t="s">
        <v>154</v>
      </c>
      <c r="G6" s="9" t="s">
        <v>155</v>
      </c>
      <c r="H6" s="2">
        <v>70766</v>
      </c>
      <c r="I6" s="9" t="s">
        <v>152</v>
      </c>
      <c r="J6" s="2">
        <v>1031</v>
      </c>
      <c r="K6" s="9" t="s">
        <v>156</v>
      </c>
      <c r="L6" s="9" t="s">
        <v>157</v>
      </c>
      <c r="M6" s="11">
        <v>475</v>
      </c>
      <c r="N6" s="11">
        <v>460</v>
      </c>
      <c r="O6" s="11">
        <v>440.33015217391301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8">
        <v>81.12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01D1-1BEA-4B11-9DEF-6CF9407241EE}">
  <dimension ref="A1:AH2"/>
  <sheetViews>
    <sheetView workbookViewId="0"/>
  </sheetViews>
  <sheetFormatPr baseColWidth="10" defaultRowHeight="15" x14ac:dyDescent="0.25"/>
  <cols>
    <col min="1" max="1" width="10.7109375" customWidth="1"/>
    <col min="2" max="2" width="11.28515625" customWidth="1"/>
    <col min="3" max="3" width="20.85546875" customWidth="1"/>
    <col min="4" max="4" width="18" customWidth="1"/>
    <col min="5" max="5" width="22" customWidth="1"/>
    <col min="6" max="6" width="36.7109375" customWidth="1"/>
    <col min="7" max="7" width="13" customWidth="1"/>
    <col min="8" max="8" width="10.7109375" customWidth="1"/>
    <col min="9" max="9" width="16.85546875" customWidth="1"/>
    <col min="10" max="10" width="12.42578125" customWidth="1"/>
    <col min="11" max="11" width="13" customWidth="1"/>
    <col min="12" max="12" width="10.85546875" customWidth="1"/>
    <col min="13" max="13" width="36.7109375" customWidth="1"/>
    <col min="14" max="14" width="19.28515625" customWidth="1"/>
    <col min="15" max="15" width="21.140625" customWidth="1"/>
    <col min="16" max="16" width="24.28515625" customWidth="1"/>
    <col min="17" max="17" width="15.7109375" customWidth="1"/>
    <col min="18" max="18" width="19.7109375" customWidth="1"/>
    <col min="19" max="19" width="15.7109375" customWidth="1"/>
    <col min="20" max="20" width="15.5703125" customWidth="1"/>
    <col min="21" max="21" width="11.7109375" customWidth="1"/>
    <col min="22" max="22" width="17.5703125" customWidth="1"/>
    <col min="23" max="23" width="13.7109375" customWidth="1"/>
    <col min="24" max="24" width="19.5703125" customWidth="1"/>
    <col min="25" max="25" width="15.5703125" customWidth="1"/>
    <col min="26" max="26" width="23" customWidth="1"/>
    <col min="27" max="27" width="19.140625" customWidth="1"/>
    <col min="28" max="28" width="22" customWidth="1"/>
    <col min="29" max="29" width="18" customWidth="1"/>
    <col min="30" max="30" width="19.42578125" customWidth="1"/>
    <col min="31" max="31" width="15.42578125" customWidth="1"/>
    <col min="32" max="32" width="19.42578125" customWidth="1"/>
    <col min="33" max="33" width="15.42578125" customWidth="1"/>
    <col min="34" max="34" width="12.140625" customWidth="1"/>
  </cols>
  <sheetData>
    <row r="1" spans="1:34" x14ac:dyDescent="0.25">
      <c r="A1" s="1" t="s">
        <v>1</v>
      </c>
      <c r="B1" s="1" t="s">
        <v>60</v>
      </c>
      <c r="C1" s="1" t="s">
        <v>102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103</v>
      </c>
    </row>
    <row r="2" spans="1:34" x14ac:dyDescent="0.25">
      <c r="A2" s="3"/>
      <c r="B2" s="10"/>
      <c r="C2" s="2"/>
      <c r="D2" s="2"/>
      <c r="E2" s="9"/>
      <c r="F2" s="9"/>
      <c r="G2" s="9"/>
      <c r="H2" s="9"/>
      <c r="I2" s="9"/>
      <c r="J2" s="2"/>
      <c r="K2" s="9"/>
      <c r="L2" s="2"/>
      <c r="M2" s="9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AA08-0DBE-4055-8290-8FB0D4DB1D35}">
  <dimension ref="A1:AK2"/>
  <sheetViews>
    <sheetView workbookViewId="0"/>
  </sheetViews>
  <sheetFormatPr baseColWidth="10" defaultRowHeight="15" x14ac:dyDescent="0.25"/>
  <cols>
    <col min="1" max="1" width="22" customWidth="1"/>
    <col min="2" max="2" width="10.7109375" customWidth="1"/>
    <col min="3" max="3" width="44.28515625" customWidth="1"/>
    <col min="4" max="4" width="10.7109375" customWidth="1"/>
    <col min="5" max="5" width="13.7109375" customWidth="1"/>
    <col min="6" max="6" width="15.42578125" customWidth="1"/>
    <col min="7" max="7" width="20.140625" customWidth="1"/>
    <col min="8" max="8" width="20" customWidth="1"/>
    <col min="9" max="9" width="17.140625" customWidth="1"/>
    <col min="10" max="10" width="27.85546875" customWidth="1"/>
    <col min="11" max="11" width="19.28515625" customWidth="1"/>
    <col min="12" max="12" width="22" customWidth="1"/>
    <col min="13" max="13" width="17.85546875" customWidth="1"/>
    <col min="14" max="14" width="17.7109375" customWidth="1"/>
    <col min="15" max="15" width="18.42578125" customWidth="1"/>
    <col min="16" max="16" width="23.28515625" customWidth="1"/>
    <col min="17" max="17" width="20.5703125" customWidth="1"/>
    <col min="18" max="18" width="10.85546875" customWidth="1"/>
    <col min="19" max="19" width="16" customWidth="1"/>
    <col min="20" max="20" width="16.140625" customWidth="1"/>
    <col min="21" max="21" width="20.28515625" customWidth="1"/>
    <col min="22" max="22" width="29" customWidth="1"/>
    <col min="23" max="23" width="17.5703125" customWidth="1"/>
    <col min="24" max="24" width="23.28515625" customWidth="1"/>
    <col min="25" max="25" width="16.7109375" customWidth="1"/>
    <col min="26" max="26" width="22.42578125" customWidth="1"/>
    <col min="27" max="27" width="18.85546875" customWidth="1"/>
    <col min="28" max="28" width="26.5703125" customWidth="1"/>
    <col min="29" max="29" width="25.7109375" customWidth="1"/>
    <col min="30" max="30" width="10.7109375" customWidth="1"/>
    <col min="31" max="31" width="22.42578125" customWidth="1"/>
    <col min="32" max="32" width="14.42578125" customWidth="1"/>
    <col min="33" max="33" width="23.85546875" customWidth="1"/>
    <col min="34" max="34" width="25.140625" customWidth="1"/>
    <col min="35" max="35" width="14" customWidth="1"/>
    <col min="36" max="36" width="28" customWidth="1"/>
    <col min="37" max="37" width="14.85546875" customWidth="1"/>
  </cols>
  <sheetData>
    <row r="1" spans="1:37" x14ac:dyDescent="0.25">
      <c r="A1" s="1" t="s">
        <v>104</v>
      </c>
      <c r="B1" s="1" t="s">
        <v>105</v>
      </c>
      <c r="C1" s="1" t="s">
        <v>106</v>
      </c>
      <c r="D1" s="1" t="s">
        <v>1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18</v>
      </c>
      <c r="AE1" s="1" t="s">
        <v>19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58</v>
      </c>
    </row>
    <row r="2" spans="1:37" x14ac:dyDescent="0.25">
      <c r="A2" s="9"/>
      <c r="B2" s="9"/>
      <c r="C2" s="9"/>
      <c r="D2" s="3"/>
      <c r="E2" s="4"/>
      <c r="F2" s="8"/>
      <c r="G2" s="8"/>
      <c r="H2" s="8"/>
      <c r="I2" s="8"/>
      <c r="J2" s="8"/>
      <c r="K2" s="8"/>
      <c r="L2" s="8"/>
      <c r="M2" s="8"/>
      <c r="N2" s="8"/>
      <c r="O2" s="8"/>
      <c r="P2" s="2"/>
      <c r="Q2" s="2"/>
      <c r="R2" s="2"/>
      <c r="S2" s="4"/>
      <c r="T2" s="4"/>
      <c r="U2" s="8"/>
      <c r="V2" s="8"/>
      <c r="W2" s="8"/>
      <c r="X2" s="8"/>
      <c r="Y2" s="11"/>
      <c r="Z2" s="8"/>
      <c r="AA2" s="8"/>
      <c r="AB2" s="8"/>
      <c r="AC2" s="8"/>
      <c r="AD2" s="2"/>
      <c r="AE2" s="8"/>
      <c r="AF2" s="8"/>
      <c r="AG2" s="2"/>
      <c r="AH2" s="2"/>
      <c r="AI2" s="9"/>
      <c r="AJ2" s="9"/>
      <c r="AK2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CA76-8772-4DB6-BFF4-4C75746DA0F1}">
  <dimension ref="A1:U2"/>
  <sheetViews>
    <sheetView workbookViewId="0"/>
  </sheetViews>
  <sheetFormatPr baseColWidth="10" defaultRowHeight="15" x14ac:dyDescent="0.25"/>
  <cols>
    <col min="1" max="2" width="10.7109375" customWidth="1"/>
    <col min="3" max="3" width="11.28515625" customWidth="1"/>
    <col min="4" max="4" width="36.85546875" customWidth="1"/>
    <col min="5" max="5" width="25" customWidth="1"/>
    <col min="6" max="6" width="12.7109375" customWidth="1"/>
    <col min="7" max="7" width="12.5703125" customWidth="1"/>
    <col min="8" max="8" width="10.7109375" customWidth="1"/>
    <col min="9" max="9" width="15" customWidth="1"/>
    <col min="10" max="10" width="18.140625" customWidth="1"/>
    <col min="11" max="11" width="12.85546875" customWidth="1"/>
    <col min="12" max="12" width="11" customWidth="1"/>
    <col min="13" max="13" width="10.7109375" customWidth="1"/>
    <col min="14" max="14" width="11.85546875" customWidth="1"/>
    <col min="15" max="15" width="10.7109375" customWidth="1"/>
    <col min="16" max="16" width="14.5703125" customWidth="1"/>
    <col min="17" max="17" width="15.85546875" customWidth="1"/>
    <col min="18" max="18" width="10.7109375" customWidth="1"/>
    <col min="19" max="19" width="28" customWidth="1"/>
    <col min="20" max="20" width="14.85546875" customWidth="1"/>
    <col min="21" max="21" width="22" customWidth="1"/>
  </cols>
  <sheetData>
    <row r="1" spans="1:21" x14ac:dyDescent="0.25">
      <c r="A1" s="1" t="s">
        <v>137</v>
      </c>
      <c r="B1" s="1" t="s">
        <v>1</v>
      </c>
      <c r="C1" s="1" t="s">
        <v>60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105</v>
      </c>
      <c r="S1" s="1" t="s">
        <v>136</v>
      </c>
      <c r="T1" s="1" t="s">
        <v>58</v>
      </c>
      <c r="U1" s="1" t="s">
        <v>72</v>
      </c>
    </row>
    <row r="2" spans="1:21" x14ac:dyDescent="0.25">
      <c r="A2" s="2"/>
      <c r="B2" s="3"/>
      <c r="C2" s="10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46B7-6531-428A-B752-C52A770D3BD7}">
  <dimension ref="D6:E6"/>
  <sheetViews>
    <sheetView tabSelected="1" workbookViewId="0"/>
  </sheetViews>
  <sheetFormatPr baseColWidth="10" defaultRowHeight="15" x14ac:dyDescent="0.25"/>
  <sheetData>
    <row r="6" spans="4:5" x14ac:dyDescent="0.25">
      <c r="D6" cm="1">
        <f t="array" ref="D6">_xlfn.UNIQUE(t_colas_diario[nombre_cola])</f>
        <v>0</v>
      </c>
      <c r="E6" cm="1">
        <f t="array" ref="E6">SUMIF(t_colas_diario[nombre_cola],_xlfn.ANCHORARRAY(D6),t_colas_diario[oferta])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t_colas_diario</vt:lpstr>
      <vt:lpstr>t_colas_intervalo</vt:lpstr>
      <vt:lpstr>t_workloads_diario</vt:lpstr>
      <vt:lpstr>t_workloads_intervalo</vt:lpstr>
      <vt:lpstr>t_ejecutivos_diario</vt:lpstr>
      <vt:lpstr>t_estados_agentes_intervalo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Tapia M</dc:creator>
  <cp:lastModifiedBy>Jorge Tapia M</cp:lastModifiedBy>
  <dcterms:created xsi:type="dcterms:W3CDTF">2026-10-11T15:10:24Z</dcterms:created>
  <dcterms:modified xsi:type="dcterms:W3CDTF">2026-10-11T23:55:52Z</dcterms:modified>
</cp:coreProperties>
</file>