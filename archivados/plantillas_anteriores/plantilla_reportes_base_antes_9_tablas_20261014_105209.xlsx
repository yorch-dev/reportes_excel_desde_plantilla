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edservvirtualessalud-my.sharepoint.com/personal/jtapia_sercomed_cl/Documents/Documentos/desarrollos_python/librerías/xlwings/reportes_excel_desde_plantilla/archivos/"/>
    </mc:Choice>
  </mc:AlternateContent>
  <xr:revisionPtr revIDLastSave="31" documentId="8_{CA780C2E-4D41-4547-9BE3-CA391F10C2AC}" xr6:coauthVersionLast="47" xr6:coauthVersionMax="47" xr10:uidLastSave="{E738E89B-5266-4F6B-AB62-97A0381304D3}"/>
  <bookViews>
    <workbookView xWindow="-120" yWindow="-120" windowWidth="29040" windowHeight="15720" tabRatio="819" activeTab="8" xr2:uid="{FCEFD4B7-A1FA-4498-BDE7-70250B96D8DE}"/>
  </bookViews>
  <sheets>
    <sheet name="t_colas_diario" sheetId="1" r:id="rId1"/>
    <sheet name="t_colas_intervalo" sheetId="2" r:id="rId2"/>
    <sheet name="t_workloads_diario" sheetId="3" r:id="rId3"/>
    <sheet name="t_workloads_intervalo" sheetId="4" r:id="rId4"/>
    <sheet name="t_ejecutivos_diario" sheetId="5" r:id="rId5"/>
    <sheet name="t_estados_agentes_intervalo" sheetId="6" r:id="rId6"/>
    <sheet name="t_asignaciones_historial" sheetId="7" r:id="rId7"/>
    <sheet name="t_turnos_diario" sheetId="8" r:id="rId8"/>
    <sheet name="ejemplo_de_us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9" l="1"/>
  <c r="G5" i="9"/>
  <c r="G7" i="9" a="1"/>
  <c r="F7" i="9" a="1"/>
  <c r="E7" i="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<sst xmlns="http://schemas.openxmlformats.org/spreadsheetml/2006/main" count="264" uniqueCount="177">
  <si>
    <t>rendimiento_id</t>
  </si>
  <si>
    <t>fecha</t>
  </si>
  <si>
    <t>tipo_medios</t>
  </si>
  <si>
    <t>cola_id</t>
  </si>
  <si>
    <t>id_cola</t>
  </si>
  <si>
    <t>nombre_cola</t>
  </si>
  <si>
    <t>nombre_cola_dimension</t>
  </si>
  <si>
    <t>id_division</t>
  </si>
  <si>
    <t>nombre_division</t>
  </si>
  <si>
    <t>porcentaje_objetivo_nivel_servicio</t>
  </si>
  <si>
    <t>oferta</t>
  </si>
  <si>
    <t>contestadas</t>
  </si>
  <si>
    <t>abandono_rapido</t>
  </si>
  <si>
    <t>abandono_no_rapido</t>
  </si>
  <si>
    <t>flujo_saliente</t>
  </si>
  <si>
    <t>cumplen_sla</t>
  </si>
  <si>
    <t>velocidad_media_respuesta_seg</t>
  </si>
  <si>
    <t>abandono_medio_seg</t>
  </si>
  <si>
    <t>manejo</t>
  </si>
  <si>
    <t>tiempo_manejo_total</t>
  </si>
  <si>
    <t>conversacion</t>
  </si>
  <si>
    <t>tiempo_conversacion_total</t>
  </si>
  <si>
    <t>retener</t>
  </si>
  <si>
    <t>tiempo_retencion_total</t>
  </si>
  <si>
    <t>acw</t>
  </si>
  <si>
    <t>tiempo_acw_total</t>
  </si>
  <si>
    <t>contactando</t>
  </si>
  <si>
    <t>tiempo_contactando_total</t>
  </si>
  <si>
    <t>marcando</t>
  </si>
  <si>
    <t>tiempo_marcando_total</t>
  </si>
  <si>
    <t>saliente</t>
  </si>
  <si>
    <t>espera</t>
  </si>
  <si>
    <t>tiempo_espera_total</t>
  </si>
  <si>
    <t>transferencia_sin_consulta</t>
  </si>
  <si>
    <t>transferencia_con_consulta</t>
  </si>
  <si>
    <t>consultar</t>
  </si>
  <si>
    <t>devoluciones_llamadas_activas</t>
  </si>
  <si>
    <t>tiempo_devoluciones_llamadas_activas_total</t>
  </si>
  <si>
    <t>medios_entrantes</t>
  </si>
  <si>
    <t>medios_salientes</t>
  </si>
  <si>
    <t>campana_id</t>
  </si>
  <si>
    <t>nombre_campana</t>
  </si>
  <si>
    <t>tmo_objetivo</t>
  </si>
  <si>
    <t>nivel_atencion_objetivo</t>
  </si>
  <si>
    <t>nivel_servicio_objetivo</t>
  </si>
  <si>
    <t>tiempo_maximo_espera_objetivo</t>
  </si>
  <si>
    <t>observaciones_campana</t>
  </si>
  <si>
    <t>cliente_id</t>
  </si>
  <si>
    <t>horario_id</t>
  </si>
  <si>
    <t>plataforma_operacion_id</t>
  </si>
  <si>
    <t>jefe_negocio_id</t>
  </si>
  <si>
    <t>unidad_negocio_id</t>
  </si>
  <si>
    <t>grupo_facturacion_id</t>
  </si>
  <si>
    <t>tipo_campana_id</t>
  </si>
  <si>
    <t>tipo_campana</t>
  </si>
  <si>
    <t>cliente</t>
  </si>
  <si>
    <t>plataforma_operacion</t>
  </si>
  <si>
    <t>unidad_negocio</t>
  </si>
  <si>
    <t>jefe_negocio</t>
  </si>
  <si>
    <t>supervisores</t>
  </si>
  <si>
    <t>intervalo</t>
  </si>
  <si>
    <t>nombre_cola_2</t>
  </si>
  <si>
    <t>abandonadas</t>
  </si>
  <si>
    <t>porcentaje_nivel_servicio</t>
  </si>
  <si>
    <t>espera_media_seg</t>
  </si>
  <si>
    <t>manejo_medio_seg</t>
  </si>
  <si>
    <t>conversacion_media_seg</t>
  </si>
  <si>
    <t>retencion_media_seg</t>
  </si>
  <si>
    <t>acw_medio_seg</t>
  </si>
  <si>
    <t>transferir</t>
  </si>
  <si>
    <t>salientes_intentadas</t>
  </si>
  <si>
    <t>planning_unit_id</t>
  </si>
  <si>
    <t>unidad_planificacion</t>
  </si>
  <si>
    <t>workload_id</t>
  </si>
  <si>
    <t>workload</t>
  </si>
  <si>
    <t>canal</t>
  </si>
  <si>
    <t>zona_horaria</t>
  </si>
  <si>
    <t>activity_id</t>
  </si>
  <si>
    <t>actividad</t>
  </si>
  <si>
    <t>curve_id</t>
  </si>
  <si>
    <t>estado_historico</t>
  </si>
  <si>
    <t>estado_requerido</t>
  </si>
  <si>
    <t>llamadas_historicas</t>
  </si>
  <si>
    <t>contestadas_historicas</t>
  </si>
  <si>
    <t>tmo_historico</t>
  </si>
  <si>
    <t>forecast_raw_auto</t>
  </si>
  <si>
    <t>tmo_raw_auto</t>
  </si>
  <si>
    <t>forecast_auto</t>
  </si>
  <si>
    <t>tmo_auto</t>
  </si>
  <si>
    <t>forecast_import</t>
  </si>
  <si>
    <t>tmo_import</t>
  </si>
  <si>
    <t>forecast_strategic</t>
  </si>
  <si>
    <t>tmo_strategic</t>
  </si>
  <si>
    <t>forecast_adjustments</t>
  </si>
  <si>
    <t>tmo_adjustments</t>
  </si>
  <si>
    <t>forecast_operational</t>
  </si>
  <si>
    <t>tmo_operational</t>
  </si>
  <si>
    <t>forecast_version3</t>
  </si>
  <si>
    <t>tmo_version3</t>
  </si>
  <si>
    <t>forecast_version4</t>
  </si>
  <si>
    <t>tmo_version4</t>
  </si>
  <si>
    <t>requerido_horas</t>
  </si>
  <si>
    <t>utc_offset_minutos</t>
  </si>
  <si>
    <t>requerido</t>
  </si>
  <si>
    <t>unidad_planificación</t>
  </si>
  <si>
    <t>rut</t>
  </si>
  <si>
    <t>identificador</t>
  </si>
  <si>
    <t>texto_turno</t>
  </si>
  <si>
    <t>tiempo_turno</t>
  </si>
  <si>
    <t>tiempo_conectado</t>
  </si>
  <si>
    <t>tiempo_en_la_cola</t>
  </si>
  <si>
    <t>tiempo_comida</t>
  </si>
  <si>
    <t>tiempo_conversación_total</t>
  </si>
  <si>
    <t>tiempo_descanso</t>
  </si>
  <si>
    <t>tiempo_capacitación</t>
  </si>
  <si>
    <t>tiempo_ausente</t>
  </si>
  <si>
    <t>tiempo_inactivo</t>
  </si>
  <si>
    <t>tiempo_ocupado</t>
  </si>
  <si>
    <t>llamadas_contestadas</t>
  </si>
  <si>
    <t>llamadas_salientes</t>
  </si>
  <si>
    <t>tmo_seg</t>
  </si>
  <si>
    <t>lic_vac_d_adm</t>
  </si>
  <si>
    <t>tramo_jornada</t>
  </si>
  <si>
    <t>tiempo_disponible</t>
  </si>
  <si>
    <t>tiempo_comida_programada</t>
  </si>
  <si>
    <t>tiempo_reunión</t>
  </si>
  <si>
    <t>tiempo_interactuando</t>
  </si>
  <si>
    <t>ocupación_gen</t>
  </si>
  <si>
    <t>tiempo_no_responde</t>
  </si>
  <si>
    <t>tiempo_total_acd</t>
  </si>
  <si>
    <t>tiempo_en_comunicacion</t>
  </si>
  <si>
    <t>tiempo_fuera_de_la_cola</t>
  </si>
  <si>
    <t>Aux objetivo</t>
  </si>
  <si>
    <t>ausencia_de_conexion</t>
  </si>
  <si>
    <t>fecha (índice de meses)</t>
  </si>
  <si>
    <t>fecha (mes)</t>
  </si>
  <si>
    <t>supervisor</t>
  </si>
  <si>
    <t>id</t>
  </si>
  <si>
    <t>id_agente</t>
  </si>
  <si>
    <t>nombre_agente</t>
  </si>
  <si>
    <t>conectado</t>
  </si>
  <si>
    <t>en_la_cola</t>
  </si>
  <si>
    <t>inactivo</t>
  </si>
  <si>
    <t>no_responde</t>
  </si>
  <si>
    <t>fuera_de_la_cola</t>
  </si>
  <si>
    <t>disponible</t>
  </si>
  <si>
    <t>ocupado</t>
  </si>
  <si>
    <t>ausente</t>
  </si>
  <si>
    <t>descanso</t>
  </si>
  <si>
    <t>comida</t>
  </si>
  <si>
    <t>capacitacion</t>
  </si>
  <si>
    <t>interactuando</t>
  </si>
  <si>
    <t>nombre</t>
  </si>
  <si>
    <t>campana</t>
  </si>
  <si>
    <t>contrato</t>
  </si>
  <si>
    <t>fecha_inicio</t>
  </si>
  <si>
    <t>fecha_termino</t>
  </si>
  <si>
    <t>inicio_turno</t>
  </si>
  <si>
    <t>fin_turno</t>
  </si>
  <si>
    <t>inicio_b1</t>
  </si>
  <si>
    <t>fin_b1</t>
  </si>
  <si>
    <t>inicio_almuerzo</t>
  </si>
  <si>
    <t>fin_almuerzo</t>
  </si>
  <si>
    <t>inicio_b2</t>
  </si>
  <si>
    <t>fin_b2</t>
  </si>
  <si>
    <t>estado_asignacion</t>
  </si>
  <si>
    <t>t_colas_diario</t>
  </si>
  <si>
    <t>t_colas_intervalo</t>
  </si>
  <si>
    <t>t_workloads_diario</t>
  </si>
  <si>
    <t>t_workloads_intervalo</t>
  </si>
  <si>
    <t>t_ejecutivos_diario</t>
  </si>
  <si>
    <t>t_estados_agentes_intervalo</t>
  </si>
  <si>
    <t>t_asignaciones_historial</t>
  </si>
  <si>
    <t>t_turnos_diario</t>
  </si>
  <si>
    <t>Tablas</t>
  </si>
  <si>
    <t>diario</t>
  </si>
  <si>
    <t>desde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</si>
</sst>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hh:mm"/>
    <numFmt numFmtId="166" formatCode="dd/mm/yyyy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quotePrefix="1" applyFont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10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49" fontId="0" fillId="0" borderId="0" xfId="0" quotePrefix="1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59"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66" formatCode="dd/mm/yyyy\ hh:mm:ss"/>
    </dxf>
    <dxf>
      <numFmt numFmtId="166" formatCode="dd/mm/yyyy\ hh:mm:ss"/>
    </dxf>
    <dxf>
      <numFmt numFmtId="166" formatCode="dd/mm/yyyy\ hh:mm:ss"/>
    </dxf>
    <dxf>
      <numFmt numFmtId="166" formatCode="dd/mm/yyyy\ hh:mm:ss"/>
    </dxf>
    <dxf>
      <numFmt numFmtId="166" formatCode="dd/mm/yyyy\ hh:mm:ss"/>
    </dxf>
    <dxf>
      <numFmt numFmtId="166" formatCode="dd/mm/yyyy\ hh:mm:ss"/>
    </dxf>
    <dxf>
      <numFmt numFmtId="166" formatCode="dd/mm/yyyy\ hh:mm:ss"/>
    </dxf>
    <dxf>
      <numFmt numFmtId="166" formatCode="dd/mm/yyyy\ hh:mm:ss"/>
    </dxf>
    <dxf>
      <numFmt numFmtId="19" formatCode="dd/mm/yyyy"/>
    </dxf>
    <dxf>
      <numFmt numFmtId="30" formatCode="@"/>
    </dxf>
    <dxf>
      <numFmt numFmtId="1" formatCode="0"/>
    </dxf>
    <dxf>
      <font>
        <b/>
      </font>
    </dxf>
    <dxf>
      <numFmt numFmtId="30" formatCode="@"/>
    </dxf>
    <dxf>
      <numFmt numFmtId="30" formatCode="@"/>
    </dxf>
    <dxf>
      <numFmt numFmtId="1" formatCode="0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30" formatCode="@"/>
    </dxf>
    <dxf>
      <numFmt numFmtId="30" formatCode="@"/>
    </dxf>
    <dxf>
      <numFmt numFmtId="165" formatCode="hh:mm"/>
    </dxf>
    <dxf>
      <numFmt numFmtId="19" formatCode="dd/mm/yyyy"/>
    </dxf>
    <dxf>
      <numFmt numFmtId="1" formatCode="0"/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64" formatCode="0.0000"/>
    </dxf>
    <dxf>
      <numFmt numFmtId="164" formatCode="0.0000"/>
    </dxf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2" formatCode="0.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font>
        <b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65" formatCode="hh:mm"/>
    </dxf>
    <dxf>
      <numFmt numFmtId="19" formatCode="dd/mm/yyyy"/>
    </dxf>
    <dxf>
      <font>
        <b/>
      </font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dd/mm/yyyy"/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0" formatCode="@"/>
    </dxf>
    <dxf>
      <numFmt numFmtId="3" formatCode="#,##0"/>
    </dxf>
    <dxf>
      <numFmt numFmtId="3" formatCode="#,##0"/>
    </dxf>
    <dxf>
      <numFmt numFmtId="164" formatCode="0.0000"/>
    </dxf>
    <dxf>
      <numFmt numFmtId="164" formatCode="0.000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hh:mm"/>
    </dxf>
    <dxf>
      <numFmt numFmtId="19" formatCode="dd/mm/yyyy"/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0" formatCode="@"/>
    </dxf>
    <dxf>
      <numFmt numFmtId="1" formatCode="0"/>
    </dxf>
    <dxf>
      <numFmt numFmtId="3" formatCode="#,##0"/>
    </dxf>
    <dxf>
      <numFmt numFmtId="3" formatCode="#,##0"/>
    </dxf>
    <dxf>
      <numFmt numFmtId="164" formatCode="0.00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000"/>
    </dxf>
    <dxf>
      <numFmt numFmtId="3" formatCode="#,##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9" formatCode="dd/mm/yyyy"/>
    </dxf>
    <dxf>
      <numFmt numFmtId="1" formatCode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F2432-16CC-43A0-BDDB-6CA040151CEB}" name="t_colas_diario" displayName="t_colas_diario" ref="A1:BH2" insertRow="1" totalsRowShown="0" headerRowDxfId="258">
  <autoFilter ref="A1:BH2" xr:uid="{B92F2432-16CC-43A0-BDDB-6CA040151CEB}"/>
  <tableColumns count="60">
    <tableColumn id="1" xr3:uid="{722D7655-7868-47E9-8077-C9EB581E7E94}" name="rendimiento_id" dataDxfId="257"/>
    <tableColumn id="2" xr3:uid="{A7E236F5-8173-428C-9B9D-152045407AF0}" name="fecha" dataDxfId="256"/>
    <tableColumn id="3" xr3:uid="{595FBABB-C8F8-4259-B990-C94C0AA0F650}" name="tipo_medios" dataDxfId="255"/>
    <tableColumn id="4" xr3:uid="{98535F6F-F6AF-4218-BD15-6C9CA98D7EDE}" name="cola_id" dataDxfId="254"/>
    <tableColumn id="5" xr3:uid="{719A115F-D808-4DD3-B34E-A53AB0BC69EB}" name="id_cola" dataDxfId="253"/>
    <tableColumn id="6" xr3:uid="{08F821CC-9077-4DAC-91F5-F6642D00D6AA}" name="nombre_cola" dataDxfId="252"/>
    <tableColumn id="7" xr3:uid="{1E16B26C-AF96-4ADF-A5C7-67EBB963EE1A}" name="nombre_cola_dimension" dataDxfId="251"/>
    <tableColumn id="8" xr3:uid="{BE37E552-9AF9-45E6-BB92-651092781776}" name="id_division" dataDxfId="250"/>
    <tableColumn id="9" xr3:uid="{14A4BA34-DC81-4628-A0EF-7CDC74B3C724}" name="nombre_division" dataDxfId="249"/>
    <tableColumn id="10" xr3:uid="{DCAEFCA7-A55F-4FD8-8A9C-02D5BAA9E445}" name="porcentaje_objetivo_nivel_servicio" dataDxfId="248"/>
    <tableColumn id="11" xr3:uid="{01792446-28FD-44DE-9390-3ECDEB33DDFD}" name="oferta" dataDxfId="247"/>
    <tableColumn id="12" xr3:uid="{46C98E8A-C1FA-459C-B666-AE2E1631207D}" name="contestadas" dataDxfId="246"/>
    <tableColumn id="13" xr3:uid="{20EBDC39-89F5-47DE-A5FE-5111FE5D0AA1}" name="abandono_rapido" dataDxfId="245"/>
    <tableColumn id="14" xr3:uid="{44AB11B0-DD70-449A-B0B1-28153EF68707}" name="abandono_no_rapido" dataDxfId="244"/>
    <tableColumn id="15" xr3:uid="{478E41F0-C92C-4845-AD67-07C1AED3A86A}" name="flujo_saliente" dataDxfId="243"/>
    <tableColumn id="16" xr3:uid="{94BBF5DA-3A04-4707-B9C7-A9667083E0BD}" name="cumplen_sla" dataDxfId="242"/>
    <tableColumn id="17" xr3:uid="{122E68DF-4E89-420C-B9DD-9A749F842167}" name="velocidad_media_respuesta_seg" dataDxfId="241"/>
    <tableColumn id="18" xr3:uid="{BF4ACD14-DA6E-45C0-9D52-478166CFEC55}" name="abandono_medio_seg" dataDxfId="240"/>
    <tableColumn id="19" xr3:uid="{7F1DE5EC-FA64-4E39-9D75-8DB88F8B1763}" name="manejo" dataDxfId="239"/>
    <tableColumn id="20" xr3:uid="{E1B9B46F-7D9F-4839-B347-479EE0BDADB7}" name="tiempo_manejo_total" dataDxfId="238"/>
    <tableColumn id="21" xr3:uid="{A29A75AB-F878-4377-83EA-28221709E5C7}" name="conversacion" dataDxfId="237"/>
    <tableColumn id="22" xr3:uid="{D0A74DF7-DB77-4528-BC63-9E95002F8AE7}" name="tiempo_conversacion_total" dataDxfId="236"/>
    <tableColumn id="23" xr3:uid="{DD17B62B-D6FE-4488-96DF-B96591380547}" name="retener" dataDxfId="235"/>
    <tableColumn id="24" xr3:uid="{AA5282C7-E65B-49B0-ACD3-DEBB7BD5F708}" name="tiempo_retencion_total" dataDxfId="234"/>
    <tableColumn id="25" xr3:uid="{522626D7-9CF6-4386-88A7-F034708A1B7A}" name="acw" dataDxfId="233"/>
    <tableColumn id="26" xr3:uid="{30B97671-ACD7-4C49-A32A-EBA067E39A0D}" name="tiempo_acw_total" dataDxfId="232"/>
    <tableColumn id="27" xr3:uid="{47312E9F-2BFF-4472-85B0-C7E3ABC63B94}" name="contactando" dataDxfId="231"/>
    <tableColumn id="28" xr3:uid="{4F28A91C-A1B9-4AFC-95E2-D7A15E53A2C5}" name="tiempo_contactando_total" dataDxfId="230"/>
    <tableColumn id="29" xr3:uid="{8ADB65E4-FBA3-42D4-A689-5E25043A8377}" name="marcando" dataDxfId="229"/>
    <tableColumn id="30" xr3:uid="{FE146F2A-45FF-4358-80DE-3B5B8C963DFA}" name="tiempo_marcando_total" dataDxfId="228"/>
    <tableColumn id="31" xr3:uid="{49772BAC-DE7A-4448-8645-73047F10C0C6}" name="saliente" dataDxfId="227"/>
    <tableColumn id="32" xr3:uid="{8E7B5D3E-9C1B-4025-B045-1D2FA05EEC9B}" name="espera" dataDxfId="226"/>
    <tableColumn id="33" xr3:uid="{E3CD6B9A-A146-4ED9-88F5-A9FBBFC04CA8}" name="tiempo_espera_total" dataDxfId="225"/>
    <tableColumn id="34" xr3:uid="{EAB4B88C-F8C9-41E0-BA19-D103A48361A2}" name="transferencia_sin_consulta" dataDxfId="224"/>
    <tableColumn id="35" xr3:uid="{01684E8B-3B55-436A-A792-422FF19DD682}" name="transferencia_con_consulta" dataDxfId="223"/>
    <tableColumn id="36" xr3:uid="{ED7E5D2E-2751-4DF3-B59F-A813E8C3A88D}" name="consultar" dataDxfId="222"/>
    <tableColumn id="37" xr3:uid="{60CFBB6C-8D72-47A4-967C-92C76614313E}" name="devoluciones_llamadas_activas" dataDxfId="221"/>
    <tableColumn id="38" xr3:uid="{7381A165-17E4-490F-915C-A597FF4BB1E9}" name="tiempo_devoluciones_llamadas_activas_total" dataDxfId="220"/>
    <tableColumn id="39" xr3:uid="{20FBDBA7-F9DC-41D6-AE70-131B5D742245}" name="medios_entrantes" dataDxfId="219"/>
    <tableColumn id="40" xr3:uid="{0E486DD8-B780-4F42-B4E9-133323899A69}" name="medios_salientes" dataDxfId="218"/>
    <tableColumn id="41" xr3:uid="{B9706BC2-C0DA-40E3-9039-8F9CABFF8B90}" name="campana_id" dataDxfId="217"/>
    <tableColumn id="42" xr3:uid="{7C513B25-A6AC-42D6-ACE9-59AB67684C90}" name="nombre_campana" dataDxfId="216"/>
    <tableColumn id="43" xr3:uid="{C8AC528B-509F-45CF-975E-B648CD3F4981}" name="tmo_objetivo" dataDxfId="215"/>
    <tableColumn id="44" xr3:uid="{83D3872A-EBB5-4287-8CE4-414C3D8F9DE0}" name="nivel_atencion_objetivo" dataDxfId="214"/>
    <tableColumn id="45" xr3:uid="{4F987301-5F9F-491E-9961-CDF2BF1E0296}" name="nivel_servicio_objetivo" dataDxfId="213"/>
    <tableColumn id="46" xr3:uid="{79485817-820F-47AA-B874-930D0D75DE11}" name="tiempo_maximo_espera_objetivo" dataDxfId="212"/>
    <tableColumn id="47" xr3:uid="{16B59613-AE2B-44D1-94F2-52D4F55851B5}" name="observaciones_campana" dataDxfId="211"/>
    <tableColumn id="48" xr3:uid="{9132AC37-C158-4FEC-AE1F-964CD8F44B13}" name="cliente_id" dataDxfId="210"/>
    <tableColumn id="49" xr3:uid="{400D2B45-3337-4625-BDD4-BE9D0BF2FBFE}" name="horario_id" dataDxfId="209"/>
    <tableColumn id="50" xr3:uid="{90DBDDF5-5BB8-4BCE-A8D0-93B66F9C6E2F}" name="plataforma_operacion_id" dataDxfId="208"/>
    <tableColumn id="51" xr3:uid="{BDA5F12A-C3DD-4033-8619-609CC1060691}" name="jefe_negocio_id" dataDxfId="207"/>
    <tableColumn id="52" xr3:uid="{03F82F48-9F4C-4CC3-B09A-C28076702807}" name="unidad_negocio_id" dataDxfId="206"/>
    <tableColumn id="53" xr3:uid="{2743DCFE-C85A-41CD-97E7-FE335E229EE8}" name="grupo_facturacion_id" dataDxfId="205"/>
    <tableColumn id="54" xr3:uid="{3092F251-29B0-4745-96BA-BD3AEAEB556F}" name="tipo_campana_id" dataDxfId="204"/>
    <tableColumn id="55" xr3:uid="{96F4A76C-CD44-4CA0-AB15-379E5F28BD18}" name="tipo_campana" dataDxfId="203"/>
    <tableColumn id="56" xr3:uid="{C6C167B7-ACEF-43E9-9968-28C4D5B845F5}" name="cliente" dataDxfId="202"/>
    <tableColumn id="57" xr3:uid="{DA9BC7FE-7FAD-4B12-AEDC-2E5C3F2EEE59}" name="plataforma_operacion" dataDxfId="201"/>
    <tableColumn id="58" xr3:uid="{8B9C0164-F41D-43EC-AAEA-0E2DCDB3C9B2}" name="unidad_negocio" dataDxfId="200"/>
    <tableColumn id="59" xr3:uid="{5511ABFB-F583-43AB-B85B-FDA18683606F}" name="jefe_negocio" dataDxfId="199"/>
    <tableColumn id="60" xr3:uid="{06FF690C-B864-4B73-AF00-B1667E33014E}" name="supervisores" dataDxfId="198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179980-305D-4198-8CFF-9C6519B96FC8}" name="t_colas_intervalo" displayName="t_colas_intervalo" ref="A1:AN2" insertRow="1" totalsRowShown="0" headerRowDxfId="197">
  <autoFilter ref="A1:AN2" xr:uid="{8E179980-305D-4198-8CFF-9C6519B96FC8}"/>
  <tableColumns count="40">
    <tableColumn id="1" xr3:uid="{6662E8B1-5B8B-4972-9218-5F4794C7AA1E}" name="fecha" dataDxfId="196"/>
    <tableColumn id="2" xr3:uid="{EB54783D-0F3F-4DB6-8135-CA4BC7BD642F}" name="intervalo" dataDxfId="195"/>
    <tableColumn id="3" xr3:uid="{E8B15F34-D96C-41F9-BC81-2E09FEC4BD21}" name="tipo_medios" dataDxfId="194"/>
    <tableColumn id="4" xr3:uid="{3DBFBAFE-9F60-4E7F-B0F9-F6CB7DF4A7A5}" name="id_cola" dataDxfId="193"/>
    <tableColumn id="5" xr3:uid="{B96A8765-2B9B-4B10-A39B-8A3D00B5A001}" name="nombre_cola" dataDxfId="192"/>
    <tableColumn id="6" xr3:uid="{4E8BF681-445E-4BEE-9A60-5F504747A654}" name="nombre_cola_2" dataDxfId="191"/>
    <tableColumn id="7" xr3:uid="{AC1BCE5C-2F48-4732-9A3F-CCF40ED82313}" name="oferta" dataDxfId="190"/>
    <tableColumn id="8" xr3:uid="{ACD03F97-D05D-462E-8D55-C42B3F53FBFD}" name="contestadas" dataDxfId="189"/>
    <tableColumn id="9" xr3:uid="{C9DF6FAD-6A4B-4508-9783-0B49191C0AE3}" name="abandonadas" dataDxfId="188"/>
    <tableColumn id="10" xr3:uid="{7B1A13B2-B90C-4525-AB6B-2F066BDBB40E}" name="saliente" dataDxfId="187"/>
    <tableColumn id="11" xr3:uid="{64C64334-B499-47CD-BEC7-749A75A6C359}" name="flujo_saliente" dataDxfId="186"/>
    <tableColumn id="12" xr3:uid="{9B093B17-392A-4B8B-820C-7642B41E994D}" name="velocidad_media_respuesta_seg" dataDxfId="185"/>
    <tableColumn id="13" xr3:uid="{4970E311-D535-42B6-B2CA-F4AED5E63FE1}" name="porcentaje_nivel_servicio" dataDxfId="184"/>
    <tableColumn id="14" xr3:uid="{101FED5A-2D55-4A98-AC43-EB256FD17C16}" name="porcentaje_objetivo_nivel_servicio" dataDxfId="183"/>
    <tableColumn id="15" xr3:uid="{9D88D0E8-9776-4212-8160-64F3C31106BE}" name="espera_media_seg" dataDxfId="182"/>
    <tableColumn id="16" xr3:uid="{4D0F6311-F75C-46AC-8521-EF1C0B130132}" name="manejo_medio_seg" dataDxfId="181"/>
    <tableColumn id="17" xr3:uid="{06910ED8-D93A-499A-BDB1-FAD4A79D95D5}" name="conversacion_media_seg" dataDxfId="180"/>
    <tableColumn id="18" xr3:uid="{21EDEAB0-215F-4FC9-81B7-E2A29856D643}" name="retencion_media_seg" dataDxfId="179"/>
    <tableColumn id="19" xr3:uid="{4BF08443-B7FD-4DCE-A8C3-2E538A849251}" name="acw_medio_seg" dataDxfId="178"/>
    <tableColumn id="20" xr3:uid="{B30B60B5-7757-4373-97DA-C843B23FFA04}" name="abandono_medio_seg" dataDxfId="177"/>
    <tableColumn id="21" xr3:uid="{3C6D412B-DAAA-451A-B83F-C1E0C7C76F10}" name="manejo" dataDxfId="176"/>
    <tableColumn id="22" xr3:uid="{8B2D2641-AE78-4E01-B5E2-F92E4CC60C11}" name="retener" dataDxfId="175"/>
    <tableColumn id="23" xr3:uid="{3E661FEB-54CE-4DBB-850E-510C95D81447}" name="transferir" dataDxfId="174"/>
    <tableColumn id="24" xr3:uid="{55106EB8-C0DC-4CF0-B9C4-C75A91214E50}" name="tiempo_manejo_total" dataDxfId="173"/>
    <tableColumn id="25" xr3:uid="{125561E2-BEA8-46EA-A144-1148975DE2DE}" name="cumplen_sla" dataDxfId="172"/>
    <tableColumn id="26" xr3:uid="{69A42358-FD30-49ED-8634-D7D6ED4940DC}" name="tiempo_conversacion_total" dataDxfId="171"/>
    <tableColumn id="27" xr3:uid="{DC991410-6B14-48A7-9EC6-B118D65D92A3}" name="tiempo_retencion_total" dataDxfId="170"/>
    <tableColumn id="28" xr3:uid="{7D398F9B-9773-4140-A32A-DBC403099466}" name="tiempo_acw_total" dataDxfId="169"/>
    <tableColumn id="29" xr3:uid="{1D43FC56-8852-4732-8A3E-98308076E11A}" name="abandono_rapido" dataDxfId="168"/>
    <tableColumn id="30" xr3:uid="{E84F06D8-15BF-4825-B694-4613BA9C8D48}" name="salientes_intentadas" dataDxfId="167"/>
    <tableColumn id="31" xr3:uid="{ABB9E5D2-8F97-4596-97FA-378CCD8201E1}" name="nombre_campana" dataDxfId="166"/>
    <tableColumn id="32" xr3:uid="{3707B62E-C7FD-4AA3-9DAC-66B33B06BC8D}" name="tmo_objetivo" dataDxfId="165"/>
    <tableColumn id="33" xr3:uid="{C372E25B-B7EC-407E-8093-B46E829DBED5}" name="nivel_atencion_objetivo" dataDxfId="164"/>
    <tableColumn id="34" xr3:uid="{349FCEB7-EA21-4AF7-9A6F-3219ECF260F2}" name="nivel_servicio_objetivo" dataDxfId="163"/>
    <tableColumn id="35" xr3:uid="{07CC153D-A959-4C01-922A-8D545D0CFDD8}" name="tiempo_maximo_espera_objetivo" dataDxfId="162"/>
    <tableColumn id="36" xr3:uid="{BDC0AA1B-BB68-4177-B581-357FB4342C50}" name="tipo_campana" dataDxfId="161"/>
    <tableColumn id="37" xr3:uid="{7EDDD015-7AB9-4577-A9B7-A6C5D1137688}" name="cliente" dataDxfId="160"/>
    <tableColumn id="38" xr3:uid="{0237D703-86C4-4FD3-9DE9-2A6EA14821C4}" name="unidad_negocio" dataDxfId="159"/>
    <tableColumn id="39" xr3:uid="{5B94CF68-9F38-45BF-897D-F63CA08DA6C2}" name="jefe_negocio" dataDxfId="158"/>
    <tableColumn id="40" xr3:uid="{AE91D98B-2D56-4ACA-A6C5-AC283CB98871}" name="supervisores" dataDxfId="157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205F22-27E2-4FB7-BC70-AF8425911818}" name="t_workloads_diario" displayName="t_workloads_diario" ref="A1:AF2" insertRow="1" totalsRowShown="0" headerRowDxfId="156">
  <autoFilter ref="A1:AF2" xr:uid="{79205F22-27E2-4FB7-BC70-AF8425911818}"/>
  <tableColumns count="32">
    <tableColumn id="1" xr3:uid="{00BA2625-8F38-4476-BF9E-7B16A9525029}" name="fecha" dataDxfId="155"/>
    <tableColumn id="2" xr3:uid="{72CFFA4D-2DF3-4CDA-9EAB-E3390DE9B52D}" name="planning_unit_id" dataDxfId="154"/>
    <tableColumn id="3" xr3:uid="{3DC914B2-92FF-42D3-8320-AD6181D780E8}" name="unidad_planificacion" dataDxfId="153"/>
    <tableColumn id="4" xr3:uid="{A0D22F29-599E-4C37-9F64-C1041F545FF3}" name="workload_id" dataDxfId="152"/>
    <tableColumn id="5" xr3:uid="{49349DBB-1E98-481D-82FA-A480169FDFBE}" name="workload" dataDxfId="151"/>
    <tableColumn id="6" xr3:uid="{AAA03A5E-03C3-48D8-91DA-48CAFF35DC84}" name="canal" dataDxfId="150"/>
    <tableColumn id="7" xr3:uid="{EEC8EDD2-58CB-4A32-A599-3F97CAB5E48C}" name="zona_horaria" dataDxfId="149"/>
    <tableColumn id="8" xr3:uid="{249BA554-5A59-4651-9CF6-E01F05814580}" name="activity_id" dataDxfId="148"/>
    <tableColumn id="9" xr3:uid="{77F6B169-FB18-40B4-BBA2-47F495842B6C}" name="actividad" dataDxfId="147"/>
    <tableColumn id="10" xr3:uid="{C4D58929-07EE-4348-87B9-4F9D81FF8B34}" name="curve_id" dataDxfId="146"/>
    <tableColumn id="11" xr3:uid="{C65D323B-6C8D-452C-946C-579901851CCF}" name="estado_historico" dataDxfId="145"/>
    <tableColumn id="12" xr3:uid="{EEC1CCB7-71E7-4430-9B35-811A7B834852}" name="estado_requerido" dataDxfId="144"/>
    <tableColumn id="13" xr3:uid="{79480083-B167-474E-AE9D-52D803B02D36}" name="llamadas_historicas" dataDxfId="143"/>
    <tableColumn id="14" xr3:uid="{F89A33E6-B3D4-4E7B-B1F6-D3C149F55AA3}" name="contestadas_historicas" dataDxfId="142"/>
    <tableColumn id="15" xr3:uid="{FC9FCF84-A4F5-48CC-8595-16D3E570C4D3}" name="tmo_historico" dataDxfId="141"/>
    <tableColumn id="16" xr3:uid="{9BDA37A1-3071-4437-B356-16857A9259FE}" name="forecast_raw_auto" dataDxfId="140"/>
    <tableColumn id="17" xr3:uid="{F97E8FE7-A059-4D97-949A-84755A92FF44}" name="tmo_raw_auto" dataDxfId="139"/>
    <tableColumn id="18" xr3:uid="{587CD8BF-D582-4259-BBE8-C0ECDD851C9F}" name="forecast_auto" dataDxfId="138"/>
    <tableColumn id="19" xr3:uid="{696801E9-B085-4C70-B7B9-CC2945658164}" name="tmo_auto" dataDxfId="137"/>
    <tableColumn id="20" xr3:uid="{AD6BD8E0-AB8C-404D-B1C9-7E8CA00651AA}" name="forecast_import" dataDxfId="136"/>
    <tableColumn id="21" xr3:uid="{5A1AF8D5-CEE8-4FDA-9A6A-B3ED9A3EE2BB}" name="tmo_import" dataDxfId="135"/>
    <tableColumn id="22" xr3:uid="{02F0A471-568E-4121-9737-874B344B29D0}" name="forecast_strategic" dataDxfId="134"/>
    <tableColumn id="23" xr3:uid="{665E8BF5-22C3-4F5E-B1DD-5C12BCA816FD}" name="tmo_strategic" dataDxfId="133"/>
    <tableColumn id="24" xr3:uid="{4CB79D37-C5C8-4B0F-92DF-11D245DA8C0B}" name="forecast_adjustments" dataDxfId="132"/>
    <tableColumn id="25" xr3:uid="{049F41F9-A404-4E6F-A18E-99B72F58E6C6}" name="tmo_adjustments" dataDxfId="131"/>
    <tableColumn id="26" xr3:uid="{E0942D5C-DF03-4544-89EE-E8469493E6FC}" name="forecast_operational" dataDxfId="130"/>
    <tableColumn id="27" xr3:uid="{1C40FBA1-14FD-4697-993D-045A70CE3D78}" name="tmo_operational" dataDxfId="129"/>
    <tableColumn id="28" xr3:uid="{21D62F88-6199-4373-B2DB-ECFB1404ABCD}" name="forecast_version3" dataDxfId="128"/>
    <tableColumn id="29" xr3:uid="{A0BE6803-E99B-42AB-A22B-85BECA718BC9}" name="tmo_version3" dataDxfId="127"/>
    <tableColumn id="30" xr3:uid="{5EB1D14C-CEE8-47BD-B85A-D46BB5356A13}" name="forecast_version4" dataDxfId="126"/>
    <tableColumn id="31" xr3:uid="{AACF3BFB-723B-499E-9B49-0A57C6F67B78}" name="tmo_version4" dataDxfId="125"/>
    <tableColumn id="32" xr3:uid="{A091BBE0-EFEF-4B25-BDE0-F67518173F50}" name="requerido_horas" dataDxfId="124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9125AA-78BC-4BDC-8B1D-A0392A218B06}" name="t_workloads_intervalo" displayName="t_workloads_intervalo" ref="A1:AH2" insertRow="1" totalsRowShown="0" headerRowDxfId="123">
  <autoFilter ref="A1:AH2" xr:uid="{2D9125AA-78BC-4BDC-8B1D-A0392A218B06}"/>
  <tableColumns count="34">
    <tableColumn id="1" xr3:uid="{53EF74C9-C36F-4184-BC32-B5A943E63C1B}" name="fecha" dataDxfId="122"/>
    <tableColumn id="2" xr3:uid="{E51FC5E2-2F82-45FB-919C-4ECF1B606552}" name="intervalo" dataDxfId="121"/>
    <tableColumn id="3" xr3:uid="{54ADAC0C-F501-4560-A287-7AD47F235013}" name="utc_offset_minutos" dataDxfId="120"/>
    <tableColumn id="4" xr3:uid="{4B123723-48B3-4699-A3B9-3B2602C1051F}" name="planning_unit_id" dataDxfId="119"/>
    <tableColumn id="5" xr3:uid="{EADDAE3E-B472-4073-8D9E-6951AC1E4963}" name="unidad_planificacion" dataDxfId="118"/>
    <tableColumn id="6" xr3:uid="{497CFFBE-842D-49C9-93FC-D6E18ABD33AF}" name="workload_id" dataDxfId="117"/>
    <tableColumn id="7" xr3:uid="{4A582B7C-11F3-44E6-9ACD-5F4AEA17025D}" name="workload" dataDxfId="116"/>
    <tableColumn id="8" xr3:uid="{088A06B5-7B26-4099-8D5F-583FF67F911C}" name="canal" dataDxfId="115"/>
    <tableColumn id="9" xr3:uid="{1D4AF20E-245B-4458-897E-01B38451EA8B}" name="zona_horaria" dataDxfId="114"/>
    <tableColumn id="10" xr3:uid="{BA452EA5-F6E3-441B-8D5A-3EBDE969295F}" name="activity_id" dataDxfId="113"/>
    <tableColumn id="11" xr3:uid="{D8762DE3-13C6-4292-AB35-3FE250E450B5}" name="actividad" dataDxfId="112"/>
    <tableColumn id="12" xr3:uid="{BC89DF65-B4C3-4458-974E-C326136E1EED}" name="curve_id" dataDxfId="111"/>
    <tableColumn id="13" xr3:uid="{B54320E7-59A9-4971-9342-9F9CD7D47F7A}" name="estado_historico" dataDxfId="110"/>
    <tableColumn id="14" xr3:uid="{337E5476-CC59-4452-9F13-2F9038662245}" name="estado_requerido" dataDxfId="109"/>
    <tableColumn id="15" xr3:uid="{BBA5AAAF-785F-47B1-9CFD-890BB669C414}" name="llamadas_historicas" dataDxfId="108"/>
    <tableColumn id="16" xr3:uid="{9A73142B-8B87-4A95-8AF0-E60A8E1316EC}" name="contestadas_historicas" dataDxfId="107"/>
    <tableColumn id="17" xr3:uid="{4E06A8D9-322C-436C-A4CB-DD6A4E9B1710}" name="tmo_historico" dataDxfId="106"/>
    <tableColumn id="18" xr3:uid="{91DD7757-3505-4730-9615-9BF023DB2808}" name="forecast_raw_auto" dataDxfId="105"/>
    <tableColumn id="19" xr3:uid="{F4727DE7-D999-4BBF-9267-54EB20033C3C}" name="tmo_raw_auto" dataDxfId="104"/>
    <tableColumn id="20" xr3:uid="{BDDB8650-3C90-47FD-B560-EF4D1554EDB5}" name="forecast_auto" dataDxfId="103"/>
    <tableColumn id="21" xr3:uid="{7EE375EB-35BC-4D9B-BA89-725576DED200}" name="tmo_auto" dataDxfId="102"/>
    <tableColumn id="22" xr3:uid="{34F753B9-4961-4B09-ACA4-2D6743A1A714}" name="forecast_import" dataDxfId="101"/>
    <tableColumn id="23" xr3:uid="{173FFA02-47E8-4512-8F56-8B8011081EA8}" name="tmo_import" dataDxfId="100"/>
    <tableColumn id="24" xr3:uid="{EFE3A022-A690-4657-9A5A-9E3A36C76AA0}" name="forecast_strategic" dataDxfId="99"/>
    <tableColumn id="25" xr3:uid="{74794596-A1F8-43BF-97F4-14570F3F4113}" name="tmo_strategic" dataDxfId="98"/>
    <tableColumn id="26" xr3:uid="{76CC534F-5DB8-4500-8412-100F3EC359A6}" name="forecast_adjustments" dataDxfId="97"/>
    <tableColumn id="27" xr3:uid="{5FF1378F-63E6-42B8-9E0E-5534C19663E3}" name="tmo_adjustments" dataDxfId="96"/>
    <tableColumn id="28" xr3:uid="{1175369F-2D63-4794-A1AF-5515E6EC523D}" name="forecast_operational" dataDxfId="95"/>
    <tableColumn id="29" xr3:uid="{C1F0CA3A-AF3E-4B54-9AB3-A784AF703CD4}" name="tmo_operational" dataDxfId="94"/>
    <tableColumn id="30" xr3:uid="{4595CA5B-EF85-4570-BD90-7B8B3533EEBF}" name="forecast_version3" dataDxfId="93"/>
    <tableColumn id="31" xr3:uid="{1513F358-6A8B-40FC-84AB-8B4AA0977A10}" name="tmo_version3" dataDxfId="92"/>
    <tableColumn id="32" xr3:uid="{9FBAA9F8-052A-4DED-9CA6-D084930602F3}" name="forecast_version4" dataDxfId="91"/>
    <tableColumn id="33" xr3:uid="{ED679629-F5F9-4BBB-A88E-455373BAAA5F}" name="tmo_version4" dataDxfId="90"/>
    <tableColumn id="34" xr3:uid="{471B0C62-C056-431C-8D16-C51B611F0877}" name="requerido" dataDxfId="89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06876A-FD40-4C7D-9B32-2BD1DF851872}" name="t_ejecutivos_diario" displayName="t_ejecutivos_diario" ref="A1:AK2" insertRow="1" totalsRowShown="0" headerRowDxfId="88">
  <autoFilter ref="A1:AK2" xr:uid="{C806876A-FD40-4C7D-9B32-2BD1DF851872}"/>
  <tableColumns count="37">
    <tableColumn id="1" xr3:uid="{E77DBB3A-1BE8-46D6-B804-F7B0FC2B2021}" name="unidad_planificación" dataDxfId="87"/>
    <tableColumn id="2" xr3:uid="{64B7AEBF-427E-4C5F-A219-5AC87706AB8F}" name="rut" dataDxfId="86"/>
    <tableColumn id="3" xr3:uid="{20AC5509-36E5-4719-BF1C-0FB4D9BFC394}" name="identificador" dataDxfId="85"/>
    <tableColumn id="4" xr3:uid="{E511EC21-C472-405C-8517-3B24952322A6}" name="fecha" dataDxfId="84"/>
    <tableColumn id="5" xr3:uid="{1EFE8115-921B-4177-92D2-BB7E96DCE82A}" name="texto_turno" dataDxfId="83"/>
    <tableColumn id="6" xr3:uid="{CC0ADD0B-2296-4165-B0D9-E0F82C0F85E6}" name="tiempo_turno" dataDxfId="82"/>
    <tableColumn id="7" xr3:uid="{411B2047-D4CC-4E5E-AB4B-11A28A46D7B5}" name="tiempo_conectado" dataDxfId="81"/>
    <tableColumn id="8" xr3:uid="{C73D0623-C7BA-4788-88EF-BFE76A4E4E03}" name="tiempo_en_la_cola" dataDxfId="80"/>
    <tableColumn id="9" xr3:uid="{126AFC5B-D1A9-4D28-A172-7350BEF6C145}" name="tiempo_comida" dataDxfId="79"/>
    <tableColumn id="10" xr3:uid="{10B95137-74C6-4082-86E0-E6EE07F6BB78}" name="tiempo_conversación_total" dataDxfId="78"/>
    <tableColumn id="11" xr3:uid="{A187ED4F-F2C8-41C8-A37A-627B14BBDD50}" name="tiempo_descanso" dataDxfId="77"/>
    <tableColumn id="12" xr3:uid="{8C0665E2-0D64-464F-9CAE-624A39C99B22}" name="tiempo_capacitación" dataDxfId="76"/>
    <tableColumn id="13" xr3:uid="{87DEB1C5-4DCC-40DC-8D73-26764F0DCC1E}" name="tiempo_ausente" dataDxfId="75"/>
    <tableColumn id="14" xr3:uid="{9603CB46-16F1-48CC-AF2A-C452DBD164F6}" name="tiempo_inactivo" dataDxfId="74"/>
    <tableColumn id="15" xr3:uid="{55E69CE1-D151-4ABE-B0A2-ACEA1605B9A2}" name="tiempo_ocupado" dataDxfId="73"/>
    <tableColumn id="16" xr3:uid="{F14FB6D1-C400-4380-9C92-DCC70F0B05F4}" name="llamadas_contestadas" dataDxfId="72"/>
    <tableColumn id="17" xr3:uid="{D373D0CF-993A-4B42-AD78-C9E344F3301C}" name="llamadas_salientes" dataDxfId="71"/>
    <tableColumn id="18" xr3:uid="{44F85D29-4516-467C-B037-03F7C397EEF6}" name="tmo_seg" dataDxfId="70"/>
    <tableColumn id="19" xr3:uid="{58E7EB02-9E73-45CB-847C-3EF33B3467FD}" name="lic_vac_d_adm" dataDxfId="69"/>
    <tableColumn id="20" xr3:uid="{1B510B24-9AC7-4FB7-907E-F6F7596C041D}" name="tramo_jornada" dataDxfId="68"/>
    <tableColumn id="21" xr3:uid="{213AC444-8DD2-4B3C-96F0-2742A34B98A0}" name="tiempo_disponible" dataDxfId="67"/>
    <tableColumn id="22" xr3:uid="{6D89AC1D-C077-4E05-A263-8E97BF5D6CF6}" name="tiempo_comida_programada" dataDxfId="66"/>
    <tableColumn id="23" xr3:uid="{572B3EF2-8995-4CA2-A7A0-BF79939A6A33}" name="tiempo_reunión" dataDxfId="65"/>
    <tableColumn id="24" xr3:uid="{4EBE6FAA-FF8B-4813-B777-4632464EC11E}" name="tiempo_interactuando" dataDxfId="64"/>
    <tableColumn id="25" xr3:uid="{F10F381C-51E8-4CE5-A4DF-8092925AC49B}" name="ocupación_gen" dataDxfId="63"/>
    <tableColumn id="26" xr3:uid="{391CBA8F-B639-49E1-8D78-91F2B5BBD43C}" name="tiempo_no_responde" dataDxfId="62"/>
    <tableColumn id="27" xr3:uid="{DB528845-8135-44CE-AE35-5396658843B0}" name="tiempo_total_acd" dataDxfId="61"/>
    <tableColumn id="28" xr3:uid="{47702487-C628-4411-9E10-80656A696A1C}" name="tiempo_en_comunicacion" dataDxfId="60"/>
    <tableColumn id="29" xr3:uid="{5BEF3F28-1503-474B-952D-56F8AFF0C006}" name="tiempo_fuera_de_la_cola" dataDxfId="59"/>
    <tableColumn id="30" xr3:uid="{6A2685F8-AA56-477B-9C3E-E5C1848D47BA}" name="manejo" dataDxfId="58"/>
    <tableColumn id="31" xr3:uid="{E3BA36AB-5BED-4135-A20A-268FA61AB69C}" name="tiempo_manejo_total" dataDxfId="57"/>
    <tableColumn id="32" xr3:uid="{21F59C51-75A4-4A05-A636-FCB1596E4ECE}" name="Aux objetivo" dataDxfId="56"/>
    <tableColumn id="33" xr3:uid="{D722507C-DE98-48AA-A0AE-AE7011E39C25}" name="ausencia_de_conexion" dataDxfId="55"/>
    <tableColumn id="34" xr3:uid="{354ADDFC-D34B-4E68-8982-ACCED8868568}" name="fecha (índice de meses)" dataDxfId="54"/>
    <tableColumn id="35" xr3:uid="{E9CA07D0-C913-48A9-A99E-D69909FF3496}" name="fecha (mes)" dataDxfId="53"/>
    <tableColumn id="36" xr3:uid="{E81FE868-B444-4E77-9E78-049EA1A20202}" name="supervisor" dataDxfId="52"/>
    <tableColumn id="37" xr3:uid="{84761446-CF74-4CB7-AA0B-11785E4E6D06}" name="jefe_negocio" dataDxfId="51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ACF752-2F16-4B35-8613-B828F8A7989E}" name="t_estados_agentes_intervalo" displayName="t_estados_agentes_intervalo" ref="A1:U2" insertRow="1" totalsRowShown="0" headerRowDxfId="50">
  <autoFilter ref="A1:U2" xr:uid="{ABACF752-2F16-4B35-8613-B828F8A7989E}"/>
  <tableColumns count="21">
    <tableColumn id="1" xr3:uid="{3F393D07-37D5-496D-92BA-FB1D4E7FB15A}" name="id" dataDxfId="49"/>
    <tableColumn id="2" xr3:uid="{E7468CE9-DE3F-4EBF-946A-EF01FD48D58B}" name="fecha" dataDxfId="48"/>
    <tableColumn id="3" xr3:uid="{A29DC99D-538D-4B0C-985D-185EE1D4FAC8}" name="intervalo" dataDxfId="47"/>
    <tableColumn id="4" xr3:uid="{B8390F84-46B1-4B32-BF0E-B459AF45F454}" name="id_agente" dataDxfId="46"/>
    <tableColumn id="5" xr3:uid="{860BEE72-9F63-49FE-BE3B-C21A87790725}" name="nombre_agente" dataDxfId="45"/>
    <tableColumn id="6" xr3:uid="{CD505C8E-D204-4D9D-8926-031A2AA87525}" name="conectado" dataDxfId="44"/>
    <tableColumn id="7" xr3:uid="{10087317-8B80-4E01-8C7F-5637FE6ECC69}" name="en_la_cola" dataDxfId="43"/>
    <tableColumn id="8" xr3:uid="{08A8E356-D0BC-4654-8C72-DC9C42021BA0}" name="inactivo" dataDxfId="42"/>
    <tableColumn id="9" xr3:uid="{019B9315-CAD9-43BF-BCEA-C65441455D7C}" name="no_responde" dataDxfId="41"/>
    <tableColumn id="10" xr3:uid="{0FA7CEAC-B9D2-458E-BBD5-3C1A5EA81ACC}" name="fuera_de_la_cola" dataDxfId="40"/>
    <tableColumn id="11" xr3:uid="{B0B2CD91-CBB6-41E2-83BD-75CD2DCEBFB2}" name="disponible" dataDxfId="39"/>
    <tableColumn id="12" xr3:uid="{0CDEA63B-FC9F-4012-83F0-A4FE53105AF5}" name="ocupado" dataDxfId="38"/>
    <tableColumn id="13" xr3:uid="{5DB0F885-AFFD-4923-BB78-C9460C10B80D}" name="ausente" dataDxfId="37"/>
    <tableColumn id="14" xr3:uid="{92769ACE-2FA1-49FF-B788-27FD05A6F31D}" name="descanso" dataDxfId="36"/>
    <tableColumn id="15" xr3:uid="{2D250D7D-81C7-4E54-89CC-1C134580D0F5}" name="comida" dataDxfId="35"/>
    <tableColumn id="16" xr3:uid="{E3891CC1-19E8-4B71-BC23-C7DAAEBB4BC4}" name="capacitacion" dataDxfId="34"/>
    <tableColumn id="17" xr3:uid="{A8F2D268-41E3-457E-AB56-9D9610020D3B}" name="interactuando" dataDxfId="33"/>
    <tableColumn id="18" xr3:uid="{69516ABD-429F-4531-94BD-053CB3C54882}" name="rut" dataDxfId="32"/>
    <tableColumn id="19" xr3:uid="{E91D5E1E-4F2C-44D0-9EFC-FC825074E644}" name="supervisor" dataDxfId="31"/>
    <tableColumn id="20" xr3:uid="{4DF24539-6C9A-4D9E-9A28-48828BF49935}" name="jefe_negocio" dataDxfId="30"/>
    <tableColumn id="21" xr3:uid="{AAA72A76-CE3D-4653-952E-FF4BCD52287D}" name="unidad_planificacion" dataDxfId="29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5C1B62-2D4C-4D27-B314-528FD30839A0}" name="t_asignaciones_historial" displayName="t_asignaciones_historial" ref="A1:I2" insertRow="1" totalsRowShown="0" headerRowDxfId="28">
  <autoFilter ref="A1:I2" xr:uid="{595C1B62-2D4C-4D27-B314-528FD30839A0}"/>
  <tableColumns count="9">
    <tableColumn id="1" xr3:uid="{D160CE3A-D274-449E-9335-F84910F218C1}" name="nombre" dataDxfId="27"/>
    <tableColumn id="2" xr3:uid="{727177B1-4E13-4349-9053-F54E12DAA4CF}" name="rut" dataDxfId="26"/>
    <tableColumn id="3" xr3:uid="{D006E738-411C-472F-B9E4-899500E69C79}" name="campana" dataDxfId="25"/>
    <tableColumn id="4" xr3:uid="{FEE181D1-7A5E-4247-B995-6D38383EE3D3}" name="contrato" dataDxfId="24"/>
    <tableColumn id="5" xr3:uid="{7E974948-DE4A-4AEC-8903-7867D158DD66}" name="fecha_inicio" dataDxfId="23"/>
    <tableColumn id="6" xr3:uid="{6715D27B-8B4D-4B3D-B919-322094016AE6}" name="fecha_termino" dataDxfId="22"/>
    <tableColumn id="7" xr3:uid="{28956550-2503-4F92-A766-22B3A4EB33E7}" name="campana_id" dataDxfId="21"/>
    <tableColumn id="8" xr3:uid="{7B65430C-33E8-49F7-B7F5-9B173DC8A812}" name="cliente" dataDxfId="20"/>
    <tableColumn id="9" xr3:uid="{814D9683-55FD-446D-90E8-8347D43878E6}" name="jefe_negocio" dataDxfId="19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3A76F8-FE62-46EC-9928-FC68D718BF9E}" name="t_turnos_diario" displayName="t_turnos_diario" ref="A1:R2" insertRow="1" totalsRowShown="0" headerRowDxfId="18">
  <autoFilter ref="A1:R2" xr:uid="{F63A76F8-FE62-46EC-9928-FC68D718BF9E}"/>
  <tableColumns count="18">
    <tableColumn id="1" xr3:uid="{06C7EF50-DFEE-41FB-A6CB-B1981E20BE2A}" name="id" dataDxfId="17"/>
    <tableColumn id="2" xr3:uid="{8F8464B3-0B43-4C0D-B000-5D827BECFF53}" name="rut" dataDxfId="16"/>
    <tableColumn id="3" xr3:uid="{11CB6415-392B-4F03-BA38-D3CED51D1D06}" name="fecha" dataDxfId="15"/>
    <tableColumn id="4" xr3:uid="{25D1701D-4325-447F-A4E8-23ED93D740D9}" name="inicio_turno" dataDxfId="14"/>
    <tableColumn id="5" xr3:uid="{4DD744DE-8B5B-4447-A50F-3C2EF831AF96}" name="fin_turno" dataDxfId="13"/>
    <tableColumn id="6" xr3:uid="{D72E15D4-B228-4479-85A5-B4AB1DD7DB80}" name="inicio_b1" dataDxfId="12"/>
    <tableColumn id="7" xr3:uid="{52E6A00B-75C1-4D2E-823B-6E9CB016CA66}" name="fin_b1" dataDxfId="11"/>
    <tableColumn id="8" xr3:uid="{815AF84E-F2AC-480B-A7B0-34FD3C297599}" name="inicio_almuerzo" dataDxfId="10"/>
    <tableColumn id="9" xr3:uid="{58373C13-60F9-48E5-BBC8-B70BE151B671}" name="fin_almuerzo" dataDxfId="9"/>
    <tableColumn id="10" xr3:uid="{270F94F8-4DE9-44D8-A019-3629A3976E7A}" name="inicio_b2" dataDxfId="8"/>
    <tableColumn id="11" xr3:uid="{AE9C232E-ADF0-4F69-ABA0-6EC5E78A10F9}" name="fin_b2" dataDxfId="7"/>
    <tableColumn id="12" xr3:uid="{19A2520B-EBF0-480F-8481-9948250AE133}" name="nombre" dataDxfId="6"/>
    <tableColumn id="13" xr3:uid="{45BC97A0-087F-4F75-B85F-00A6A41AA9B3}" name="campana" dataDxfId="5"/>
    <tableColumn id="14" xr3:uid="{6053755C-A24C-4279-9B20-442E3A436484}" name="contrato" dataDxfId="4"/>
    <tableColumn id="15" xr3:uid="{533D18FF-FA6F-4DDE-9ABA-29DBA1E60F38}" name="campana_id" dataDxfId="3"/>
    <tableColumn id="16" xr3:uid="{02CB419B-FDD6-405C-B3FC-7D07D4803A3A}" name="cliente" dataDxfId="2"/>
    <tableColumn id="17" xr3:uid="{B2940698-5644-4BF6-8B11-1E7848A73D9B}" name="jefe_negocio" dataDxfId="1"/>
    <tableColumn id="18" xr3:uid="{0C2943F0-5A5E-4E69-893A-38A5EA5732AE}" name="estado_asignacion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C238-764F-498F-90FA-611B49DC9836}">
  <dimension ref="A1:BH2"/>
  <sheetViews>
    <sheetView workbookViewId="0">
      <selection activeCell="AP1" sqref="AP1"/>
    </sheetView>
  </sheetViews>
  <sheetFormatPr baseColWidth="10" defaultRowHeight="15" x14ac:dyDescent="0.25"/>
  <cols>
    <col min="1" max="1" width="17" customWidth="1"/>
    <col min="2" max="2" width="10.7109375" customWidth="1"/>
    <col min="3" max="3" width="21.42578125" customWidth="1"/>
    <col min="4" max="4" width="10.7109375" customWidth="1"/>
    <col min="5" max="5" width="37.7109375" customWidth="1"/>
    <col min="6" max="7" width="37.85546875" customWidth="1"/>
    <col min="8" max="8" width="35.85546875" customWidth="1"/>
    <col min="9" max="9" width="18.42578125" customWidth="1"/>
    <col min="10" max="10" width="35.140625" customWidth="1"/>
    <col min="11" max="11" width="10.7109375" customWidth="1"/>
    <col min="12" max="12" width="14.28515625" customWidth="1"/>
    <col min="13" max="13" width="18.85546875" customWidth="1"/>
    <col min="14" max="14" width="22" customWidth="1"/>
    <col min="15" max="15" width="15.5703125" customWidth="1"/>
    <col min="16" max="16" width="14.5703125" customWidth="1"/>
    <col min="17" max="17" width="32.7109375" customWidth="1"/>
    <col min="18" max="18" width="22.85546875" customWidth="1"/>
    <col min="19" max="19" width="10.7109375" customWidth="1"/>
    <col min="20" max="20" width="22.42578125" customWidth="1"/>
    <col min="21" max="21" width="15.28515625" customWidth="1"/>
    <col min="22" max="22" width="27.85546875" customWidth="1"/>
    <col min="23" max="23" width="10.7109375" customWidth="1"/>
    <col min="24" max="24" width="24.5703125" customWidth="1"/>
    <col min="25" max="25" width="10.7109375" customWidth="1"/>
    <col min="26" max="26" width="19.140625" customWidth="1"/>
    <col min="27" max="27" width="14.42578125" customWidth="1"/>
    <col min="28" max="28" width="27" customWidth="1"/>
    <col min="29" max="29" width="12.140625" customWidth="1"/>
    <col min="30" max="30" width="24.7109375" customWidth="1"/>
    <col min="31" max="32" width="10.7109375" customWidth="1"/>
    <col min="33" max="33" width="21.85546875" customWidth="1"/>
    <col min="34" max="34" width="27.7109375" customWidth="1"/>
    <col min="35" max="35" width="28.28515625" customWidth="1"/>
    <col min="36" max="36" width="11.7109375" customWidth="1"/>
    <col min="37" max="37" width="31.85546875" customWidth="1"/>
    <col min="38" max="38" width="44.5703125" customWidth="1"/>
    <col min="39" max="39" width="19.7109375" customWidth="1"/>
    <col min="40" max="40" width="19.28515625" customWidth="1"/>
    <col min="41" max="41" width="13.85546875" customWidth="1"/>
    <col min="42" max="42" width="19.28515625" customWidth="1"/>
    <col min="43" max="43" width="15.140625" customWidth="1"/>
    <col min="44" max="44" width="25" customWidth="1"/>
    <col min="45" max="45" width="24.28515625" customWidth="1"/>
    <col min="46" max="46" width="33.42578125" customWidth="1"/>
    <col min="47" max="47" width="25.5703125" customWidth="1"/>
    <col min="48" max="48" width="12.140625" customWidth="1"/>
    <col min="49" max="49" width="12.28515625" customWidth="1"/>
    <col min="50" max="50" width="25.7109375" customWidth="1"/>
    <col min="51" max="51" width="17.42578125" customWidth="1"/>
    <col min="52" max="52" width="20.140625" customWidth="1"/>
    <col min="53" max="53" width="22.140625" customWidth="1"/>
    <col min="54" max="54" width="18.42578125" customWidth="1"/>
    <col min="55" max="55" width="15.7109375" customWidth="1"/>
    <col min="56" max="56" width="10.7109375" customWidth="1"/>
    <col min="57" max="57" width="23" customWidth="1"/>
    <col min="58" max="58" width="17.42578125" customWidth="1"/>
    <col min="59" max="59" width="14.85546875" customWidth="1"/>
    <col min="60" max="60" width="15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5">
      <c r="A2" s="2"/>
      <c r="B2" s="3"/>
      <c r="C2" s="9"/>
      <c r="D2" s="2"/>
      <c r="E2" s="9"/>
      <c r="F2" s="9"/>
      <c r="G2" s="9"/>
      <c r="H2" s="9"/>
      <c r="I2" s="9"/>
      <c r="J2" s="5"/>
      <c r="K2" s="6"/>
      <c r="L2" s="6"/>
      <c r="M2" s="6"/>
      <c r="N2" s="6"/>
      <c r="O2" s="6"/>
      <c r="P2" s="6"/>
      <c r="Q2" s="7"/>
      <c r="R2" s="7"/>
      <c r="S2" s="6"/>
      <c r="T2" s="8"/>
      <c r="U2" s="6"/>
      <c r="V2" s="8"/>
      <c r="W2" s="6"/>
      <c r="X2" s="8"/>
      <c r="Y2" s="6"/>
      <c r="Z2" s="8"/>
      <c r="AA2" s="6"/>
      <c r="AB2" s="8"/>
      <c r="AC2" s="6"/>
      <c r="AD2" s="8"/>
      <c r="AE2" s="6"/>
      <c r="AF2" s="6"/>
      <c r="AG2" s="8"/>
      <c r="AH2" s="6"/>
      <c r="AI2" s="6"/>
      <c r="AJ2" s="6"/>
      <c r="AK2" s="6"/>
      <c r="AL2" s="8"/>
      <c r="AM2" s="6"/>
      <c r="AN2" s="6"/>
      <c r="AO2" s="2"/>
      <c r="AP2" s="9"/>
      <c r="AQ2" s="6"/>
      <c r="AR2" s="5"/>
      <c r="AS2" s="5"/>
      <c r="AT2" s="6"/>
      <c r="AU2" s="9"/>
      <c r="AV2" s="2"/>
      <c r="AW2" s="2"/>
      <c r="AX2" s="2"/>
      <c r="AY2" s="2"/>
      <c r="AZ2" s="2"/>
      <c r="BA2" s="2"/>
      <c r="BB2" s="2"/>
      <c r="BC2" s="4"/>
      <c r="BD2" s="9"/>
      <c r="BE2" s="9"/>
      <c r="BF2" s="9"/>
      <c r="BG2" s="9"/>
      <c r="BH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C329-A841-462A-8801-0FC3721300C9}">
  <dimension ref="A1:AN2"/>
  <sheetViews>
    <sheetView workbookViewId="0"/>
  </sheetViews>
  <sheetFormatPr baseColWidth="10" defaultRowHeight="15" x14ac:dyDescent="0.25"/>
  <cols>
    <col min="1" max="1" width="10.7109375" customWidth="1"/>
    <col min="2" max="2" width="11.28515625" customWidth="1"/>
    <col min="3" max="3" width="14.42578125" customWidth="1"/>
    <col min="4" max="4" width="38.28515625" customWidth="1"/>
    <col min="5" max="6" width="41.85546875" customWidth="1"/>
    <col min="7" max="7" width="10.7109375" customWidth="1"/>
    <col min="8" max="8" width="14.28515625" customWidth="1"/>
    <col min="9" max="9" width="15.140625" customWidth="1"/>
    <col min="10" max="10" width="10.7109375" customWidth="1"/>
    <col min="11" max="11" width="15.5703125" customWidth="1"/>
    <col min="12" max="12" width="32.7109375" customWidth="1"/>
    <col min="13" max="13" width="26.5703125" customWidth="1"/>
    <col min="14" max="14" width="35.140625" customWidth="1"/>
    <col min="15" max="15" width="20" customWidth="1"/>
    <col min="16" max="16" width="20.7109375" customWidth="1"/>
    <col min="17" max="17" width="26" customWidth="1"/>
    <col min="18" max="18" width="22.5703125" customWidth="1"/>
    <col min="19" max="19" width="17.28515625" customWidth="1"/>
    <col min="20" max="20" width="22.85546875" customWidth="1"/>
    <col min="21" max="22" width="10.7109375" customWidth="1"/>
    <col min="23" max="23" width="11.7109375" customWidth="1"/>
    <col min="24" max="24" width="22.42578125" customWidth="1"/>
    <col min="25" max="25" width="14.5703125" customWidth="1"/>
    <col min="26" max="26" width="27.85546875" customWidth="1"/>
    <col min="27" max="27" width="24.5703125" customWidth="1"/>
    <col min="28" max="28" width="19.140625" customWidth="1"/>
    <col min="29" max="29" width="18.85546875" customWidth="1"/>
    <col min="30" max="30" width="22.140625" customWidth="1"/>
    <col min="31" max="31" width="31" customWidth="1"/>
    <col min="32" max="32" width="15.140625" customWidth="1"/>
    <col min="33" max="33" width="25" customWidth="1"/>
    <col min="34" max="34" width="24.28515625" customWidth="1"/>
    <col min="35" max="35" width="33.42578125" customWidth="1"/>
    <col min="36" max="36" width="15.7109375" customWidth="1"/>
    <col min="37" max="37" width="18.42578125" customWidth="1"/>
    <col min="38" max="38" width="17.42578125" customWidth="1"/>
    <col min="39" max="39" width="14.85546875" customWidth="1"/>
    <col min="40" max="40" width="45.7109375" customWidth="1"/>
  </cols>
  <sheetData>
    <row r="1" spans="1:40" x14ac:dyDescent="0.25">
      <c r="A1" s="1" t="s">
        <v>1</v>
      </c>
      <c r="B1" s="1" t="s">
        <v>60</v>
      </c>
      <c r="C1" s="1" t="s">
        <v>2</v>
      </c>
      <c r="D1" s="1" t="s">
        <v>4</v>
      </c>
      <c r="E1" s="1" t="s">
        <v>5</v>
      </c>
      <c r="F1" s="1" t="s">
        <v>61</v>
      </c>
      <c r="G1" s="1" t="s">
        <v>10</v>
      </c>
      <c r="H1" s="1" t="s">
        <v>11</v>
      </c>
      <c r="I1" s="1" t="s">
        <v>62</v>
      </c>
      <c r="J1" s="1" t="s">
        <v>30</v>
      </c>
      <c r="K1" s="1" t="s">
        <v>14</v>
      </c>
      <c r="L1" s="1" t="s">
        <v>16</v>
      </c>
      <c r="M1" s="1" t="s">
        <v>63</v>
      </c>
      <c r="N1" s="1" t="s">
        <v>9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17</v>
      </c>
      <c r="U1" s="1" t="s">
        <v>18</v>
      </c>
      <c r="V1" s="1" t="s">
        <v>22</v>
      </c>
      <c r="W1" s="1" t="s">
        <v>69</v>
      </c>
      <c r="X1" s="1" t="s">
        <v>19</v>
      </c>
      <c r="Y1" s="1" t="s">
        <v>15</v>
      </c>
      <c r="Z1" s="1" t="s">
        <v>21</v>
      </c>
      <c r="AA1" s="1" t="s">
        <v>23</v>
      </c>
      <c r="AB1" s="1" t="s">
        <v>25</v>
      </c>
      <c r="AC1" s="1" t="s">
        <v>12</v>
      </c>
      <c r="AD1" s="1" t="s">
        <v>70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54</v>
      </c>
      <c r="AK1" s="1" t="s">
        <v>55</v>
      </c>
      <c r="AL1" s="1" t="s">
        <v>57</v>
      </c>
      <c r="AM1" s="1" t="s">
        <v>58</v>
      </c>
      <c r="AN1" s="1" t="s">
        <v>59</v>
      </c>
    </row>
    <row r="2" spans="1:40" x14ac:dyDescent="0.25">
      <c r="A2" s="3"/>
      <c r="B2" s="10"/>
      <c r="C2" s="9"/>
      <c r="D2" s="9"/>
      <c r="E2" s="9"/>
      <c r="F2" s="9"/>
      <c r="G2" s="6"/>
      <c r="H2" s="6"/>
      <c r="I2" s="6"/>
      <c r="J2" s="6"/>
      <c r="K2" s="6"/>
      <c r="L2" s="7"/>
      <c r="M2" s="5"/>
      <c r="N2" s="5"/>
      <c r="O2" s="7"/>
      <c r="P2" s="7"/>
      <c r="Q2" s="7"/>
      <c r="R2" s="7"/>
      <c r="S2" s="7"/>
      <c r="T2" s="7"/>
      <c r="U2" s="6"/>
      <c r="V2" s="6"/>
      <c r="W2" s="6"/>
      <c r="X2" s="8"/>
      <c r="Y2" s="6"/>
      <c r="Z2" s="8"/>
      <c r="AA2" s="8"/>
      <c r="AB2" s="8"/>
      <c r="AC2" s="6"/>
      <c r="AD2" s="6"/>
      <c r="AE2" s="9"/>
      <c r="AF2" s="6"/>
      <c r="AG2" s="5"/>
      <c r="AH2" s="5"/>
      <c r="AI2" s="6"/>
      <c r="AJ2" s="4"/>
      <c r="AK2" s="9"/>
      <c r="AL2" s="9"/>
      <c r="AM2" s="9"/>
      <c r="AN2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1B62-72F0-4B31-BDFF-506BF344A4EE}">
  <dimension ref="A1:AF2"/>
  <sheetViews>
    <sheetView workbookViewId="0"/>
  </sheetViews>
  <sheetFormatPr baseColWidth="10" defaultRowHeight="15" x14ac:dyDescent="0.25"/>
  <cols>
    <col min="1" max="1" width="10.7109375" customWidth="1"/>
    <col min="2" max="2" width="18" customWidth="1"/>
    <col min="3" max="3" width="22" customWidth="1"/>
    <col min="4" max="4" width="36.7109375" customWidth="1"/>
    <col min="5" max="5" width="13" customWidth="1"/>
    <col min="6" max="6" width="10.7109375" customWidth="1"/>
    <col min="7" max="7" width="16.85546875" customWidth="1"/>
    <col min="8" max="8" width="12.42578125" customWidth="1"/>
    <col min="9" max="9" width="13" customWidth="1"/>
    <col min="10" max="10" width="10.85546875" customWidth="1"/>
    <col min="11" max="11" width="36.7109375" customWidth="1"/>
    <col min="12" max="12" width="19.28515625" customWidth="1"/>
    <col min="13" max="13" width="21.140625" customWidth="1"/>
    <col min="14" max="14" width="24.28515625" customWidth="1"/>
    <col min="15" max="15" width="15.7109375" customWidth="1"/>
    <col min="16" max="16" width="19.7109375" customWidth="1"/>
    <col min="17" max="17" width="15.7109375" customWidth="1"/>
    <col min="18" max="18" width="15.5703125" customWidth="1"/>
    <col min="19" max="19" width="11.7109375" customWidth="1"/>
    <col min="20" max="20" width="17.5703125" customWidth="1"/>
    <col min="21" max="21" width="13.7109375" customWidth="1"/>
    <col min="22" max="22" width="19.5703125" customWidth="1"/>
    <col min="23" max="23" width="15.5703125" customWidth="1"/>
    <col min="24" max="24" width="23" customWidth="1"/>
    <col min="25" max="25" width="19.140625" customWidth="1"/>
    <col min="26" max="26" width="22" customWidth="1"/>
    <col min="27" max="27" width="18" customWidth="1"/>
    <col min="28" max="28" width="19.42578125" customWidth="1"/>
    <col min="29" max="29" width="15.42578125" customWidth="1"/>
    <col min="30" max="30" width="19.42578125" customWidth="1"/>
    <col min="31" max="31" width="15.42578125" customWidth="1"/>
    <col min="32" max="32" width="18" customWidth="1"/>
  </cols>
  <sheetData>
    <row r="1" spans="1:32" x14ac:dyDescent="0.25">
      <c r="A1" s="1" t="s">
        <v>1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</row>
    <row r="2" spans="1:32" x14ac:dyDescent="0.25">
      <c r="A2" s="3"/>
      <c r="B2" s="2"/>
      <c r="C2" s="9"/>
      <c r="D2" s="9"/>
      <c r="E2" s="9"/>
      <c r="F2" s="9"/>
      <c r="G2" s="9"/>
      <c r="H2" s="2"/>
      <c r="I2" s="9"/>
      <c r="J2" s="2"/>
      <c r="K2" s="9"/>
      <c r="L2" s="9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964F-3093-47EB-B665-415EF698EE08}">
  <dimension ref="A1:AH2"/>
  <sheetViews>
    <sheetView workbookViewId="0"/>
  </sheetViews>
  <sheetFormatPr baseColWidth="10" defaultRowHeight="15" x14ac:dyDescent="0.25"/>
  <cols>
    <col min="1" max="1" width="10.7109375" customWidth="1"/>
    <col min="2" max="2" width="11.28515625" customWidth="1"/>
    <col min="3" max="3" width="20.85546875" customWidth="1"/>
    <col min="4" max="4" width="18" customWidth="1"/>
    <col min="5" max="5" width="22" customWidth="1"/>
    <col min="6" max="6" width="36.7109375" customWidth="1"/>
    <col min="7" max="7" width="13" customWidth="1"/>
    <col min="8" max="8" width="10.7109375" customWidth="1"/>
    <col min="9" max="9" width="16.85546875" customWidth="1"/>
    <col min="10" max="10" width="12.42578125" customWidth="1"/>
    <col min="11" max="11" width="13" customWidth="1"/>
    <col min="12" max="12" width="10.85546875" customWidth="1"/>
    <col min="13" max="13" width="36.7109375" customWidth="1"/>
    <col min="14" max="14" width="19.28515625" customWidth="1"/>
    <col min="15" max="15" width="21.140625" customWidth="1"/>
    <col min="16" max="16" width="24.28515625" customWidth="1"/>
    <col min="17" max="17" width="15.7109375" customWidth="1"/>
    <col min="18" max="18" width="19.7109375" customWidth="1"/>
    <col min="19" max="19" width="15.7109375" customWidth="1"/>
    <col min="20" max="20" width="15.5703125" customWidth="1"/>
    <col min="21" max="21" width="11.7109375" customWidth="1"/>
    <col min="22" max="22" width="17.5703125" customWidth="1"/>
    <col min="23" max="23" width="13.7109375" customWidth="1"/>
    <col min="24" max="24" width="19.5703125" customWidth="1"/>
    <col min="25" max="25" width="15.5703125" customWidth="1"/>
    <col min="26" max="26" width="23" customWidth="1"/>
    <col min="27" max="27" width="19.140625" customWidth="1"/>
    <col min="28" max="28" width="22" customWidth="1"/>
    <col min="29" max="29" width="18" customWidth="1"/>
    <col min="30" max="30" width="19.42578125" customWidth="1"/>
    <col min="31" max="31" width="15.42578125" customWidth="1"/>
    <col min="32" max="32" width="19.42578125" customWidth="1"/>
    <col min="33" max="33" width="15.42578125" customWidth="1"/>
    <col min="34" max="34" width="12.140625" customWidth="1"/>
  </cols>
  <sheetData>
    <row r="1" spans="1:34" x14ac:dyDescent="0.25">
      <c r="A1" s="1" t="s">
        <v>1</v>
      </c>
      <c r="B1" s="1" t="s">
        <v>60</v>
      </c>
      <c r="C1" s="1" t="s">
        <v>102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103</v>
      </c>
    </row>
    <row r="2" spans="1:34" x14ac:dyDescent="0.25">
      <c r="A2" s="3"/>
      <c r="B2" s="10"/>
      <c r="C2" s="2"/>
      <c r="D2" s="2"/>
      <c r="E2" s="9"/>
      <c r="F2" s="9"/>
      <c r="G2" s="9"/>
      <c r="H2" s="9"/>
      <c r="I2" s="9"/>
      <c r="J2" s="2"/>
      <c r="K2" s="9"/>
      <c r="L2" s="2"/>
      <c r="M2" s="9"/>
      <c r="N2" s="9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BC2D-ED1C-4405-8507-BAC6317C73AF}">
  <dimension ref="A1:AK2"/>
  <sheetViews>
    <sheetView workbookViewId="0"/>
  </sheetViews>
  <sheetFormatPr baseColWidth="10" defaultRowHeight="15" x14ac:dyDescent="0.25"/>
  <cols>
    <col min="1" max="1" width="22" customWidth="1"/>
    <col min="2" max="2" width="10.7109375" customWidth="1"/>
    <col min="3" max="3" width="44.28515625" customWidth="1"/>
    <col min="4" max="4" width="10.7109375" customWidth="1"/>
    <col min="5" max="5" width="13.7109375" customWidth="1"/>
    <col min="6" max="6" width="15.42578125" customWidth="1"/>
    <col min="7" max="7" width="20.140625" customWidth="1"/>
    <col min="8" max="8" width="20" customWidth="1"/>
    <col min="9" max="9" width="17.140625" customWidth="1"/>
    <col min="10" max="10" width="27.85546875" customWidth="1"/>
    <col min="11" max="11" width="19.28515625" customWidth="1"/>
    <col min="12" max="12" width="22" customWidth="1"/>
    <col min="13" max="13" width="17.85546875" customWidth="1"/>
    <col min="14" max="14" width="17.7109375" customWidth="1"/>
    <col min="15" max="15" width="18.42578125" customWidth="1"/>
    <col min="16" max="16" width="23.28515625" customWidth="1"/>
    <col min="17" max="17" width="20.5703125" customWidth="1"/>
    <col min="18" max="18" width="10.85546875" customWidth="1"/>
    <col min="19" max="19" width="16" customWidth="1"/>
    <col min="20" max="20" width="16.140625" customWidth="1"/>
    <col min="21" max="21" width="20.28515625" customWidth="1"/>
    <col min="22" max="22" width="29" customWidth="1"/>
    <col min="23" max="23" width="17.5703125" customWidth="1"/>
    <col min="24" max="24" width="23.28515625" customWidth="1"/>
    <col min="25" max="25" width="16.7109375" customWidth="1"/>
    <col min="26" max="26" width="22.42578125" customWidth="1"/>
    <col min="27" max="27" width="18.85546875" customWidth="1"/>
    <col min="28" max="28" width="26.5703125" customWidth="1"/>
    <col min="29" max="29" width="25.7109375" customWidth="1"/>
    <col min="30" max="30" width="10.7109375" customWidth="1"/>
    <col min="31" max="31" width="22.42578125" customWidth="1"/>
    <col min="32" max="32" width="14.42578125" customWidth="1"/>
    <col min="33" max="33" width="23.85546875" customWidth="1"/>
    <col min="34" max="34" width="25.140625" customWidth="1"/>
    <col min="35" max="35" width="14" customWidth="1"/>
    <col min="36" max="36" width="28" customWidth="1"/>
    <col min="37" max="37" width="14.85546875" customWidth="1"/>
  </cols>
  <sheetData>
    <row r="1" spans="1:37" x14ac:dyDescent="0.25">
      <c r="A1" s="1" t="s">
        <v>104</v>
      </c>
      <c r="B1" s="1" t="s">
        <v>105</v>
      </c>
      <c r="C1" s="1" t="s">
        <v>106</v>
      </c>
      <c r="D1" s="1" t="s">
        <v>1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18</v>
      </c>
      <c r="AE1" s="1" t="s">
        <v>19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58</v>
      </c>
    </row>
    <row r="2" spans="1:37" x14ac:dyDescent="0.25">
      <c r="A2" s="9"/>
      <c r="B2" s="9"/>
      <c r="C2" s="9"/>
      <c r="D2" s="3"/>
      <c r="E2" s="4"/>
      <c r="F2" s="8"/>
      <c r="G2" s="8"/>
      <c r="H2" s="8"/>
      <c r="I2" s="8"/>
      <c r="J2" s="8"/>
      <c r="K2" s="8"/>
      <c r="L2" s="8"/>
      <c r="M2" s="8"/>
      <c r="N2" s="8"/>
      <c r="O2" s="8"/>
      <c r="P2" s="2"/>
      <c r="Q2" s="2"/>
      <c r="R2" s="2"/>
      <c r="S2" s="4"/>
      <c r="T2" s="4"/>
      <c r="U2" s="8"/>
      <c r="V2" s="8"/>
      <c r="W2" s="8"/>
      <c r="X2" s="8"/>
      <c r="Y2" s="11"/>
      <c r="Z2" s="8"/>
      <c r="AA2" s="8"/>
      <c r="AB2" s="8"/>
      <c r="AC2" s="8"/>
      <c r="AD2" s="2"/>
      <c r="AE2" s="8"/>
      <c r="AF2" s="8"/>
      <c r="AG2" s="2"/>
      <c r="AH2" s="2"/>
      <c r="AI2" s="9"/>
      <c r="AJ2" s="9"/>
      <c r="AK2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4873-D054-44A0-ADA9-87A616E61121}">
  <dimension ref="A1:U2"/>
  <sheetViews>
    <sheetView workbookViewId="0"/>
  </sheetViews>
  <sheetFormatPr baseColWidth="10" defaultRowHeight="15" x14ac:dyDescent="0.25"/>
  <cols>
    <col min="1" max="2" width="10.7109375" customWidth="1"/>
    <col min="3" max="3" width="11.28515625" customWidth="1"/>
    <col min="4" max="4" width="36.85546875" customWidth="1"/>
    <col min="5" max="5" width="25" customWidth="1"/>
    <col min="6" max="6" width="12.7109375" customWidth="1"/>
    <col min="7" max="7" width="12.5703125" customWidth="1"/>
    <col min="8" max="8" width="10.7109375" customWidth="1"/>
    <col min="9" max="9" width="15" customWidth="1"/>
    <col min="10" max="10" width="18.140625" customWidth="1"/>
    <col min="11" max="11" width="12.85546875" customWidth="1"/>
    <col min="12" max="12" width="11" customWidth="1"/>
    <col min="13" max="13" width="10.7109375" customWidth="1"/>
    <col min="14" max="14" width="11.85546875" customWidth="1"/>
    <col min="15" max="15" width="10.7109375" customWidth="1"/>
    <col min="16" max="16" width="14.5703125" customWidth="1"/>
    <col min="17" max="17" width="15.85546875" customWidth="1"/>
    <col min="18" max="18" width="10.7109375" customWidth="1"/>
    <col min="19" max="19" width="28" customWidth="1"/>
    <col min="20" max="20" width="14.85546875" customWidth="1"/>
    <col min="21" max="21" width="22" customWidth="1"/>
  </cols>
  <sheetData>
    <row r="1" spans="1:21" x14ac:dyDescent="0.25">
      <c r="A1" s="1" t="s">
        <v>137</v>
      </c>
      <c r="B1" s="1" t="s">
        <v>1</v>
      </c>
      <c r="C1" s="1" t="s">
        <v>60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105</v>
      </c>
      <c r="S1" s="1" t="s">
        <v>136</v>
      </c>
      <c r="T1" s="1" t="s">
        <v>58</v>
      </c>
      <c r="U1" s="1" t="s">
        <v>72</v>
      </c>
    </row>
    <row r="2" spans="1:21" x14ac:dyDescent="0.25">
      <c r="A2" s="2"/>
      <c r="B2" s="3"/>
      <c r="C2" s="10"/>
      <c r="D2" s="9"/>
      <c r="E2" s="9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3233-8E1E-4C9B-88E8-9476D1EBFB9A}">
  <dimension ref="A1:I2"/>
  <sheetViews>
    <sheetView workbookViewId="0"/>
  </sheetViews>
  <sheetFormatPr baseColWidth="10" defaultRowHeight="15" x14ac:dyDescent="0.25"/>
  <cols>
    <col min="1" max="1" width="43.42578125" customWidth="1"/>
    <col min="2" max="2" width="10.85546875" customWidth="1"/>
    <col min="3" max="3" width="36.42578125" customWidth="1"/>
    <col min="4" max="4" width="10.85546875" customWidth="1"/>
    <col min="5" max="5" width="14.140625" customWidth="1"/>
    <col min="6" max="6" width="16.28515625" customWidth="1"/>
    <col min="7" max="7" width="13.85546875" customWidth="1"/>
    <col min="8" max="8" width="18.42578125" customWidth="1"/>
    <col min="9" max="9" width="14.85546875" customWidth="1"/>
  </cols>
  <sheetData>
    <row r="1" spans="1:9" x14ac:dyDescent="0.25">
      <c r="A1" s="1" t="s">
        <v>152</v>
      </c>
      <c r="B1" s="1" t="s">
        <v>105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40</v>
      </c>
      <c r="H1" s="1" t="s">
        <v>55</v>
      </c>
      <c r="I1" s="1" t="s">
        <v>58</v>
      </c>
    </row>
    <row r="2" spans="1:9" x14ac:dyDescent="0.25">
      <c r="A2" s="9"/>
      <c r="B2" s="9"/>
      <c r="C2" s="9"/>
      <c r="D2" s="9"/>
      <c r="E2" s="3"/>
      <c r="F2" s="3"/>
      <c r="G2" s="2"/>
      <c r="H2" s="9"/>
      <c r="I2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9CC0-ECC9-474D-A6A3-87995F2F0A53}">
  <dimension ref="A1:R2"/>
  <sheetViews>
    <sheetView workbookViewId="0"/>
  </sheetViews>
  <sheetFormatPr baseColWidth="10" defaultRowHeight="15" x14ac:dyDescent="0.25"/>
  <cols>
    <col min="1" max="1" width="10.7109375" customWidth="1"/>
    <col min="2" max="2" width="10.85546875" customWidth="1"/>
    <col min="3" max="3" width="10.7109375" customWidth="1"/>
    <col min="4" max="11" width="18.140625" customWidth="1"/>
    <col min="12" max="12" width="45.7109375" customWidth="1"/>
    <col min="13" max="13" width="27.85546875" customWidth="1"/>
    <col min="14" max="14" width="10.85546875" customWidth="1"/>
    <col min="15" max="15" width="13.85546875" customWidth="1"/>
    <col min="16" max="16" width="18.42578125" customWidth="1"/>
    <col min="17" max="17" width="14.85546875" customWidth="1"/>
    <col min="18" max="18" width="21.7109375" customWidth="1"/>
  </cols>
  <sheetData>
    <row r="1" spans="1:18" x14ac:dyDescent="0.25">
      <c r="A1" s="1" t="s">
        <v>137</v>
      </c>
      <c r="B1" s="1" t="s">
        <v>105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152</v>
      </c>
      <c r="M1" s="1" t="s">
        <v>153</v>
      </c>
      <c r="N1" s="1" t="s">
        <v>154</v>
      </c>
      <c r="O1" s="1" t="s">
        <v>40</v>
      </c>
      <c r="P1" s="1" t="s">
        <v>55</v>
      </c>
      <c r="Q1" s="1" t="s">
        <v>58</v>
      </c>
      <c r="R1" s="1" t="s">
        <v>165</v>
      </c>
    </row>
    <row r="2" spans="1:18" x14ac:dyDescent="0.25">
      <c r="A2" s="2"/>
      <c r="B2" s="9"/>
      <c r="C2" s="3"/>
      <c r="D2" s="12"/>
      <c r="E2" s="12"/>
      <c r="F2" s="12"/>
      <c r="G2" s="12"/>
      <c r="H2" s="12"/>
      <c r="I2" s="12"/>
      <c r="J2" s="12"/>
      <c r="K2" s="12"/>
      <c r="L2" s="9"/>
      <c r="M2" s="9"/>
      <c r="N2" s="9"/>
      <c r="O2" s="2"/>
      <c r="P2" s="9"/>
      <c r="Q2" s="9"/>
      <c r="R2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AE84-DD64-4E7F-AB45-FBF58B104D6E}">
  <dimension ref="B3:G11"/>
  <sheetViews>
    <sheetView tabSelected="1" workbookViewId="0">
      <selection activeCell="E7" sqref="E7"/>
    </sheetView>
  </sheetViews>
  <sheetFormatPr baseColWidth="10" defaultRowHeight="15" x14ac:dyDescent="0.25"/>
  <sheetData>
    <row r="3" spans="2:7" x14ac:dyDescent="0.25">
      <c r="B3" t="s">
        <v>174</v>
      </c>
    </row>
    <row r="4" spans="2:7" x14ac:dyDescent="0.25">
      <c r="B4" t="s">
        <v>166</v>
      </c>
      <c r="F4" t="s">
        <v>176</v>
      </c>
      <c r="G4" t="s">
        <v>176</v>
      </c>
    </row>
    <row r="5" spans="2:7" x14ac:dyDescent="0.25">
      <c r="B5" t="s">
        <v>167</v>
      </c>
      <c r="F5">
        <f>MIN(t_colas_diario[fecha])</f>
        <v>0</v>
      </c>
      <c r="G5">
        <f>MIN(t_workloads_intervalo[fecha])</f>
        <v>0</v>
      </c>
    </row>
    <row r="6" spans="2:7" x14ac:dyDescent="0.25">
      <c r="B6" t="s">
        <v>168</v>
      </c>
      <c r="F6" t="s">
        <v>175</v>
      </c>
      <c r="G6" t="s">
        <v>60</v>
      </c>
    </row>
    <row r="7" spans="2:7" x14ac:dyDescent="0.25">
      <c r="B7" t="s">
        <v>169</v>
      </c>
      <c r="E7" cm="1">
        <f t="array" ref="E7">_xlfn.UNIQUE(t_colas_intervalo[nombre_campana])</f>
        <v>0</v>
      </c>
      <c r="F7" cm="1">
        <f t="array" ref="F7">SUMIF(t_colas_diario[nombre_campana],_xlfn.ANCHORARRAY(E7),t_colas_diario[oferta])</f>
        <v>0</v>
      </c>
      <c r="G7" cm="1">
        <f t="array" ref="G7">SUMIF(t_colas_intervalo[nombre_campana],_xlfn.ANCHORARRAY(E7),t_colas_intervalo[oferta])</f>
        <v>0</v>
      </c>
    </row>
    <row r="8" spans="2:7" x14ac:dyDescent="0.25">
      <c r="B8" t="s">
        <v>170</v>
      </c>
    </row>
    <row r="9" spans="2:7" x14ac:dyDescent="0.25">
      <c r="B9" t="s">
        <v>171</v>
      </c>
    </row>
    <row r="10" spans="2:7" x14ac:dyDescent="0.25">
      <c r="B10" t="s">
        <v>172</v>
      </c>
    </row>
    <row r="11" spans="2:7" x14ac:dyDescent="0.25">
      <c r="B1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t_colas_diario</vt:lpstr>
      <vt:lpstr>t_colas_intervalo</vt:lpstr>
      <vt:lpstr>t_workloads_diario</vt:lpstr>
      <vt:lpstr>t_workloads_intervalo</vt:lpstr>
      <vt:lpstr>t_ejecutivos_diario</vt:lpstr>
      <vt:lpstr>t_estados_agentes_intervalo</vt:lpstr>
      <vt:lpstr>t_asignaciones_historial</vt:lpstr>
      <vt:lpstr>t_turnos_diario</vt:lpstr>
      <vt:lpstr>ejemplo_de_uso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Tapia M</dc:creator>
  <cp:lastModifiedBy>Jorge Tapia M</cp:lastModifiedBy>
  <dcterms:created xsi:type="dcterms:W3CDTF">2026-10-13T18:37:56Z</dcterms:created>
  <dcterms:modified xsi:type="dcterms:W3CDTF">2026-10-14T13:35:18Z</dcterms:modified>
</cp:coreProperties>
</file>